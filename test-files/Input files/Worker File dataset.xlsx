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katiyar/Downloads/PATT Application/"/>
    </mc:Choice>
  </mc:AlternateContent>
  <xr:revisionPtr revIDLastSave="0" documentId="13_ncr:1_{E1F01F05-3BA5-0A43-B961-8725BF2BA031}" xr6:coauthVersionLast="47" xr6:coauthVersionMax="47" xr10:uidLastSave="{00000000-0000-0000-0000-000000000000}"/>
  <bookViews>
    <workbookView xWindow="0" yWindow="660" windowWidth="30240" windowHeight="17740" activeTab="3" xr2:uid="{00000000-000D-0000-FFFF-FFFF00000000}"/>
  </bookViews>
  <sheets>
    <sheet name="worker file" sheetId="1" r:id="rId1"/>
    <sheet name="absence balance" sheetId="2" r:id="rId2"/>
    <sheet name="Payroll inputs" sheetId="3" r:id="rId3"/>
    <sheet name="employee events" sheetId="4" r:id="rId4"/>
    <sheet name="timesheet data" sheetId="5" r:id="rId5"/>
    <sheet name="pay group &amp; schedule" sheetId="6" r:id="rId6"/>
    <sheet name="Shift Codes" sheetId="7" r:id="rId7"/>
    <sheet name="Shift Roster" sheetId="8" r:id="rId8"/>
  </sheets>
  <definedNames>
    <definedName name="_xlnm._FilterDatabase" localSheetId="3" hidden="1">'employee events'!$A$1:$Y$77</definedName>
    <definedName name="_xlnm._FilterDatabase" localSheetId="4" hidden="1">'timesheet data'!$A$1:$R$335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7" l="1"/>
  <c r="H7" i="7"/>
  <c r="I6" i="7"/>
  <c r="H6" i="7"/>
  <c r="I5" i="7"/>
  <c r="H5" i="7"/>
  <c r="I4" i="7"/>
  <c r="H4" i="7"/>
  <c r="I3" i="7"/>
  <c r="H3" i="7"/>
  <c r="I2" i="7"/>
  <c r="H2" i="7"/>
  <c r="R346" i="5" a="1"/>
  <c r="R346" i="5" s="1"/>
  <c r="Q346" i="5"/>
  <c r="N346" i="5"/>
  <c r="M346" i="5"/>
  <c r="G346" i="5" a="1"/>
  <c r="G346" i="5" s="1"/>
  <c r="R345" i="5" a="1"/>
  <c r="R345" i="5" s="1"/>
  <c r="Q345" i="5"/>
  <c r="N345" i="5"/>
  <c r="M345" i="5"/>
  <c r="G345" i="5" a="1"/>
  <c r="G345" i="5" s="1"/>
  <c r="R344" i="5" a="1"/>
  <c r="R344" i="5" s="1"/>
  <c r="Q344" i="5"/>
  <c r="N344" i="5"/>
  <c r="M344" i="5"/>
  <c r="G344" i="5" a="1"/>
  <c r="G344" i="5" s="1"/>
  <c r="R343" i="5" a="1"/>
  <c r="R343" i="5" s="1"/>
  <c r="Q343" i="5"/>
  <c r="N343" i="5"/>
  <c r="M343" i="5"/>
  <c r="G343" i="5" a="1"/>
  <c r="G343" i="5" s="1"/>
  <c r="R342" i="5" a="1"/>
  <c r="R342" i="5"/>
  <c r="Q342" i="5"/>
  <c r="N342" i="5"/>
  <c r="M342" i="5"/>
  <c r="I342" i="5"/>
  <c r="J342" i="5" s="1"/>
  <c r="K342" i="5" s="1"/>
  <c r="G342" i="5" a="1"/>
  <c r="G342" i="5"/>
  <c r="H342" i="5" s="1"/>
  <c r="R341" i="5" a="1"/>
  <c r="R341" i="5" s="1"/>
  <c r="Q341" i="5"/>
  <c r="N341" i="5"/>
  <c r="M341" i="5"/>
  <c r="H341" i="5"/>
  <c r="G341" i="5" a="1"/>
  <c r="G341" i="5"/>
  <c r="I341" i="5" s="1"/>
  <c r="J341" i="5" s="1"/>
  <c r="K341" i="5" s="1"/>
  <c r="R340" i="5" a="1"/>
  <c r="R340" i="5"/>
  <c r="Q340" i="5"/>
  <c r="N340" i="5"/>
  <c r="M340" i="5"/>
  <c r="G340" i="5" a="1"/>
  <c r="G340" i="5" s="1"/>
  <c r="R339" i="5" a="1"/>
  <c r="R339" i="5" s="1"/>
  <c r="Q339" i="5"/>
  <c r="N339" i="5"/>
  <c r="M339" i="5"/>
  <c r="G339" i="5" a="1"/>
  <c r="G339" i="5"/>
  <c r="I339" i="5" s="1"/>
  <c r="J339" i="5" s="1"/>
  <c r="K339" i="5" s="1"/>
  <c r="R338" i="5" a="1"/>
  <c r="R338" i="5" s="1"/>
  <c r="Q338" i="5"/>
  <c r="N338" i="5"/>
  <c r="M338" i="5"/>
  <c r="K338" i="5"/>
  <c r="J338" i="5"/>
  <c r="I338" i="5"/>
  <c r="G338" i="5" a="1"/>
  <c r="G338" i="5"/>
  <c r="H338" i="5" s="1"/>
  <c r="R337" i="5" a="1"/>
  <c r="R337" i="5" s="1"/>
  <c r="Q337" i="5"/>
  <c r="N337" i="5"/>
  <c r="M337" i="5"/>
  <c r="J337" i="5"/>
  <c r="K337" i="5" s="1"/>
  <c r="I337" i="5"/>
  <c r="G337" i="5" a="1"/>
  <c r="G337" i="5"/>
  <c r="H337" i="5" s="1"/>
  <c r="R336" i="5" a="1"/>
  <c r="R336" i="5" s="1"/>
  <c r="Q336" i="5"/>
  <c r="N336" i="5"/>
  <c r="M336" i="5"/>
  <c r="G336" i="5" a="1"/>
  <c r="G336" i="5" s="1"/>
  <c r="R335" i="5" a="1"/>
  <c r="R335" i="5" s="1"/>
  <c r="Q335" i="5"/>
  <c r="N335" i="5"/>
  <c r="M335" i="5"/>
  <c r="G335" i="5" a="1"/>
  <c r="G335" i="5" s="1"/>
  <c r="R334" i="5" a="1"/>
  <c r="R334" i="5" s="1"/>
  <c r="Q334" i="5"/>
  <c r="N334" i="5"/>
  <c r="M334" i="5"/>
  <c r="G334" i="5" a="1"/>
  <c r="G334" i="5" s="1"/>
  <c r="R333" i="5" a="1"/>
  <c r="R333" i="5"/>
  <c r="Q333" i="5"/>
  <c r="N333" i="5"/>
  <c r="M333" i="5"/>
  <c r="G333" i="5" a="1"/>
  <c r="G333" i="5"/>
  <c r="I333" i="5" s="1"/>
  <c r="J333" i="5" s="1"/>
  <c r="K333" i="5" s="1"/>
  <c r="R332" i="5" a="1"/>
  <c r="R332" i="5"/>
  <c r="Q332" i="5"/>
  <c r="N332" i="5"/>
  <c r="M332" i="5"/>
  <c r="G332" i="5" a="1"/>
  <c r="G332" i="5" s="1"/>
  <c r="R331" i="5" a="1"/>
  <c r="R331" i="5" s="1"/>
  <c r="Q331" i="5"/>
  <c r="N331" i="5"/>
  <c r="M331" i="5"/>
  <c r="G331" i="5" a="1"/>
  <c r="G331" i="5"/>
  <c r="I331" i="5" s="1"/>
  <c r="J331" i="5" s="1"/>
  <c r="K331" i="5" s="1"/>
  <c r="R330" i="5" a="1"/>
  <c r="R330" i="5"/>
  <c r="Q330" i="5"/>
  <c r="N330" i="5"/>
  <c r="M330" i="5"/>
  <c r="G330" i="5" a="1"/>
  <c r="G330" i="5" s="1"/>
  <c r="R329" i="5" a="1"/>
  <c r="R329" i="5"/>
  <c r="Q329" i="5"/>
  <c r="N329" i="5"/>
  <c r="M329" i="5"/>
  <c r="G329" i="5" a="1"/>
  <c r="G329" i="5" s="1"/>
  <c r="R328" i="5" a="1"/>
  <c r="R328" i="5"/>
  <c r="Q328" i="5"/>
  <c r="N328" i="5"/>
  <c r="M328" i="5"/>
  <c r="G328" i="5" a="1"/>
  <c r="G328" i="5" s="1"/>
  <c r="R327" i="5" a="1"/>
  <c r="R327" i="5" s="1"/>
  <c r="Q327" i="5"/>
  <c r="N327" i="5"/>
  <c r="M327" i="5"/>
  <c r="G327" i="5" a="1"/>
  <c r="G327" i="5" s="1"/>
  <c r="R326" i="5" a="1"/>
  <c r="R326" i="5" s="1"/>
  <c r="Q326" i="5"/>
  <c r="N326" i="5"/>
  <c r="M326" i="5"/>
  <c r="G326" i="5" a="1"/>
  <c r="G326" i="5" s="1"/>
  <c r="R325" i="5" a="1"/>
  <c r="R325" i="5" s="1"/>
  <c r="Q325" i="5"/>
  <c r="N325" i="5"/>
  <c r="M325" i="5"/>
  <c r="G325" i="5" a="1"/>
  <c r="G325" i="5" s="1"/>
  <c r="R324" i="5" a="1"/>
  <c r="R324" i="5"/>
  <c r="Q324" i="5"/>
  <c r="N324" i="5"/>
  <c r="M324" i="5"/>
  <c r="I324" i="5"/>
  <c r="J324" i="5" s="1"/>
  <c r="K324" i="5" s="1"/>
  <c r="H324" i="5"/>
  <c r="G324" i="5" a="1"/>
  <c r="G324" i="5"/>
  <c r="R323" i="5" a="1"/>
  <c r="R323" i="5" s="1"/>
  <c r="Q323" i="5"/>
  <c r="N323" i="5"/>
  <c r="M323" i="5"/>
  <c r="I323" i="5"/>
  <c r="J323" i="5" s="1"/>
  <c r="K323" i="5" s="1"/>
  <c r="H323" i="5"/>
  <c r="G323" i="5" a="1"/>
  <c r="G323" i="5"/>
  <c r="R322" i="5" a="1"/>
  <c r="R322" i="5"/>
  <c r="Q322" i="5"/>
  <c r="N322" i="5"/>
  <c r="M322" i="5"/>
  <c r="G322" i="5" a="1"/>
  <c r="G322" i="5" s="1"/>
  <c r="R321" i="5" a="1"/>
  <c r="R321" i="5" s="1"/>
  <c r="Q321" i="5"/>
  <c r="N321" i="5"/>
  <c r="M321" i="5"/>
  <c r="G321" i="5" a="1"/>
  <c r="G321" i="5"/>
  <c r="I321" i="5" s="1"/>
  <c r="J321" i="5" s="1"/>
  <c r="K321" i="5" s="1"/>
  <c r="R320" i="5" a="1"/>
  <c r="R320" i="5" s="1"/>
  <c r="Q320" i="5"/>
  <c r="N320" i="5"/>
  <c r="M320" i="5"/>
  <c r="I320" i="5"/>
  <c r="J320" i="5" s="1"/>
  <c r="K320" i="5" s="1"/>
  <c r="G320" i="5" a="1"/>
  <c r="G320" i="5"/>
  <c r="H320" i="5" s="1"/>
  <c r="R319" i="5" a="1"/>
  <c r="R319" i="5" s="1"/>
  <c r="Q319" i="5"/>
  <c r="N319" i="5"/>
  <c r="M319" i="5"/>
  <c r="J319" i="5"/>
  <c r="K319" i="5" s="1"/>
  <c r="I319" i="5"/>
  <c r="G319" i="5" a="1"/>
  <c r="G319" i="5"/>
  <c r="H319" i="5" s="1"/>
  <c r="R318" i="5" a="1"/>
  <c r="R318" i="5" s="1"/>
  <c r="Q318" i="5"/>
  <c r="N318" i="5"/>
  <c r="M318" i="5"/>
  <c r="G318" i="5" a="1"/>
  <c r="G318" i="5" s="1"/>
  <c r="H318" i="5" s="1"/>
  <c r="R317" i="5" a="1"/>
  <c r="R317" i="5" s="1"/>
  <c r="Q317" i="5"/>
  <c r="N317" i="5"/>
  <c r="M317" i="5"/>
  <c r="G317" i="5" a="1"/>
  <c r="G317" i="5" s="1"/>
  <c r="R316" i="5" a="1"/>
  <c r="R316" i="5" s="1"/>
  <c r="Q316" i="5"/>
  <c r="N316" i="5"/>
  <c r="M316" i="5"/>
  <c r="G316" i="5" a="1"/>
  <c r="G316" i="5" s="1"/>
  <c r="R315" i="5" a="1"/>
  <c r="R315" i="5"/>
  <c r="Q315" i="5"/>
  <c r="N315" i="5"/>
  <c r="M315" i="5"/>
  <c r="G315" i="5" a="1"/>
  <c r="G315" i="5"/>
  <c r="R314" i="5" a="1"/>
  <c r="R314" i="5"/>
  <c r="Q314" i="5"/>
  <c r="N314" i="5"/>
  <c r="M314" i="5"/>
  <c r="G314" i="5" a="1"/>
  <c r="G314" i="5" s="1"/>
  <c r="R313" i="5" a="1"/>
  <c r="R313" i="5" s="1"/>
  <c r="Q313" i="5"/>
  <c r="N313" i="5"/>
  <c r="M313" i="5"/>
  <c r="G313" i="5" a="1"/>
  <c r="G313" i="5"/>
  <c r="I313" i="5" s="1"/>
  <c r="J313" i="5" s="1"/>
  <c r="K313" i="5" s="1"/>
  <c r="R312" i="5" a="1"/>
  <c r="R312" i="5"/>
  <c r="Q312" i="5"/>
  <c r="N312" i="5"/>
  <c r="M312" i="5"/>
  <c r="G312" i="5" a="1"/>
  <c r="G312" i="5"/>
  <c r="I312" i="5" s="1"/>
  <c r="J312" i="5" s="1"/>
  <c r="K312" i="5" s="1"/>
  <c r="R311" i="5" a="1"/>
  <c r="R311" i="5"/>
  <c r="Q311" i="5"/>
  <c r="N311" i="5"/>
  <c r="M311" i="5"/>
  <c r="G311" i="5" a="1"/>
  <c r="G311" i="5" s="1"/>
  <c r="I311" i="5" s="1"/>
  <c r="J311" i="5" s="1"/>
  <c r="K311" i="5" s="1"/>
  <c r="R310" i="5" a="1"/>
  <c r="R310" i="5"/>
  <c r="Q310" i="5"/>
  <c r="N310" i="5"/>
  <c r="M310" i="5"/>
  <c r="G310" i="5" a="1"/>
  <c r="G310" i="5" s="1"/>
  <c r="R309" i="5" a="1"/>
  <c r="R309" i="5" s="1"/>
  <c r="Q309" i="5"/>
  <c r="N309" i="5"/>
  <c r="M309" i="5"/>
  <c r="G309" i="5" a="1"/>
  <c r="G309" i="5" s="1"/>
  <c r="R308" i="5" a="1"/>
  <c r="R308" i="5"/>
  <c r="Q308" i="5"/>
  <c r="N308" i="5"/>
  <c r="M308" i="5"/>
  <c r="G308" i="5" a="1"/>
  <c r="G308" i="5" s="1"/>
  <c r="R307" i="5" a="1"/>
  <c r="R307" i="5" s="1"/>
  <c r="Q307" i="5"/>
  <c r="N307" i="5"/>
  <c r="M307" i="5"/>
  <c r="G307" i="5" a="1"/>
  <c r="G307" i="5" s="1"/>
  <c r="R306" i="5" a="1"/>
  <c r="R306" i="5"/>
  <c r="Q306" i="5"/>
  <c r="N306" i="5"/>
  <c r="M306" i="5"/>
  <c r="I306" i="5"/>
  <c r="J306" i="5" s="1"/>
  <c r="K306" i="5" s="1"/>
  <c r="H306" i="5"/>
  <c r="G306" i="5" a="1"/>
  <c r="G306" i="5"/>
  <c r="R305" i="5" a="1"/>
  <c r="R305" i="5" s="1"/>
  <c r="Q305" i="5"/>
  <c r="N305" i="5"/>
  <c r="M305" i="5"/>
  <c r="G305" i="5" a="1"/>
  <c r="G305" i="5" s="1"/>
  <c r="I305" i="5" s="1"/>
  <c r="J305" i="5" s="1"/>
  <c r="K305" i="5" s="1"/>
  <c r="R304" i="5" a="1"/>
  <c r="R304" i="5"/>
  <c r="Q304" i="5"/>
  <c r="N304" i="5"/>
  <c r="M304" i="5"/>
  <c r="G304" i="5" a="1"/>
  <c r="G304" i="5" s="1"/>
  <c r="R303" i="5" a="1"/>
  <c r="R303" i="5"/>
  <c r="Q303" i="5"/>
  <c r="N303" i="5"/>
  <c r="M303" i="5"/>
  <c r="G303" i="5" a="1"/>
  <c r="G303" i="5"/>
  <c r="R302" i="5" a="1"/>
  <c r="R302" i="5" s="1"/>
  <c r="Q302" i="5"/>
  <c r="N302" i="5"/>
  <c r="M302" i="5"/>
  <c r="I302" i="5"/>
  <c r="J302" i="5" s="1"/>
  <c r="K302" i="5" s="1"/>
  <c r="H302" i="5"/>
  <c r="G302" i="5" a="1"/>
  <c r="G302" i="5"/>
  <c r="R301" i="5" a="1"/>
  <c r="R301" i="5" s="1"/>
  <c r="Q301" i="5"/>
  <c r="N301" i="5"/>
  <c r="M301" i="5"/>
  <c r="I301" i="5"/>
  <c r="J301" i="5" s="1"/>
  <c r="K301" i="5" s="1"/>
  <c r="G301" i="5" a="1"/>
  <c r="G301" i="5"/>
  <c r="H301" i="5" s="1"/>
  <c r="R300" i="5" a="1"/>
  <c r="R300" i="5" s="1"/>
  <c r="Q300" i="5"/>
  <c r="N300" i="5"/>
  <c r="M300" i="5"/>
  <c r="I300" i="5"/>
  <c r="J300" i="5" s="1"/>
  <c r="K300" i="5" s="1"/>
  <c r="G300" i="5" a="1"/>
  <c r="G300" i="5" s="1"/>
  <c r="H300" i="5" s="1"/>
  <c r="R299" i="5" a="1"/>
  <c r="R299" i="5" s="1"/>
  <c r="Q299" i="5"/>
  <c r="N299" i="5"/>
  <c r="M299" i="5"/>
  <c r="J299" i="5"/>
  <c r="K299" i="5" s="1"/>
  <c r="I299" i="5"/>
  <c r="G299" i="5" a="1"/>
  <c r="G299" i="5"/>
  <c r="H299" i="5" s="1"/>
  <c r="R298" i="5" a="1"/>
  <c r="R298" i="5" s="1"/>
  <c r="Q298" i="5"/>
  <c r="N298" i="5"/>
  <c r="M298" i="5"/>
  <c r="G298" i="5" a="1"/>
  <c r="G298" i="5" s="1"/>
  <c r="R297" i="5" a="1"/>
  <c r="R297" i="5"/>
  <c r="Q297" i="5"/>
  <c r="N297" i="5"/>
  <c r="M297" i="5"/>
  <c r="G297" i="5" a="1"/>
  <c r="G297" i="5"/>
  <c r="R296" i="5" a="1"/>
  <c r="R296" i="5" s="1"/>
  <c r="Q296" i="5"/>
  <c r="N296" i="5"/>
  <c r="M296" i="5"/>
  <c r="G296" i="5" a="1"/>
  <c r="G296" i="5" s="1"/>
  <c r="R295" i="5" a="1"/>
  <c r="R295" i="5" s="1"/>
  <c r="Q295" i="5"/>
  <c r="N295" i="5"/>
  <c r="M295" i="5"/>
  <c r="J295" i="5"/>
  <c r="K295" i="5" s="1"/>
  <c r="I295" i="5"/>
  <c r="G295" i="5" a="1"/>
  <c r="G295" i="5"/>
  <c r="H295" i="5" s="1"/>
  <c r="R294" i="5" a="1"/>
  <c r="R294" i="5"/>
  <c r="Q294" i="5"/>
  <c r="N294" i="5"/>
  <c r="M294" i="5"/>
  <c r="G294" i="5" a="1"/>
  <c r="G294" i="5"/>
  <c r="I294" i="5" s="1"/>
  <c r="J294" i="5" s="1"/>
  <c r="K294" i="5" s="1"/>
  <c r="R293" i="5" a="1"/>
  <c r="R293" i="5"/>
  <c r="Q293" i="5"/>
  <c r="N293" i="5"/>
  <c r="M293" i="5"/>
  <c r="G293" i="5" a="1"/>
  <c r="G293" i="5" s="1"/>
  <c r="I293" i="5" s="1"/>
  <c r="J293" i="5" s="1"/>
  <c r="K293" i="5" s="1"/>
  <c r="R292" i="5" a="1"/>
  <c r="R292" i="5"/>
  <c r="Q292" i="5"/>
  <c r="N292" i="5"/>
  <c r="M292" i="5"/>
  <c r="G292" i="5" a="1"/>
  <c r="G292" i="5" s="1"/>
  <c r="R291" i="5" a="1"/>
  <c r="R291" i="5" s="1"/>
  <c r="Q291" i="5"/>
  <c r="N291" i="5"/>
  <c r="M291" i="5"/>
  <c r="G291" i="5" a="1"/>
  <c r="G291" i="5" s="1"/>
  <c r="R290" i="5" a="1"/>
  <c r="R290" i="5"/>
  <c r="Q290" i="5"/>
  <c r="N290" i="5"/>
  <c r="M290" i="5"/>
  <c r="G290" i="5" a="1"/>
  <c r="G290" i="5" s="1"/>
  <c r="R289" i="5" a="1"/>
  <c r="R289" i="5"/>
  <c r="Q289" i="5"/>
  <c r="N289" i="5"/>
  <c r="M289" i="5"/>
  <c r="G289" i="5" a="1"/>
  <c r="G289" i="5" s="1"/>
  <c r="R288" i="5" a="1"/>
  <c r="R288" i="5"/>
  <c r="Q288" i="5"/>
  <c r="N288" i="5"/>
  <c r="M288" i="5"/>
  <c r="I288" i="5"/>
  <c r="J288" i="5" s="1"/>
  <c r="K288" i="5" s="1"/>
  <c r="H288" i="5"/>
  <c r="G288" i="5" a="1"/>
  <c r="G288" i="5"/>
  <c r="R287" i="5" a="1"/>
  <c r="R287" i="5" s="1"/>
  <c r="Q287" i="5"/>
  <c r="N287" i="5"/>
  <c r="M287" i="5"/>
  <c r="H287" i="5"/>
  <c r="G287" i="5" a="1"/>
  <c r="G287" i="5" s="1"/>
  <c r="I287" i="5" s="1"/>
  <c r="J287" i="5" s="1"/>
  <c r="K287" i="5" s="1"/>
  <c r="R286" i="5" a="1"/>
  <c r="R286" i="5"/>
  <c r="Q286" i="5"/>
  <c r="N286" i="5"/>
  <c r="M286" i="5"/>
  <c r="G286" i="5" a="1"/>
  <c r="G286" i="5" s="1"/>
  <c r="R285" i="5" a="1"/>
  <c r="R285" i="5"/>
  <c r="Q285" i="5"/>
  <c r="N285" i="5"/>
  <c r="M285" i="5"/>
  <c r="G285" i="5" a="1"/>
  <c r="G285" i="5"/>
  <c r="R284" i="5" a="1"/>
  <c r="R284" i="5" s="1"/>
  <c r="Q284" i="5"/>
  <c r="N284" i="5"/>
  <c r="M284" i="5"/>
  <c r="I284" i="5"/>
  <c r="J284" i="5" s="1"/>
  <c r="K284" i="5" s="1"/>
  <c r="H284" i="5"/>
  <c r="G284" i="5" a="1"/>
  <c r="G284" i="5"/>
  <c r="R283" i="5" a="1"/>
  <c r="R283" i="5" s="1"/>
  <c r="Q283" i="5"/>
  <c r="N283" i="5"/>
  <c r="M283" i="5"/>
  <c r="I283" i="5"/>
  <c r="J283" i="5" s="1"/>
  <c r="K283" i="5" s="1"/>
  <c r="G283" i="5" a="1"/>
  <c r="G283" i="5"/>
  <c r="H283" i="5" s="1"/>
  <c r="R282" i="5" a="1"/>
  <c r="R282" i="5" s="1"/>
  <c r="Q282" i="5"/>
  <c r="N282" i="5"/>
  <c r="M282" i="5"/>
  <c r="G282" i="5" a="1"/>
  <c r="G282" i="5" s="1"/>
  <c r="H282" i="5" s="1"/>
  <c r="R281" i="5" a="1"/>
  <c r="R281" i="5" s="1"/>
  <c r="Q281" i="5"/>
  <c r="N281" i="5"/>
  <c r="M281" i="5"/>
  <c r="I281" i="5"/>
  <c r="J281" i="5" s="1"/>
  <c r="K281" i="5" s="1"/>
  <c r="G281" i="5" a="1"/>
  <c r="G281" i="5"/>
  <c r="H281" i="5" s="1"/>
  <c r="R280" i="5" a="1"/>
  <c r="R280" i="5" s="1"/>
  <c r="Q280" i="5"/>
  <c r="N280" i="5"/>
  <c r="M280" i="5"/>
  <c r="G280" i="5" a="1"/>
  <c r="G280" i="5" s="1"/>
  <c r="R279" i="5" a="1"/>
  <c r="R279" i="5"/>
  <c r="Q279" i="5"/>
  <c r="N279" i="5"/>
  <c r="M279" i="5"/>
  <c r="G279" i="5" a="1"/>
  <c r="G279" i="5"/>
  <c r="R278" i="5" a="1"/>
  <c r="R278" i="5" s="1"/>
  <c r="Q278" i="5"/>
  <c r="N278" i="5"/>
  <c r="M278" i="5"/>
  <c r="G278" i="5" a="1"/>
  <c r="G278" i="5"/>
  <c r="I278" i="5" s="1"/>
  <c r="J278" i="5" s="1"/>
  <c r="K278" i="5" s="1"/>
  <c r="R277" i="5" a="1"/>
  <c r="R277" i="5" s="1"/>
  <c r="Q277" i="5"/>
  <c r="N277" i="5"/>
  <c r="M277" i="5"/>
  <c r="J277" i="5"/>
  <c r="K277" i="5" s="1"/>
  <c r="I277" i="5"/>
  <c r="G277" i="5" a="1"/>
  <c r="G277" i="5"/>
  <c r="H277" i="5" s="1"/>
  <c r="R276" i="5" a="1"/>
  <c r="R276" i="5"/>
  <c r="Q276" i="5"/>
  <c r="N276" i="5"/>
  <c r="M276" i="5"/>
  <c r="G276" i="5" a="1"/>
  <c r="G276" i="5"/>
  <c r="I276" i="5" s="1"/>
  <c r="J276" i="5" s="1"/>
  <c r="K276" i="5" s="1"/>
  <c r="R275" i="5" a="1"/>
  <c r="R275" i="5"/>
  <c r="Q275" i="5"/>
  <c r="N275" i="5"/>
  <c r="M275" i="5"/>
  <c r="G275" i="5" a="1"/>
  <c r="G275" i="5" s="1"/>
  <c r="I275" i="5" s="1"/>
  <c r="J275" i="5" s="1"/>
  <c r="K275" i="5" s="1"/>
  <c r="R274" i="5" a="1"/>
  <c r="R274" i="5"/>
  <c r="Q274" i="5"/>
  <c r="N274" i="5"/>
  <c r="M274" i="5"/>
  <c r="G274" i="5" a="1"/>
  <c r="G274" i="5" s="1"/>
  <c r="R273" i="5" a="1"/>
  <c r="R273" i="5" s="1"/>
  <c r="Q273" i="5"/>
  <c r="N273" i="5"/>
  <c r="M273" i="5"/>
  <c r="G273" i="5" a="1"/>
  <c r="G273" i="5" s="1"/>
  <c r="R272" i="5" a="1"/>
  <c r="R272" i="5" s="1"/>
  <c r="Q272" i="5"/>
  <c r="N272" i="5"/>
  <c r="M272" i="5"/>
  <c r="G272" i="5" a="1"/>
  <c r="G272" i="5" s="1"/>
  <c r="R271" i="5" a="1"/>
  <c r="R271" i="5" s="1"/>
  <c r="Q271" i="5"/>
  <c r="N271" i="5"/>
  <c r="M271" i="5"/>
  <c r="G271" i="5" a="1"/>
  <c r="G271" i="5" s="1"/>
  <c r="R270" i="5" a="1"/>
  <c r="R270" i="5"/>
  <c r="Q270" i="5"/>
  <c r="N270" i="5"/>
  <c r="M270" i="5"/>
  <c r="I270" i="5"/>
  <c r="J270" i="5" s="1"/>
  <c r="K270" i="5" s="1"/>
  <c r="H270" i="5"/>
  <c r="G270" i="5" a="1"/>
  <c r="G270" i="5"/>
  <c r="R269" i="5" a="1"/>
  <c r="R269" i="5"/>
  <c r="Q269" i="5"/>
  <c r="N269" i="5"/>
  <c r="M269" i="5"/>
  <c r="H269" i="5"/>
  <c r="G269" i="5" a="1"/>
  <c r="G269" i="5" s="1"/>
  <c r="I269" i="5" s="1"/>
  <c r="J269" i="5" s="1"/>
  <c r="K269" i="5" s="1"/>
  <c r="R268" i="5" a="1"/>
  <c r="R268" i="5"/>
  <c r="Q268" i="5"/>
  <c r="N268" i="5"/>
  <c r="M268" i="5"/>
  <c r="I268" i="5"/>
  <c r="J268" i="5" s="1"/>
  <c r="K268" i="5" s="1"/>
  <c r="H268" i="5"/>
  <c r="G268" i="5" a="1"/>
  <c r="G268" i="5"/>
  <c r="R267" i="5" a="1"/>
  <c r="R267" i="5"/>
  <c r="Q267" i="5"/>
  <c r="N267" i="5"/>
  <c r="M267" i="5"/>
  <c r="G267" i="5" a="1"/>
  <c r="G267" i="5"/>
  <c r="R266" i="5" a="1"/>
  <c r="R266" i="5" s="1"/>
  <c r="Q266" i="5"/>
  <c r="N266" i="5"/>
  <c r="M266" i="5"/>
  <c r="J266" i="5"/>
  <c r="K266" i="5" s="1"/>
  <c r="I266" i="5"/>
  <c r="H266" i="5"/>
  <c r="G266" i="5" a="1"/>
  <c r="G266" i="5"/>
  <c r="R265" i="5" a="1"/>
  <c r="R265" i="5" s="1"/>
  <c r="Q265" i="5"/>
  <c r="N265" i="5"/>
  <c r="M265" i="5"/>
  <c r="I265" i="5"/>
  <c r="J265" i="5" s="1"/>
  <c r="K265" i="5" s="1"/>
  <c r="G265" i="5" a="1"/>
  <c r="G265" i="5"/>
  <c r="H265" i="5" s="1"/>
  <c r="R264" i="5" a="1"/>
  <c r="R264" i="5" s="1"/>
  <c r="Q264" i="5"/>
  <c r="N264" i="5"/>
  <c r="M264" i="5"/>
  <c r="G264" i="5" a="1"/>
  <c r="G264" i="5" s="1"/>
  <c r="H264" i="5" s="1"/>
  <c r="R263" i="5" a="1"/>
  <c r="R263" i="5" s="1"/>
  <c r="Q263" i="5"/>
  <c r="N263" i="5"/>
  <c r="M263" i="5"/>
  <c r="I263" i="5"/>
  <c r="J263" i="5" s="1"/>
  <c r="K263" i="5" s="1"/>
  <c r="G263" i="5" a="1"/>
  <c r="G263" i="5" s="1"/>
  <c r="H263" i="5" s="1"/>
  <c r="R262" i="5" a="1"/>
  <c r="R262" i="5" s="1"/>
  <c r="Q262" i="5"/>
  <c r="N262" i="5"/>
  <c r="M262" i="5"/>
  <c r="G262" i="5" a="1"/>
  <c r="G262" i="5" s="1"/>
  <c r="R261" i="5" a="1"/>
  <c r="R261" i="5"/>
  <c r="Q261" i="5"/>
  <c r="N261" i="5"/>
  <c r="M261" i="5"/>
  <c r="G261" i="5" a="1"/>
  <c r="G261" i="5"/>
  <c r="H261" i="5" s="1"/>
  <c r="R260" i="5" a="1"/>
  <c r="R260" i="5" s="1"/>
  <c r="Q260" i="5"/>
  <c r="N260" i="5"/>
  <c r="M260" i="5"/>
  <c r="G260" i="5" a="1"/>
  <c r="G260" i="5"/>
  <c r="R259" i="5" a="1"/>
  <c r="R259" i="5"/>
  <c r="Q259" i="5"/>
  <c r="N259" i="5"/>
  <c r="M259" i="5"/>
  <c r="J259" i="5"/>
  <c r="K259" i="5" s="1"/>
  <c r="I259" i="5"/>
  <c r="G259" i="5" a="1"/>
  <c r="G259" i="5"/>
  <c r="H259" i="5" s="1"/>
  <c r="R258" i="5" a="1"/>
  <c r="R258" i="5"/>
  <c r="Q258" i="5"/>
  <c r="N258" i="5"/>
  <c r="M258" i="5"/>
  <c r="G258" i="5" a="1"/>
  <c r="G258" i="5"/>
  <c r="R257" i="5" a="1"/>
  <c r="R257" i="5"/>
  <c r="Q257" i="5"/>
  <c r="N257" i="5"/>
  <c r="M257" i="5"/>
  <c r="G257" i="5" a="1"/>
  <c r="G257" i="5" s="1"/>
  <c r="I257" i="5" s="1"/>
  <c r="J257" i="5" s="1"/>
  <c r="K257" i="5" s="1"/>
  <c r="R256" i="5" a="1"/>
  <c r="R256" i="5"/>
  <c r="Q256" i="5"/>
  <c r="N256" i="5"/>
  <c r="M256" i="5"/>
  <c r="G256" i="5" a="1"/>
  <c r="G256" i="5" s="1"/>
  <c r="R255" i="5" a="1"/>
  <c r="R255" i="5" s="1"/>
  <c r="Q255" i="5"/>
  <c r="N255" i="5"/>
  <c r="M255" i="5"/>
  <c r="G255" i="5" a="1"/>
  <c r="G255" i="5" s="1"/>
  <c r="R254" i="5" a="1"/>
  <c r="R254" i="5" s="1"/>
  <c r="Q254" i="5"/>
  <c r="N254" i="5"/>
  <c r="M254" i="5"/>
  <c r="G254" i="5" a="1"/>
  <c r="G254" i="5" s="1"/>
  <c r="R253" i="5" a="1"/>
  <c r="R253" i="5" s="1"/>
  <c r="Q253" i="5"/>
  <c r="N253" i="5"/>
  <c r="M253" i="5"/>
  <c r="G253" i="5" a="1"/>
  <c r="G253" i="5" s="1"/>
  <c r="R252" i="5" a="1"/>
  <c r="R252" i="5"/>
  <c r="Q252" i="5"/>
  <c r="N252" i="5"/>
  <c r="M252" i="5"/>
  <c r="I252" i="5"/>
  <c r="J252" i="5" s="1"/>
  <c r="K252" i="5" s="1"/>
  <c r="H252" i="5"/>
  <c r="G252" i="5" a="1"/>
  <c r="G252" i="5"/>
  <c r="R251" i="5" a="1"/>
  <c r="R251" i="5"/>
  <c r="Q251" i="5"/>
  <c r="N251" i="5"/>
  <c r="M251" i="5"/>
  <c r="K251" i="5"/>
  <c r="G251" i="5" a="1"/>
  <c r="G251" i="5" s="1"/>
  <c r="I251" i="5" s="1"/>
  <c r="J251" i="5" s="1"/>
  <c r="R250" i="5" a="1"/>
  <c r="R250" i="5"/>
  <c r="Q250" i="5"/>
  <c r="N250" i="5"/>
  <c r="M250" i="5"/>
  <c r="G250" i="5" a="1"/>
  <c r="G250" i="5"/>
  <c r="I250" i="5" s="1"/>
  <c r="J250" i="5" s="1"/>
  <c r="K250" i="5" s="1"/>
  <c r="R249" i="5" a="1"/>
  <c r="R249" i="5"/>
  <c r="Q249" i="5"/>
  <c r="N249" i="5"/>
  <c r="M249" i="5"/>
  <c r="G249" i="5" a="1"/>
  <c r="G249" i="5"/>
  <c r="R248" i="5" a="1"/>
  <c r="R248" i="5" s="1"/>
  <c r="Q248" i="5"/>
  <c r="N248" i="5"/>
  <c r="M248" i="5"/>
  <c r="J248" i="5"/>
  <c r="K248" i="5" s="1"/>
  <c r="I248" i="5"/>
  <c r="H248" i="5"/>
  <c r="G248" i="5" a="1"/>
  <c r="G248" i="5"/>
  <c r="R247" i="5" a="1"/>
  <c r="R247" i="5" s="1"/>
  <c r="Q247" i="5"/>
  <c r="N247" i="5"/>
  <c r="M247" i="5"/>
  <c r="G247" i="5" a="1"/>
  <c r="G247" i="5"/>
  <c r="H247" i="5" s="1"/>
  <c r="R246" i="5" a="1"/>
  <c r="R246" i="5" s="1"/>
  <c r="Q246" i="5"/>
  <c r="N246" i="5"/>
  <c r="M246" i="5"/>
  <c r="I246" i="5"/>
  <c r="J246" i="5" s="1"/>
  <c r="K246" i="5" s="1"/>
  <c r="H246" i="5"/>
  <c r="G246" i="5" a="1"/>
  <c r="G246" i="5" s="1"/>
  <c r="R245" i="5" a="1"/>
  <c r="R245" i="5" s="1"/>
  <c r="Q245" i="5"/>
  <c r="N245" i="5"/>
  <c r="M245" i="5"/>
  <c r="G245" i="5" a="1"/>
  <c r="G245" i="5" s="1"/>
  <c r="H245" i="5" s="1"/>
  <c r="R244" i="5" a="1"/>
  <c r="R244" i="5" s="1"/>
  <c r="Q244" i="5"/>
  <c r="N244" i="5"/>
  <c r="M244" i="5"/>
  <c r="G244" i="5" a="1"/>
  <c r="G244" i="5" s="1"/>
  <c r="R243" i="5" a="1"/>
  <c r="R243" i="5"/>
  <c r="Q243" i="5"/>
  <c r="N243" i="5"/>
  <c r="M243" i="5"/>
  <c r="G243" i="5" a="1"/>
  <c r="G243" i="5"/>
  <c r="H243" i="5" s="1"/>
  <c r="R242" i="5" a="1"/>
  <c r="R242" i="5" s="1"/>
  <c r="Q242" i="5"/>
  <c r="N242" i="5"/>
  <c r="M242" i="5"/>
  <c r="G242" i="5" a="1"/>
  <c r="G242" i="5"/>
  <c r="R241" i="5" a="1"/>
  <c r="R241" i="5"/>
  <c r="Q241" i="5"/>
  <c r="N241" i="5"/>
  <c r="M241" i="5"/>
  <c r="I241" i="5"/>
  <c r="J241" i="5" s="1"/>
  <c r="K241" i="5" s="1"/>
  <c r="G241" i="5" a="1"/>
  <c r="G241" i="5"/>
  <c r="H241" i="5" s="1"/>
  <c r="R240" i="5" a="1"/>
  <c r="R240" i="5"/>
  <c r="Q240" i="5"/>
  <c r="N240" i="5"/>
  <c r="M240" i="5"/>
  <c r="G240" i="5" a="1"/>
  <c r="G240" i="5"/>
  <c r="I240" i="5" s="1"/>
  <c r="J240" i="5" s="1"/>
  <c r="K240" i="5" s="1"/>
  <c r="R239" i="5" a="1"/>
  <c r="R239" i="5"/>
  <c r="Q239" i="5"/>
  <c r="N239" i="5"/>
  <c r="M239" i="5"/>
  <c r="H239" i="5"/>
  <c r="G239" i="5" a="1"/>
  <c r="G239" i="5" s="1"/>
  <c r="I239" i="5" s="1"/>
  <c r="J239" i="5" s="1"/>
  <c r="K239" i="5" s="1"/>
  <c r="R238" i="5" a="1"/>
  <c r="R238" i="5"/>
  <c r="Q238" i="5"/>
  <c r="N238" i="5"/>
  <c r="M238" i="5"/>
  <c r="G238" i="5" a="1"/>
  <c r="G238" i="5"/>
  <c r="R237" i="5" a="1"/>
  <c r="R237" i="5" s="1"/>
  <c r="Q237" i="5"/>
  <c r="N237" i="5"/>
  <c r="M237" i="5"/>
  <c r="H237" i="5"/>
  <c r="G237" i="5" a="1"/>
  <c r="G237" i="5" s="1"/>
  <c r="I237" i="5" s="1"/>
  <c r="J237" i="5" s="1"/>
  <c r="K237" i="5" s="1"/>
  <c r="R236" i="5" a="1"/>
  <c r="R236" i="5" s="1"/>
  <c r="Q236" i="5"/>
  <c r="N236" i="5"/>
  <c r="M236" i="5"/>
  <c r="G236" i="5" a="1"/>
  <c r="G236" i="5" s="1"/>
  <c r="R235" i="5" a="1"/>
  <c r="R235" i="5" s="1"/>
  <c r="Q235" i="5"/>
  <c r="N235" i="5"/>
  <c r="M235" i="5"/>
  <c r="K235" i="5"/>
  <c r="I235" i="5"/>
  <c r="J235" i="5" s="1"/>
  <c r="G235" i="5" a="1"/>
  <c r="G235" i="5" s="1"/>
  <c r="H235" i="5" s="1"/>
  <c r="R234" i="5" a="1"/>
  <c r="R234" i="5"/>
  <c r="Q234" i="5"/>
  <c r="N234" i="5"/>
  <c r="M234" i="5"/>
  <c r="I234" i="5"/>
  <c r="J234" i="5" s="1"/>
  <c r="K234" i="5" s="1"/>
  <c r="H234" i="5"/>
  <c r="G234" i="5" a="1"/>
  <c r="G234" i="5" s="1"/>
  <c r="R233" i="5" a="1"/>
  <c r="R233" i="5" s="1"/>
  <c r="Q233" i="5"/>
  <c r="N233" i="5"/>
  <c r="M233" i="5"/>
  <c r="G233" i="5" a="1"/>
  <c r="G233" i="5" s="1"/>
  <c r="I233" i="5" s="1"/>
  <c r="J233" i="5" s="1"/>
  <c r="K233" i="5" s="1"/>
  <c r="R232" i="5" a="1"/>
  <c r="R232" i="5"/>
  <c r="Q232" i="5"/>
  <c r="N232" i="5"/>
  <c r="M232" i="5"/>
  <c r="G232" i="5" a="1"/>
  <c r="G232" i="5"/>
  <c r="I232" i="5" s="1"/>
  <c r="J232" i="5" s="1"/>
  <c r="K232" i="5" s="1"/>
  <c r="R231" i="5" a="1"/>
  <c r="R231" i="5"/>
  <c r="Q231" i="5"/>
  <c r="N231" i="5"/>
  <c r="M231" i="5"/>
  <c r="G231" i="5" a="1"/>
  <c r="G231" i="5"/>
  <c r="R230" i="5" a="1"/>
  <c r="R230" i="5" s="1"/>
  <c r="Q230" i="5"/>
  <c r="N230" i="5"/>
  <c r="M230" i="5"/>
  <c r="J230" i="5"/>
  <c r="K230" i="5" s="1"/>
  <c r="I230" i="5"/>
  <c r="H230" i="5"/>
  <c r="G230" i="5" a="1"/>
  <c r="G230" i="5"/>
  <c r="R229" i="5" a="1"/>
  <c r="R229" i="5" s="1"/>
  <c r="Q229" i="5"/>
  <c r="N229" i="5"/>
  <c r="M229" i="5"/>
  <c r="G229" i="5" a="1"/>
  <c r="G229" i="5"/>
  <c r="H229" i="5" s="1"/>
  <c r="R228" i="5" a="1"/>
  <c r="R228" i="5" s="1"/>
  <c r="Q228" i="5"/>
  <c r="N228" i="5"/>
  <c r="M228" i="5"/>
  <c r="I228" i="5"/>
  <c r="J228" i="5" s="1"/>
  <c r="K228" i="5" s="1"/>
  <c r="H228" i="5"/>
  <c r="G228" i="5" a="1"/>
  <c r="G228" i="5" s="1"/>
  <c r="R227" i="5" a="1"/>
  <c r="R227" i="5" s="1"/>
  <c r="Q227" i="5"/>
  <c r="N227" i="5"/>
  <c r="M227" i="5"/>
  <c r="G227" i="5" a="1"/>
  <c r="G227" i="5" s="1"/>
  <c r="H227" i="5" s="1"/>
  <c r="R226" i="5" a="1"/>
  <c r="R226" i="5" s="1"/>
  <c r="Q226" i="5"/>
  <c r="N226" i="5"/>
  <c r="M226" i="5"/>
  <c r="G226" i="5" a="1"/>
  <c r="G226" i="5" s="1"/>
  <c r="R225" i="5" a="1"/>
  <c r="R225" i="5" s="1"/>
  <c r="Q225" i="5"/>
  <c r="N225" i="5"/>
  <c r="M225" i="5"/>
  <c r="G225" i="5" a="1"/>
  <c r="G225" i="5"/>
  <c r="H225" i="5" s="1"/>
  <c r="R224" i="5" a="1"/>
  <c r="R224" i="5" s="1"/>
  <c r="Q224" i="5"/>
  <c r="N224" i="5"/>
  <c r="M224" i="5"/>
  <c r="G224" i="5" a="1"/>
  <c r="G224" i="5" s="1"/>
  <c r="R223" i="5" a="1"/>
  <c r="R223" i="5"/>
  <c r="Q223" i="5"/>
  <c r="N223" i="5"/>
  <c r="M223" i="5"/>
  <c r="J223" i="5"/>
  <c r="K223" i="5" s="1"/>
  <c r="I223" i="5"/>
  <c r="G223" i="5" a="1"/>
  <c r="G223" i="5"/>
  <c r="H223" i="5" s="1"/>
  <c r="R222" i="5" a="1"/>
  <c r="R222" i="5"/>
  <c r="Q222" i="5"/>
  <c r="N222" i="5"/>
  <c r="M222" i="5"/>
  <c r="I222" i="5"/>
  <c r="J222" i="5" s="1"/>
  <c r="K222" i="5" s="1"/>
  <c r="G222" i="5" a="1"/>
  <c r="G222" i="5"/>
  <c r="H222" i="5" s="1"/>
  <c r="R221" i="5" a="1"/>
  <c r="R221" i="5"/>
  <c r="Q221" i="5"/>
  <c r="N221" i="5"/>
  <c r="M221" i="5"/>
  <c r="G221" i="5" a="1"/>
  <c r="G221" i="5" s="1"/>
  <c r="I221" i="5" s="1"/>
  <c r="J221" i="5" s="1"/>
  <c r="K221" i="5" s="1"/>
  <c r="R220" i="5" a="1"/>
  <c r="R220" i="5"/>
  <c r="Q220" i="5"/>
  <c r="N220" i="5"/>
  <c r="M220" i="5"/>
  <c r="G220" i="5" a="1"/>
  <c r="G220" i="5"/>
  <c r="R219" i="5" a="1"/>
  <c r="R219" i="5" s="1"/>
  <c r="Q219" i="5"/>
  <c r="N219" i="5"/>
  <c r="M219" i="5"/>
  <c r="G219" i="5" a="1"/>
  <c r="G219" i="5" s="1"/>
  <c r="R218" i="5" a="1"/>
  <c r="R218" i="5" s="1"/>
  <c r="Q218" i="5"/>
  <c r="N218" i="5"/>
  <c r="M218" i="5"/>
  <c r="G218" i="5" a="1"/>
  <c r="G218" i="5" s="1"/>
  <c r="R217" i="5" a="1"/>
  <c r="R217" i="5"/>
  <c r="Q217" i="5"/>
  <c r="N217" i="5"/>
  <c r="M217" i="5"/>
  <c r="G217" i="5" a="1"/>
  <c r="G217" i="5" s="1"/>
  <c r="H217" i="5" s="1"/>
  <c r="R216" i="5" a="1"/>
  <c r="R216" i="5"/>
  <c r="Q216" i="5"/>
  <c r="N216" i="5"/>
  <c r="M216" i="5"/>
  <c r="I216" i="5"/>
  <c r="J216" i="5" s="1"/>
  <c r="K216" i="5" s="1"/>
  <c r="H216" i="5"/>
  <c r="G216" i="5" a="1"/>
  <c r="G216" i="5" s="1"/>
  <c r="R215" i="5" a="1"/>
  <c r="R215" i="5" s="1"/>
  <c r="Q215" i="5"/>
  <c r="N215" i="5"/>
  <c r="M215" i="5"/>
  <c r="K215" i="5"/>
  <c r="H215" i="5"/>
  <c r="G215" i="5" a="1"/>
  <c r="G215" i="5" s="1"/>
  <c r="I215" i="5" s="1"/>
  <c r="J215" i="5" s="1"/>
  <c r="R214" i="5" a="1"/>
  <c r="R214" i="5"/>
  <c r="Q214" i="5"/>
  <c r="N214" i="5"/>
  <c r="M214" i="5"/>
  <c r="H214" i="5"/>
  <c r="G214" i="5" a="1"/>
  <c r="G214" i="5"/>
  <c r="I214" i="5" s="1"/>
  <c r="J214" i="5" s="1"/>
  <c r="K214" i="5" s="1"/>
  <c r="R213" i="5" a="1"/>
  <c r="R213" i="5"/>
  <c r="Q213" i="5"/>
  <c r="N213" i="5"/>
  <c r="M213" i="5"/>
  <c r="G213" i="5" a="1"/>
  <c r="G213" i="5"/>
  <c r="R212" i="5" a="1"/>
  <c r="R212" i="5" s="1"/>
  <c r="Q212" i="5"/>
  <c r="N212" i="5"/>
  <c r="M212" i="5"/>
  <c r="J212" i="5"/>
  <c r="K212" i="5" s="1"/>
  <c r="I212" i="5"/>
  <c r="H212" i="5"/>
  <c r="G212" i="5" a="1"/>
  <c r="G212" i="5"/>
  <c r="R211" i="5" a="1"/>
  <c r="R211" i="5"/>
  <c r="Q211" i="5"/>
  <c r="N211" i="5"/>
  <c r="M211" i="5"/>
  <c r="I211" i="5"/>
  <c r="J211" i="5" s="1"/>
  <c r="K211" i="5" s="1"/>
  <c r="G211" i="5" a="1"/>
  <c r="G211" i="5"/>
  <c r="H211" i="5" s="1"/>
  <c r="R210" i="5" a="1"/>
  <c r="R210" i="5"/>
  <c r="Q210" i="5"/>
  <c r="N210" i="5"/>
  <c r="M210" i="5"/>
  <c r="H210" i="5"/>
  <c r="G210" i="5" a="1"/>
  <c r="G210" i="5" s="1"/>
  <c r="I210" i="5" s="1"/>
  <c r="J210" i="5" s="1"/>
  <c r="K210" i="5" s="1"/>
  <c r="R209" i="5" a="1"/>
  <c r="R209" i="5" s="1"/>
  <c r="Q209" i="5"/>
  <c r="N209" i="5"/>
  <c r="M209" i="5"/>
  <c r="G209" i="5" a="1"/>
  <c r="G209" i="5" s="1"/>
  <c r="R208" i="5" a="1"/>
  <c r="R208" i="5" s="1"/>
  <c r="Q208" i="5"/>
  <c r="N208" i="5"/>
  <c r="M208" i="5"/>
  <c r="G208" i="5" a="1"/>
  <c r="G208" i="5"/>
  <c r="R207" i="5" a="1"/>
  <c r="R207" i="5" s="1"/>
  <c r="Q207" i="5"/>
  <c r="N207" i="5"/>
  <c r="M207" i="5"/>
  <c r="G207" i="5" a="1"/>
  <c r="G207" i="5"/>
  <c r="H207" i="5" s="1"/>
  <c r="R206" i="5" a="1"/>
  <c r="R206" i="5" s="1"/>
  <c r="Q206" i="5"/>
  <c r="N206" i="5"/>
  <c r="M206" i="5"/>
  <c r="G206" i="5" a="1"/>
  <c r="G206" i="5" s="1"/>
  <c r="R205" i="5" a="1"/>
  <c r="R205" i="5" s="1"/>
  <c r="Q205" i="5"/>
  <c r="N205" i="5"/>
  <c r="M205" i="5"/>
  <c r="I205" i="5"/>
  <c r="J205" i="5" s="1"/>
  <c r="K205" i="5" s="1"/>
  <c r="G205" i="5" a="1"/>
  <c r="G205" i="5"/>
  <c r="H205" i="5" s="1"/>
  <c r="R204" i="5" a="1"/>
  <c r="R204" i="5"/>
  <c r="Q204" i="5"/>
  <c r="N204" i="5"/>
  <c r="M204" i="5"/>
  <c r="G204" i="5" a="1"/>
  <c r="G204" i="5" s="1"/>
  <c r="R203" i="5" a="1"/>
  <c r="R203" i="5"/>
  <c r="Q203" i="5"/>
  <c r="N203" i="5"/>
  <c r="M203" i="5"/>
  <c r="G203" i="5" a="1"/>
  <c r="G203" i="5" s="1"/>
  <c r="I203" i="5" s="1"/>
  <c r="J203" i="5" s="1"/>
  <c r="K203" i="5" s="1"/>
  <c r="R202" i="5" a="1"/>
  <c r="R202" i="5"/>
  <c r="Q202" i="5"/>
  <c r="N202" i="5"/>
  <c r="M202" i="5"/>
  <c r="G202" i="5" a="1"/>
  <c r="G202" i="5" s="1"/>
  <c r="R201" i="5" a="1"/>
  <c r="R201" i="5" s="1"/>
  <c r="Q201" i="5"/>
  <c r="N201" i="5"/>
  <c r="M201" i="5"/>
  <c r="G201" i="5" a="1"/>
  <c r="G201" i="5" s="1"/>
  <c r="R200" i="5" a="1"/>
  <c r="R200" i="5" s="1"/>
  <c r="Q200" i="5"/>
  <c r="N200" i="5"/>
  <c r="M200" i="5"/>
  <c r="G200" i="5" a="1"/>
  <c r="G200" i="5" s="1"/>
  <c r="R199" i="5" a="1"/>
  <c r="R199" i="5" s="1"/>
  <c r="Q199" i="5"/>
  <c r="N199" i="5"/>
  <c r="M199" i="5"/>
  <c r="H199" i="5"/>
  <c r="G199" i="5" a="1"/>
  <c r="G199" i="5" s="1"/>
  <c r="I199" i="5" s="1"/>
  <c r="J199" i="5" s="1"/>
  <c r="K199" i="5" s="1"/>
  <c r="R198" i="5" a="1"/>
  <c r="R198" i="5"/>
  <c r="Q198" i="5"/>
  <c r="N198" i="5"/>
  <c r="M198" i="5"/>
  <c r="G198" i="5" a="1"/>
  <c r="G198" i="5" s="1"/>
  <c r="I198" i="5" s="1"/>
  <c r="J198" i="5" s="1"/>
  <c r="K198" i="5" s="1"/>
  <c r="R197" i="5" a="1"/>
  <c r="R197" i="5" s="1"/>
  <c r="Q197" i="5"/>
  <c r="N197" i="5"/>
  <c r="M197" i="5"/>
  <c r="G197" i="5" a="1"/>
  <c r="G197" i="5" s="1"/>
  <c r="I197" i="5" s="1"/>
  <c r="J197" i="5" s="1"/>
  <c r="K197" i="5" s="1"/>
  <c r="R196" i="5" a="1"/>
  <c r="R196" i="5"/>
  <c r="Q196" i="5"/>
  <c r="N196" i="5"/>
  <c r="M196" i="5"/>
  <c r="G196" i="5" a="1"/>
  <c r="G196" i="5" s="1"/>
  <c r="R195" i="5" a="1"/>
  <c r="R195" i="5"/>
  <c r="Q195" i="5"/>
  <c r="N195" i="5"/>
  <c r="M195" i="5"/>
  <c r="G195" i="5" a="1"/>
  <c r="G195" i="5"/>
  <c r="R194" i="5" a="1"/>
  <c r="R194" i="5" s="1"/>
  <c r="Q194" i="5"/>
  <c r="N194" i="5"/>
  <c r="M194" i="5"/>
  <c r="I194" i="5"/>
  <c r="J194" i="5" s="1"/>
  <c r="K194" i="5" s="1"/>
  <c r="H194" i="5"/>
  <c r="G194" i="5" a="1"/>
  <c r="G194" i="5"/>
  <c r="R193" i="5" a="1"/>
  <c r="R193" i="5"/>
  <c r="Q193" i="5"/>
  <c r="N193" i="5"/>
  <c r="M193" i="5"/>
  <c r="G193" i="5" a="1"/>
  <c r="G193" i="5"/>
  <c r="H193" i="5" s="1"/>
  <c r="R192" i="5" a="1"/>
  <c r="R192" i="5" s="1"/>
  <c r="Q192" i="5"/>
  <c r="N192" i="5"/>
  <c r="M192" i="5"/>
  <c r="I192" i="5"/>
  <c r="J192" i="5" s="1"/>
  <c r="K192" i="5" s="1"/>
  <c r="G192" i="5" a="1"/>
  <c r="G192" i="5" s="1"/>
  <c r="H192" i="5" s="1"/>
  <c r="R191" i="5" a="1"/>
  <c r="R191" i="5" s="1"/>
  <c r="Q191" i="5"/>
  <c r="N191" i="5"/>
  <c r="M191" i="5"/>
  <c r="G191" i="5" a="1"/>
  <c r="G191" i="5" s="1"/>
  <c r="R190" i="5" a="1"/>
  <c r="R190" i="5" s="1"/>
  <c r="Q190" i="5"/>
  <c r="N190" i="5"/>
  <c r="M190" i="5"/>
  <c r="G190" i="5" a="1"/>
  <c r="G190" i="5" s="1"/>
  <c r="R189" i="5" a="1"/>
  <c r="R189" i="5" s="1"/>
  <c r="Q189" i="5"/>
  <c r="N189" i="5"/>
  <c r="M189" i="5"/>
  <c r="J189" i="5"/>
  <c r="K189" i="5" s="1"/>
  <c r="I189" i="5"/>
  <c r="G189" i="5" a="1"/>
  <c r="G189" i="5"/>
  <c r="H189" i="5" s="1"/>
  <c r="R188" i="5" a="1"/>
  <c r="R188" i="5" s="1"/>
  <c r="Q188" i="5"/>
  <c r="N188" i="5"/>
  <c r="M188" i="5"/>
  <c r="G188" i="5" a="1"/>
  <c r="G188" i="5" s="1"/>
  <c r="R187" i="5" a="1"/>
  <c r="R187" i="5" s="1"/>
  <c r="Q187" i="5"/>
  <c r="N187" i="5"/>
  <c r="M187" i="5"/>
  <c r="J187" i="5"/>
  <c r="K187" i="5" s="1"/>
  <c r="I187" i="5"/>
  <c r="G187" i="5" a="1"/>
  <c r="G187" i="5"/>
  <c r="H187" i="5" s="1"/>
  <c r="R186" i="5" a="1"/>
  <c r="R186" i="5"/>
  <c r="Q186" i="5"/>
  <c r="N186" i="5"/>
  <c r="M186" i="5"/>
  <c r="G186" i="5" a="1"/>
  <c r="G186" i="5" s="1"/>
  <c r="R185" i="5" a="1"/>
  <c r="R185" i="5"/>
  <c r="Q185" i="5"/>
  <c r="N185" i="5"/>
  <c r="M185" i="5"/>
  <c r="G185" i="5" a="1"/>
  <c r="G185" i="5"/>
  <c r="I185" i="5" s="1"/>
  <c r="J185" i="5" s="1"/>
  <c r="K185" i="5" s="1"/>
  <c r="R184" i="5" a="1"/>
  <c r="R184" i="5"/>
  <c r="Q184" i="5"/>
  <c r="N184" i="5"/>
  <c r="M184" i="5"/>
  <c r="G184" i="5" a="1"/>
  <c r="G184" i="5"/>
  <c r="R183" i="5" a="1"/>
  <c r="R183" i="5" s="1"/>
  <c r="Q183" i="5"/>
  <c r="N183" i="5"/>
  <c r="M183" i="5"/>
  <c r="G183" i="5" a="1"/>
  <c r="G183" i="5"/>
  <c r="I183" i="5" s="1"/>
  <c r="J183" i="5" s="1"/>
  <c r="K183" i="5" s="1"/>
  <c r="R182" i="5" a="1"/>
  <c r="R182" i="5" s="1"/>
  <c r="Q182" i="5"/>
  <c r="N182" i="5"/>
  <c r="M182" i="5"/>
  <c r="G182" i="5" a="1"/>
  <c r="G182" i="5" s="1"/>
  <c r="R181" i="5" a="1"/>
  <c r="R181" i="5" s="1"/>
  <c r="Q181" i="5"/>
  <c r="N181" i="5"/>
  <c r="M181" i="5"/>
  <c r="G181" i="5" a="1"/>
  <c r="G181" i="5" s="1"/>
  <c r="I181" i="5" s="1"/>
  <c r="J181" i="5" s="1"/>
  <c r="K181" i="5" s="1"/>
  <c r="R180" i="5" a="1"/>
  <c r="R180" i="5"/>
  <c r="Q180" i="5"/>
  <c r="N180" i="5"/>
  <c r="M180" i="5"/>
  <c r="I180" i="5"/>
  <c r="J180" i="5" s="1"/>
  <c r="K180" i="5" s="1"/>
  <c r="G180" i="5" a="1"/>
  <c r="G180" i="5" s="1"/>
  <c r="H180" i="5" s="1"/>
  <c r="R179" i="5" a="1"/>
  <c r="R179" i="5" s="1"/>
  <c r="Q179" i="5"/>
  <c r="N179" i="5"/>
  <c r="M179" i="5"/>
  <c r="K179" i="5"/>
  <c r="G179" i="5" a="1"/>
  <c r="G179" i="5" s="1"/>
  <c r="I179" i="5" s="1"/>
  <c r="J179" i="5" s="1"/>
  <c r="R178" i="5" a="1"/>
  <c r="R178" i="5"/>
  <c r="Q178" i="5"/>
  <c r="N178" i="5"/>
  <c r="M178" i="5"/>
  <c r="G178" i="5" a="1"/>
  <c r="G178" i="5" s="1"/>
  <c r="R177" i="5" a="1"/>
  <c r="R177" i="5" s="1"/>
  <c r="Q177" i="5"/>
  <c r="N177" i="5"/>
  <c r="M177" i="5"/>
  <c r="G177" i="5" a="1"/>
  <c r="G177" i="5"/>
  <c r="R176" i="5" a="1"/>
  <c r="R176" i="5"/>
  <c r="Q176" i="5"/>
  <c r="N176" i="5"/>
  <c r="M176" i="5"/>
  <c r="I176" i="5"/>
  <c r="J176" i="5" s="1"/>
  <c r="K176" i="5" s="1"/>
  <c r="H176" i="5"/>
  <c r="G176" i="5" a="1"/>
  <c r="G176" i="5"/>
  <c r="R175" i="5" a="1"/>
  <c r="R175" i="5" s="1"/>
  <c r="Q175" i="5"/>
  <c r="N175" i="5"/>
  <c r="M175" i="5"/>
  <c r="J175" i="5"/>
  <c r="K175" i="5" s="1"/>
  <c r="I175" i="5"/>
  <c r="H175" i="5"/>
  <c r="G175" i="5" a="1"/>
  <c r="G175" i="5"/>
  <c r="R174" i="5" a="1"/>
  <c r="R174" i="5"/>
  <c r="Q174" i="5"/>
  <c r="N174" i="5"/>
  <c r="M174" i="5"/>
  <c r="I174" i="5"/>
  <c r="J174" i="5" s="1"/>
  <c r="K174" i="5" s="1"/>
  <c r="H174" i="5"/>
  <c r="G174" i="5" a="1"/>
  <c r="G174" i="5" s="1"/>
  <c r="R173" i="5" a="1"/>
  <c r="R173" i="5"/>
  <c r="Q173" i="5"/>
  <c r="N173" i="5"/>
  <c r="M173" i="5"/>
  <c r="G173" i="5" a="1"/>
  <c r="G173" i="5" s="1"/>
  <c r="R172" i="5" a="1"/>
  <c r="R172" i="5" s="1"/>
  <c r="Q172" i="5"/>
  <c r="N172" i="5"/>
  <c r="M172" i="5"/>
  <c r="G172" i="5" a="1"/>
  <c r="G172" i="5" s="1"/>
  <c r="R171" i="5" a="1"/>
  <c r="R171" i="5" s="1"/>
  <c r="Q171" i="5"/>
  <c r="N171" i="5"/>
  <c r="M171" i="5"/>
  <c r="J171" i="5"/>
  <c r="K171" i="5" s="1"/>
  <c r="I171" i="5"/>
  <c r="G171" i="5" a="1"/>
  <c r="G171" i="5"/>
  <c r="H171" i="5" s="1"/>
  <c r="R170" i="5" a="1"/>
  <c r="R170" i="5" s="1"/>
  <c r="Q170" i="5"/>
  <c r="N170" i="5"/>
  <c r="M170" i="5"/>
  <c r="G170" i="5" a="1"/>
  <c r="G170" i="5" s="1"/>
  <c r="R169" i="5" a="1"/>
  <c r="R169" i="5" s="1"/>
  <c r="Q169" i="5"/>
  <c r="N169" i="5"/>
  <c r="M169" i="5"/>
  <c r="J169" i="5"/>
  <c r="K169" i="5" s="1"/>
  <c r="I169" i="5"/>
  <c r="G169" i="5" a="1"/>
  <c r="G169" i="5"/>
  <c r="H169" i="5" s="1"/>
  <c r="R168" i="5" a="1"/>
  <c r="R168" i="5"/>
  <c r="Q168" i="5"/>
  <c r="N168" i="5"/>
  <c r="M168" i="5"/>
  <c r="G168" i="5" a="1"/>
  <c r="G168" i="5" s="1"/>
  <c r="R167" i="5" a="1"/>
  <c r="R167" i="5"/>
  <c r="Q167" i="5"/>
  <c r="N167" i="5"/>
  <c r="M167" i="5"/>
  <c r="G167" i="5" a="1"/>
  <c r="G167" i="5" s="1"/>
  <c r="R166" i="5" a="1"/>
  <c r="R166" i="5"/>
  <c r="Q166" i="5"/>
  <c r="N166" i="5"/>
  <c r="M166" i="5"/>
  <c r="G166" i="5" a="1"/>
  <c r="G166" i="5"/>
  <c r="R165" i="5" a="1"/>
  <c r="R165" i="5" s="1"/>
  <c r="Q165" i="5"/>
  <c r="N165" i="5"/>
  <c r="M165" i="5"/>
  <c r="G165" i="5" a="1"/>
  <c r="G165" i="5" s="1"/>
  <c r="R164" i="5" a="1"/>
  <c r="R164" i="5" s="1"/>
  <c r="Q164" i="5"/>
  <c r="N164" i="5"/>
  <c r="M164" i="5"/>
  <c r="G164" i="5" a="1"/>
  <c r="G164" i="5" s="1"/>
  <c r="R163" i="5" a="1"/>
  <c r="R163" i="5" s="1"/>
  <c r="Q163" i="5"/>
  <c r="N163" i="5"/>
  <c r="M163" i="5"/>
  <c r="H163" i="5"/>
  <c r="G163" i="5" a="1"/>
  <c r="G163" i="5" s="1"/>
  <c r="I163" i="5" s="1"/>
  <c r="J163" i="5" s="1"/>
  <c r="K163" i="5" s="1"/>
  <c r="R162" i="5" a="1"/>
  <c r="R162" i="5"/>
  <c r="Q162" i="5"/>
  <c r="N162" i="5"/>
  <c r="M162" i="5"/>
  <c r="G162" i="5" a="1"/>
  <c r="G162" i="5"/>
  <c r="I162" i="5" s="1"/>
  <c r="J162" i="5" s="1"/>
  <c r="K162" i="5" s="1"/>
  <c r="R161" i="5" a="1"/>
  <c r="R161" i="5" s="1"/>
  <c r="Q161" i="5"/>
  <c r="N161" i="5"/>
  <c r="M161" i="5"/>
  <c r="G161" i="5" a="1"/>
  <c r="G161" i="5"/>
  <c r="I161" i="5" s="1"/>
  <c r="J161" i="5" s="1"/>
  <c r="K161" i="5" s="1"/>
  <c r="R160" i="5" a="1"/>
  <c r="R160" i="5"/>
  <c r="Q160" i="5"/>
  <c r="N160" i="5"/>
  <c r="M160" i="5"/>
  <c r="G160" i="5" a="1"/>
  <c r="G160" i="5" s="1"/>
  <c r="R159" i="5" a="1"/>
  <c r="R159" i="5" s="1"/>
  <c r="Q159" i="5"/>
  <c r="N159" i="5"/>
  <c r="M159" i="5"/>
  <c r="G159" i="5" a="1"/>
  <c r="G159" i="5" s="1"/>
  <c r="R158" i="5" a="1"/>
  <c r="R158" i="5"/>
  <c r="Q158" i="5"/>
  <c r="N158" i="5"/>
  <c r="M158" i="5"/>
  <c r="K158" i="5"/>
  <c r="J158" i="5"/>
  <c r="I158" i="5"/>
  <c r="H158" i="5"/>
  <c r="G158" i="5" a="1"/>
  <c r="G158" i="5"/>
  <c r="R157" i="5" a="1"/>
  <c r="R157" i="5" s="1"/>
  <c r="Q157" i="5"/>
  <c r="N157" i="5"/>
  <c r="M157" i="5"/>
  <c r="H157" i="5"/>
  <c r="G157" i="5" a="1"/>
  <c r="G157" i="5"/>
  <c r="I157" i="5" s="1"/>
  <c r="J157" i="5" s="1"/>
  <c r="K157" i="5" s="1"/>
  <c r="R156" i="5" a="1"/>
  <c r="R156" i="5"/>
  <c r="Q156" i="5"/>
  <c r="N156" i="5"/>
  <c r="M156" i="5"/>
  <c r="G156" i="5" a="1"/>
  <c r="G156" i="5" s="1"/>
  <c r="I156" i="5" s="1"/>
  <c r="J156" i="5" s="1"/>
  <c r="K156" i="5" s="1"/>
  <c r="R155" i="5" a="1"/>
  <c r="R155" i="5" s="1"/>
  <c r="Q155" i="5"/>
  <c r="N155" i="5"/>
  <c r="M155" i="5"/>
  <c r="G155" i="5" a="1"/>
  <c r="G155" i="5" s="1"/>
  <c r="R154" i="5" a="1"/>
  <c r="R154" i="5" s="1"/>
  <c r="Q154" i="5"/>
  <c r="N154" i="5"/>
  <c r="M154" i="5"/>
  <c r="G154" i="5" a="1"/>
  <c r="G154" i="5" s="1"/>
  <c r="R153" i="5" a="1"/>
  <c r="R153" i="5" s="1"/>
  <c r="Q153" i="5"/>
  <c r="N153" i="5"/>
  <c r="M153" i="5"/>
  <c r="G153" i="5" a="1"/>
  <c r="G153" i="5"/>
  <c r="H153" i="5" s="1"/>
  <c r="R152" i="5" a="1"/>
  <c r="R152" i="5" s="1"/>
  <c r="Q152" i="5"/>
  <c r="N152" i="5"/>
  <c r="M152" i="5"/>
  <c r="K152" i="5"/>
  <c r="J152" i="5"/>
  <c r="I152" i="5"/>
  <c r="H152" i="5"/>
  <c r="G152" i="5" a="1"/>
  <c r="G152" i="5"/>
  <c r="R151" i="5" a="1"/>
  <c r="R151" i="5"/>
  <c r="Q151" i="5"/>
  <c r="N151" i="5"/>
  <c r="M151" i="5"/>
  <c r="G151" i="5" a="1"/>
  <c r="G151" i="5"/>
  <c r="I151" i="5" s="1"/>
  <c r="J151" i="5" s="1"/>
  <c r="K151" i="5" s="1"/>
  <c r="R150" i="5" a="1"/>
  <c r="R150" i="5" s="1"/>
  <c r="Q150" i="5"/>
  <c r="N150" i="5"/>
  <c r="M150" i="5"/>
  <c r="G150" i="5" a="1"/>
  <c r="G150" i="5"/>
  <c r="I150" i="5" s="1"/>
  <c r="J150" i="5" s="1"/>
  <c r="K150" i="5" s="1"/>
  <c r="R149" i="5" a="1"/>
  <c r="R149" i="5"/>
  <c r="Q149" i="5"/>
  <c r="N149" i="5"/>
  <c r="M149" i="5"/>
  <c r="I149" i="5"/>
  <c r="J149" i="5" s="1"/>
  <c r="K149" i="5" s="1"/>
  <c r="G149" i="5" a="1"/>
  <c r="G149" i="5"/>
  <c r="H149" i="5" s="1"/>
  <c r="R148" i="5" a="1"/>
  <c r="R148" i="5" s="1"/>
  <c r="Q148" i="5"/>
  <c r="N148" i="5"/>
  <c r="M148" i="5"/>
  <c r="G148" i="5" a="1"/>
  <c r="G148" i="5" s="1"/>
  <c r="R147" i="5" a="1"/>
  <c r="R147" i="5" s="1"/>
  <c r="Q147" i="5"/>
  <c r="N147" i="5"/>
  <c r="M147" i="5"/>
  <c r="G147" i="5" a="1"/>
  <c r="G147" i="5" s="1"/>
  <c r="R146" i="5" a="1"/>
  <c r="R146" i="5"/>
  <c r="Q146" i="5"/>
  <c r="N146" i="5"/>
  <c r="M146" i="5"/>
  <c r="G146" i="5" a="1"/>
  <c r="G146" i="5" s="1"/>
  <c r="R145" i="5" a="1"/>
  <c r="R145" i="5" s="1"/>
  <c r="Q145" i="5"/>
  <c r="N145" i="5"/>
  <c r="M145" i="5"/>
  <c r="G145" i="5" a="1"/>
  <c r="G145" i="5" s="1"/>
  <c r="I145" i="5" s="1"/>
  <c r="J145" i="5" s="1"/>
  <c r="K145" i="5" s="1"/>
  <c r="R144" i="5" a="1"/>
  <c r="R144" i="5"/>
  <c r="Q144" i="5"/>
  <c r="N144" i="5"/>
  <c r="M144" i="5"/>
  <c r="G144" i="5" a="1"/>
  <c r="G144" i="5" s="1"/>
  <c r="R143" i="5" a="1"/>
  <c r="R143" i="5" s="1"/>
  <c r="Q143" i="5"/>
  <c r="N143" i="5"/>
  <c r="M143" i="5"/>
  <c r="K143" i="5"/>
  <c r="H143" i="5"/>
  <c r="G143" i="5" a="1"/>
  <c r="G143" i="5"/>
  <c r="I143" i="5" s="1"/>
  <c r="J143" i="5" s="1"/>
  <c r="R142" i="5" a="1"/>
  <c r="R142" i="5"/>
  <c r="Q142" i="5"/>
  <c r="N142" i="5"/>
  <c r="M142" i="5"/>
  <c r="G142" i="5" a="1"/>
  <c r="G142" i="5" s="1"/>
  <c r="R141" i="5" a="1"/>
  <c r="R141" i="5"/>
  <c r="Q141" i="5"/>
  <c r="N141" i="5"/>
  <c r="M141" i="5"/>
  <c r="G141" i="5" a="1"/>
  <c r="G141" i="5" s="1"/>
  <c r="R140" i="5" a="1"/>
  <c r="R140" i="5" s="1"/>
  <c r="Q140" i="5"/>
  <c r="N140" i="5"/>
  <c r="M140" i="5"/>
  <c r="K140" i="5"/>
  <c r="J140" i="5"/>
  <c r="I140" i="5"/>
  <c r="H140" i="5"/>
  <c r="G140" i="5" a="1"/>
  <c r="G140" i="5"/>
  <c r="R139" i="5" a="1"/>
  <c r="R139" i="5" s="1"/>
  <c r="Q139" i="5"/>
  <c r="N139" i="5"/>
  <c r="M139" i="5"/>
  <c r="G139" i="5" a="1"/>
  <c r="G139" i="5" s="1"/>
  <c r="R138" i="5" a="1"/>
  <c r="R138" i="5"/>
  <c r="Q138" i="5"/>
  <c r="N138" i="5"/>
  <c r="M138" i="5"/>
  <c r="G138" i="5" a="1"/>
  <c r="G138" i="5" s="1"/>
  <c r="R137" i="5" a="1"/>
  <c r="R137" i="5" s="1"/>
  <c r="Q137" i="5"/>
  <c r="N137" i="5"/>
  <c r="M137" i="5"/>
  <c r="I137" i="5"/>
  <c r="J137" i="5" s="1"/>
  <c r="K137" i="5" s="1"/>
  <c r="G137" i="5" a="1"/>
  <c r="G137" i="5"/>
  <c r="H137" i="5" s="1"/>
  <c r="R136" i="5" a="1"/>
  <c r="R136" i="5" s="1"/>
  <c r="Q136" i="5"/>
  <c r="N136" i="5"/>
  <c r="M136" i="5"/>
  <c r="H136" i="5"/>
  <c r="G136" i="5" a="1"/>
  <c r="G136" i="5"/>
  <c r="I136" i="5" s="1"/>
  <c r="J136" i="5" s="1"/>
  <c r="K136" i="5" s="1"/>
  <c r="R135" i="5" a="1"/>
  <c r="R135" i="5" s="1"/>
  <c r="Q135" i="5"/>
  <c r="N135" i="5"/>
  <c r="M135" i="5"/>
  <c r="I135" i="5"/>
  <c r="J135" i="5" s="1"/>
  <c r="K135" i="5" s="1"/>
  <c r="G135" i="5" a="1"/>
  <c r="G135" i="5"/>
  <c r="H135" i="5" s="1"/>
  <c r="R134" i="5" a="1"/>
  <c r="R134" i="5" s="1"/>
  <c r="Q134" i="5"/>
  <c r="N134" i="5"/>
  <c r="M134" i="5"/>
  <c r="G134" i="5" a="1"/>
  <c r="G134" i="5"/>
  <c r="I134" i="5" s="1"/>
  <c r="J134" i="5" s="1"/>
  <c r="K134" i="5" s="1"/>
  <c r="R133" i="5" a="1"/>
  <c r="R133" i="5"/>
  <c r="Q133" i="5"/>
  <c r="N133" i="5"/>
  <c r="M133" i="5"/>
  <c r="G133" i="5" a="1"/>
  <c r="G133" i="5" s="1"/>
  <c r="R132" i="5" a="1"/>
  <c r="R132" i="5" s="1"/>
  <c r="Q132" i="5"/>
  <c r="N132" i="5"/>
  <c r="M132" i="5"/>
  <c r="G132" i="5" a="1"/>
  <c r="G132" i="5" s="1"/>
  <c r="R131" i="5" a="1"/>
  <c r="R131" i="5"/>
  <c r="Q131" i="5"/>
  <c r="N131" i="5"/>
  <c r="M131" i="5"/>
  <c r="G131" i="5" a="1"/>
  <c r="G131" i="5" s="1"/>
  <c r="R130" i="5" a="1"/>
  <c r="R130" i="5"/>
  <c r="Q130" i="5"/>
  <c r="N130" i="5"/>
  <c r="M130" i="5"/>
  <c r="G130" i="5" a="1"/>
  <c r="G130" i="5"/>
  <c r="R129" i="5" a="1"/>
  <c r="R129" i="5" s="1"/>
  <c r="Q129" i="5"/>
  <c r="N129" i="5"/>
  <c r="M129" i="5"/>
  <c r="G129" i="5" a="1"/>
  <c r="G129" i="5"/>
  <c r="I129" i="5" s="1"/>
  <c r="J129" i="5" s="1"/>
  <c r="K129" i="5" s="1"/>
  <c r="R128" i="5" a="1"/>
  <c r="R128" i="5"/>
  <c r="Q128" i="5"/>
  <c r="N128" i="5"/>
  <c r="M128" i="5"/>
  <c r="G128" i="5" a="1"/>
  <c r="G128" i="5" s="1"/>
  <c r="R127" i="5" a="1"/>
  <c r="R127" i="5"/>
  <c r="Q127" i="5"/>
  <c r="N127" i="5"/>
  <c r="M127" i="5"/>
  <c r="H127" i="5"/>
  <c r="G127" i="5" a="1"/>
  <c r="G127" i="5" s="1"/>
  <c r="I127" i="5" s="1"/>
  <c r="J127" i="5" s="1"/>
  <c r="K127" i="5" s="1"/>
  <c r="R126" i="5" a="1"/>
  <c r="R126" i="5"/>
  <c r="Q126" i="5"/>
  <c r="N126" i="5"/>
  <c r="M126" i="5"/>
  <c r="G126" i="5" a="1"/>
  <c r="G126" i="5" s="1"/>
  <c r="R125" i="5" a="1"/>
  <c r="R125" i="5" s="1"/>
  <c r="Q125" i="5"/>
  <c r="N125" i="5"/>
  <c r="M125" i="5"/>
  <c r="G125" i="5" a="1"/>
  <c r="G125" i="5" s="1"/>
  <c r="R124" i="5" a="1"/>
  <c r="R124" i="5"/>
  <c r="Q124" i="5"/>
  <c r="N124" i="5"/>
  <c r="M124" i="5"/>
  <c r="G124" i="5" a="1"/>
  <c r="G124" i="5" s="1"/>
  <c r="H124" i="5" s="1"/>
  <c r="R123" i="5" a="1"/>
  <c r="R123" i="5"/>
  <c r="Q123" i="5"/>
  <c r="N123" i="5"/>
  <c r="M123" i="5"/>
  <c r="G123" i="5" a="1"/>
  <c r="G123" i="5" s="1"/>
  <c r="R122" i="5" a="1"/>
  <c r="R122" i="5" s="1"/>
  <c r="Q122" i="5"/>
  <c r="N122" i="5"/>
  <c r="M122" i="5"/>
  <c r="I122" i="5"/>
  <c r="J122" i="5" s="1"/>
  <c r="K122" i="5" s="1"/>
  <c r="H122" i="5"/>
  <c r="G122" i="5" a="1"/>
  <c r="G122" i="5"/>
  <c r="R121" i="5" a="1"/>
  <c r="R121" i="5"/>
  <c r="Q121" i="5"/>
  <c r="N121" i="5"/>
  <c r="M121" i="5"/>
  <c r="G121" i="5" a="1"/>
  <c r="G121" i="5"/>
  <c r="R120" i="5" a="1"/>
  <c r="R120" i="5"/>
  <c r="Q120" i="5"/>
  <c r="N120" i="5"/>
  <c r="M120" i="5"/>
  <c r="G120" i="5" a="1"/>
  <c r="G120" i="5"/>
  <c r="I120" i="5" s="1"/>
  <c r="J120" i="5" s="1"/>
  <c r="K120" i="5" s="1"/>
  <c r="R119" i="5" a="1"/>
  <c r="R119" i="5" s="1"/>
  <c r="Q119" i="5"/>
  <c r="N119" i="5"/>
  <c r="M119" i="5"/>
  <c r="K119" i="5"/>
  <c r="J119" i="5"/>
  <c r="I119" i="5"/>
  <c r="H119" i="5"/>
  <c r="G119" i="5" a="1"/>
  <c r="G119" i="5"/>
  <c r="R118" i="5" a="1"/>
  <c r="R118" i="5" s="1"/>
  <c r="Q118" i="5"/>
  <c r="N118" i="5"/>
  <c r="M118" i="5"/>
  <c r="I118" i="5"/>
  <c r="J118" i="5" s="1"/>
  <c r="K118" i="5" s="1"/>
  <c r="G118" i="5" a="1"/>
  <c r="G118" i="5"/>
  <c r="H118" i="5" s="1"/>
  <c r="R117" i="5" a="1"/>
  <c r="R117" i="5" s="1"/>
  <c r="Q117" i="5"/>
  <c r="N117" i="5"/>
  <c r="M117" i="5"/>
  <c r="K117" i="5"/>
  <c r="I117" i="5"/>
  <c r="J117" i="5" s="1"/>
  <c r="G117" i="5" a="1"/>
  <c r="G117" i="5"/>
  <c r="H117" i="5" s="1"/>
  <c r="R116" i="5" a="1"/>
  <c r="R116" i="5" s="1"/>
  <c r="Q116" i="5"/>
  <c r="N116" i="5"/>
  <c r="M116" i="5"/>
  <c r="G116" i="5" a="1"/>
  <c r="G116" i="5"/>
  <c r="I116" i="5" s="1"/>
  <c r="J116" i="5" s="1"/>
  <c r="K116" i="5" s="1"/>
  <c r="R115" i="5" a="1"/>
  <c r="R115" i="5" s="1"/>
  <c r="Q115" i="5"/>
  <c r="N115" i="5"/>
  <c r="M115" i="5"/>
  <c r="G115" i="5" a="1"/>
  <c r="G115" i="5" s="1"/>
  <c r="R114" i="5" a="1"/>
  <c r="R114" i="5" s="1"/>
  <c r="Q114" i="5"/>
  <c r="N114" i="5"/>
  <c r="M114" i="5"/>
  <c r="G114" i="5" a="1"/>
  <c r="G114" i="5" s="1"/>
  <c r="R113" i="5" a="1"/>
  <c r="R113" i="5"/>
  <c r="Q113" i="5"/>
  <c r="N113" i="5"/>
  <c r="M113" i="5"/>
  <c r="I113" i="5"/>
  <c r="J113" i="5" s="1"/>
  <c r="K113" i="5" s="1"/>
  <c r="G113" i="5" a="1"/>
  <c r="G113" i="5"/>
  <c r="H113" i="5" s="1"/>
  <c r="R112" i="5" a="1"/>
  <c r="R112" i="5" s="1"/>
  <c r="Q112" i="5"/>
  <c r="N112" i="5"/>
  <c r="M112" i="5"/>
  <c r="K112" i="5"/>
  <c r="H112" i="5"/>
  <c r="G112" i="5" a="1"/>
  <c r="G112" i="5"/>
  <c r="I112" i="5" s="1"/>
  <c r="J112" i="5" s="1"/>
  <c r="R111" i="5" a="1"/>
  <c r="R111" i="5" s="1"/>
  <c r="Q111" i="5"/>
  <c r="N111" i="5"/>
  <c r="M111" i="5"/>
  <c r="G111" i="5" a="1"/>
  <c r="G111" i="5"/>
  <c r="I111" i="5" s="1"/>
  <c r="J111" i="5" s="1"/>
  <c r="K111" i="5" s="1"/>
  <c r="R110" i="5" a="1"/>
  <c r="R110" i="5" s="1"/>
  <c r="Q110" i="5"/>
  <c r="N110" i="5"/>
  <c r="M110" i="5"/>
  <c r="G110" i="5" a="1"/>
  <c r="G110" i="5" s="1"/>
  <c r="R109" i="5" a="1"/>
  <c r="R109" i="5" s="1"/>
  <c r="Q109" i="5"/>
  <c r="N109" i="5"/>
  <c r="M109" i="5"/>
  <c r="G109" i="5" a="1"/>
  <c r="G109" i="5" s="1"/>
  <c r="R108" i="5" a="1"/>
  <c r="R108" i="5"/>
  <c r="Q108" i="5"/>
  <c r="N108" i="5"/>
  <c r="M108" i="5"/>
  <c r="G108" i="5" a="1"/>
  <c r="G108" i="5" s="1"/>
  <c r="R107" i="5" a="1"/>
  <c r="R107" i="5" s="1"/>
  <c r="Q107" i="5"/>
  <c r="N107" i="5"/>
  <c r="M107" i="5"/>
  <c r="I107" i="5"/>
  <c r="J107" i="5" s="1"/>
  <c r="K107" i="5" s="1"/>
  <c r="G107" i="5" a="1"/>
  <c r="G107" i="5" s="1"/>
  <c r="H107" i="5" s="1"/>
  <c r="R106" i="5" a="1"/>
  <c r="R106" i="5"/>
  <c r="Q106" i="5"/>
  <c r="N106" i="5"/>
  <c r="M106" i="5"/>
  <c r="G106" i="5" a="1"/>
  <c r="G106" i="5" s="1"/>
  <c r="R105" i="5" a="1"/>
  <c r="R105" i="5" s="1"/>
  <c r="Q105" i="5"/>
  <c r="N105" i="5"/>
  <c r="M105" i="5"/>
  <c r="G105" i="5" a="1"/>
  <c r="G105" i="5"/>
  <c r="I105" i="5" s="1"/>
  <c r="J105" i="5" s="1"/>
  <c r="K105" i="5" s="1"/>
  <c r="R104" i="5" a="1"/>
  <c r="R104" i="5"/>
  <c r="Q104" i="5"/>
  <c r="N104" i="5"/>
  <c r="M104" i="5"/>
  <c r="G104" i="5" a="1"/>
  <c r="G104" i="5"/>
  <c r="R103" i="5" a="1"/>
  <c r="R103" i="5"/>
  <c r="Q103" i="5"/>
  <c r="N103" i="5"/>
  <c r="M103" i="5"/>
  <c r="G103" i="5" a="1"/>
  <c r="G103" i="5" s="1"/>
  <c r="R102" i="5" a="1"/>
  <c r="R102" i="5" s="1"/>
  <c r="Q102" i="5"/>
  <c r="N102" i="5"/>
  <c r="M102" i="5"/>
  <c r="G102" i="5" a="1"/>
  <c r="G102" i="5" s="1"/>
  <c r="H102" i="5" s="1"/>
  <c r="R101" i="5" a="1"/>
  <c r="R101" i="5"/>
  <c r="Q101" i="5"/>
  <c r="N101" i="5"/>
  <c r="M101" i="5"/>
  <c r="G101" i="5" a="1"/>
  <c r="G101" i="5" s="1"/>
  <c r="R100" i="5" a="1"/>
  <c r="R100" i="5" s="1"/>
  <c r="Q100" i="5"/>
  <c r="N100" i="5"/>
  <c r="M100" i="5"/>
  <c r="G100" i="5" a="1"/>
  <c r="G100" i="5" s="1"/>
  <c r="R99" i="5" a="1"/>
  <c r="R99" i="5" s="1"/>
  <c r="Q99" i="5"/>
  <c r="N99" i="5"/>
  <c r="M99" i="5"/>
  <c r="G99" i="5" a="1"/>
  <c r="G99" i="5" s="1"/>
  <c r="R98" i="5" a="1"/>
  <c r="R98" i="5"/>
  <c r="Q98" i="5"/>
  <c r="N98" i="5"/>
  <c r="M98" i="5"/>
  <c r="G98" i="5" a="1"/>
  <c r="G98" i="5"/>
  <c r="I98" i="5" s="1"/>
  <c r="J98" i="5" s="1"/>
  <c r="K98" i="5" s="1"/>
  <c r="R97" i="5" a="1"/>
  <c r="R97" i="5" s="1"/>
  <c r="Q97" i="5"/>
  <c r="N97" i="5"/>
  <c r="M97" i="5"/>
  <c r="H97" i="5"/>
  <c r="G97" i="5" a="1"/>
  <c r="G97" i="5" s="1"/>
  <c r="I97" i="5" s="1"/>
  <c r="J97" i="5" s="1"/>
  <c r="K97" i="5" s="1"/>
  <c r="R96" i="5" a="1"/>
  <c r="R96" i="5"/>
  <c r="Q96" i="5"/>
  <c r="N96" i="5"/>
  <c r="M96" i="5"/>
  <c r="G96" i="5" a="1"/>
  <c r="G96" i="5" s="1"/>
  <c r="R95" i="5" a="1"/>
  <c r="R95" i="5"/>
  <c r="Q95" i="5"/>
  <c r="N95" i="5"/>
  <c r="M95" i="5"/>
  <c r="G95" i="5" a="1"/>
  <c r="G95" i="5" s="1"/>
  <c r="R94" i="5" a="1"/>
  <c r="R94" i="5" s="1"/>
  <c r="Q94" i="5"/>
  <c r="N94" i="5"/>
  <c r="M94" i="5"/>
  <c r="G94" i="5" a="1"/>
  <c r="G94" i="5" s="1"/>
  <c r="R93" i="5" a="1"/>
  <c r="R93" i="5"/>
  <c r="Q93" i="5"/>
  <c r="N93" i="5"/>
  <c r="M93" i="5"/>
  <c r="G93" i="5" a="1"/>
  <c r="G93" i="5"/>
  <c r="I93" i="5" s="1"/>
  <c r="J93" i="5" s="1"/>
  <c r="K93" i="5" s="1"/>
  <c r="R92" i="5" a="1"/>
  <c r="R92" i="5" s="1"/>
  <c r="Q92" i="5"/>
  <c r="N92" i="5"/>
  <c r="M92" i="5"/>
  <c r="H92" i="5"/>
  <c r="G92" i="5" a="1"/>
  <c r="G92" i="5" s="1"/>
  <c r="I92" i="5" s="1"/>
  <c r="J92" i="5" s="1"/>
  <c r="K92" i="5" s="1"/>
  <c r="R91" i="5" a="1"/>
  <c r="R91" i="5"/>
  <c r="Q91" i="5"/>
  <c r="N91" i="5"/>
  <c r="M91" i="5"/>
  <c r="G91" i="5" a="1"/>
  <c r="G91" i="5" s="1"/>
  <c r="R90" i="5" a="1"/>
  <c r="R90" i="5"/>
  <c r="Q90" i="5"/>
  <c r="N90" i="5"/>
  <c r="M90" i="5"/>
  <c r="G90" i="5" a="1"/>
  <c r="G90" i="5" s="1"/>
  <c r="R89" i="5" a="1"/>
  <c r="R89" i="5" s="1"/>
  <c r="Q89" i="5"/>
  <c r="N89" i="5"/>
  <c r="M89" i="5"/>
  <c r="G89" i="5" a="1"/>
  <c r="G89" i="5" s="1"/>
  <c r="R88" i="5" a="1"/>
  <c r="R88" i="5" s="1"/>
  <c r="Q88" i="5"/>
  <c r="N88" i="5"/>
  <c r="M88" i="5"/>
  <c r="G88" i="5" a="1"/>
  <c r="G88" i="5" s="1"/>
  <c r="R87" i="5" a="1"/>
  <c r="R87" i="5"/>
  <c r="Q87" i="5"/>
  <c r="N87" i="5"/>
  <c r="M87" i="5"/>
  <c r="I87" i="5"/>
  <c r="J87" i="5" s="1"/>
  <c r="K87" i="5" s="1"/>
  <c r="G87" i="5" a="1"/>
  <c r="G87" i="5" s="1"/>
  <c r="H87" i="5" s="1"/>
  <c r="R86" i="5" a="1"/>
  <c r="R86" i="5"/>
  <c r="Q86" i="5"/>
  <c r="N86" i="5"/>
  <c r="M86" i="5"/>
  <c r="G86" i="5" a="1"/>
  <c r="G86" i="5" s="1"/>
  <c r="R85" i="5" a="1"/>
  <c r="R85" i="5" s="1"/>
  <c r="Q85" i="5"/>
  <c r="N85" i="5"/>
  <c r="M85" i="5"/>
  <c r="G85" i="5" a="1"/>
  <c r="G85" i="5"/>
  <c r="I85" i="5" s="1"/>
  <c r="J85" i="5" s="1"/>
  <c r="K85" i="5" s="1"/>
  <c r="R84" i="5" a="1"/>
  <c r="R84" i="5"/>
  <c r="Q84" i="5"/>
  <c r="N84" i="5"/>
  <c r="M84" i="5"/>
  <c r="G84" i="5" a="1"/>
  <c r="G84" i="5"/>
  <c r="R83" i="5" a="1"/>
  <c r="R83" i="5" s="1"/>
  <c r="Q83" i="5"/>
  <c r="N83" i="5"/>
  <c r="M83" i="5"/>
  <c r="G83" i="5" a="1"/>
  <c r="G83" i="5" s="1"/>
  <c r="R82" i="5" a="1"/>
  <c r="R82" i="5" s="1"/>
  <c r="Q82" i="5"/>
  <c r="N82" i="5"/>
  <c r="M82" i="5"/>
  <c r="J82" i="5"/>
  <c r="K82" i="5" s="1"/>
  <c r="I82" i="5"/>
  <c r="H82" i="5"/>
  <c r="G82" i="5" a="1"/>
  <c r="G82" i="5"/>
  <c r="R81" i="5" a="1"/>
  <c r="R81" i="5" s="1"/>
  <c r="Q81" i="5"/>
  <c r="N81" i="5"/>
  <c r="M81" i="5"/>
  <c r="G81" i="5" a="1"/>
  <c r="G81" i="5"/>
  <c r="I81" i="5" s="1"/>
  <c r="J81" i="5" s="1"/>
  <c r="K81" i="5" s="1"/>
  <c r="R80" i="5" a="1"/>
  <c r="R80" i="5" s="1"/>
  <c r="Q80" i="5"/>
  <c r="N80" i="5"/>
  <c r="M80" i="5"/>
  <c r="G80" i="5" a="1"/>
  <c r="G80" i="5" s="1"/>
  <c r="R79" i="5" a="1"/>
  <c r="R79" i="5" s="1"/>
  <c r="Q79" i="5"/>
  <c r="N79" i="5"/>
  <c r="M79" i="5"/>
  <c r="G79" i="5" a="1"/>
  <c r="G79" i="5" s="1"/>
  <c r="R78" i="5" a="1"/>
  <c r="R78" i="5" s="1"/>
  <c r="Q78" i="5"/>
  <c r="N78" i="5"/>
  <c r="M78" i="5"/>
  <c r="I78" i="5"/>
  <c r="J78" i="5" s="1"/>
  <c r="K78" i="5" s="1"/>
  <c r="G78" i="5" a="1"/>
  <c r="G78" i="5"/>
  <c r="H78" i="5" s="1"/>
  <c r="R77" i="5" a="1"/>
  <c r="R77" i="5" s="1"/>
  <c r="Q77" i="5"/>
  <c r="N77" i="5"/>
  <c r="M77" i="5"/>
  <c r="K77" i="5"/>
  <c r="G77" i="5" a="1"/>
  <c r="G77" i="5"/>
  <c r="I77" i="5" s="1"/>
  <c r="J77" i="5" s="1"/>
  <c r="R76" i="5" a="1"/>
  <c r="R76" i="5"/>
  <c r="Q76" i="5"/>
  <c r="N76" i="5"/>
  <c r="M76" i="5"/>
  <c r="G76" i="5" a="1"/>
  <c r="G76" i="5" s="1"/>
  <c r="R75" i="5" a="1"/>
  <c r="R75" i="5"/>
  <c r="Q75" i="5"/>
  <c r="N75" i="5"/>
  <c r="M75" i="5"/>
  <c r="G75" i="5" a="1"/>
  <c r="G75" i="5"/>
  <c r="I75" i="5" s="1"/>
  <c r="J75" i="5" s="1"/>
  <c r="K75" i="5" s="1"/>
  <c r="R74" i="5" a="1"/>
  <c r="R74" i="5" s="1"/>
  <c r="Q74" i="5"/>
  <c r="N74" i="5"/>
  <c r="M74" i="5"/>
  <c r="G74" i="5" a="1"/>
  <c r="G74" i="5" s="1"/>
  <c r="I74" i="5" s="1"/>
  <c r="J74" i="5" s="1"/>
  <c r="K74" i="5" s="1"/>
  <c r="R73" i="5" a="1"/>
  <c r="R73" i="5"/>
  <c r="Q73" i="5"/>
  <c r="N73" i="5"/>
  <c r="M73" i="5"/>
  <c r="G73" i="5" a="1"/>
  <c r="G73" i="5" s="1"/>
  <c r="R72" i="5" a="1"/>
  <c r="R72" i="5"/>
  <c r="Q72" i="5"/>
  <c r="N72" i="5"/>
  <c r="M72" i="5"/>
  <c r="G72" i="5" a="1"/>
  <c r="G72" i="5" s="1"/>
  <c r="R71" i="5" a="1"/>
  <c r="R71" i="5" s="1"/>
  <c r="Q71" i="5"/>
  <c r="N71" i="5"/>
  <c r="M71" i="5"/>
  <c r="H71" i="5"/>
  <c r="G71" i="5" a="1"/>
  <c r="G71" i="5"/>
  <c r="I71" i="5" s="1"/>
  <c r="J71" i="5" s="1"/>
  <c r="K71" i="5" s="1"/>
  <c r="R70" i="5" a="1"/>
  <c r="R70" i="5" s="1"/>
  <c r="Q70" i="5"/>
  <c r="N70" i="5"/>
  <c r="M70" i="5"/>
  <c r="G70" i="5" a="1"/>
  <c r="G70" i="5" s="1"/>
  <c r="R69" i="5" a="1"/>
  <c r="R69" i="5"/>
  <c r="Q69" i="5"/>
  <c r="N69" i="5"/>
  <c r="M69" i="5"/>
  <c r="G69" i="5" a="1"/>
  <c r="G69" i="5" s="1"/>
  <c r="H69" i="5" s="1"/>
  <c r="R68" i="5" a="1"/>
  <c r="R68" i="5"/>
  <c r="Q68" i="5"/>
  <c r="N68" i="5"/>
  <c r="M68" i="5"/>
  <c r="G68" i="5" a="1"/>
  <c r="G68" i="5" s="1"/>
  <c r="R67" i="5" a="1"/>
  <c r="R67" i="5" s="1"/>
  <c r="Q67" i="5"/>
  <c r="N67" i="5"/>
  <c r="M67" i="5"/>
  <c r="G67" i="5" a="1"/>
  <c r="G67" i="5"/>
  <c r="I67" i="5" s="1"/>
  <c r="J67" i="5" s="1"/>
  <c r="K67" i="5" s="1"/>
  <c r="R66" i="5" a="1"/>
  <c r="R66" i="5"/>
  <c r="Q66" i="5"/>
  <c r="N66" i="5"/>
  <c r="M66" i="5"/>
  <c r="I66" i="5"/>
  <c r="J66" i="5" s="1"/>
  <c r="K66" i="5" s="1"/>
  <c r="G66" i="5" a="1"/>
  <c r="G66" i="5"/>
  <c r="H66" i="5" s="1"/>
  <c r="R65" i="5" a="1"/>
  <c r="R65" i="5" s="1"/>
  <c r="Q65" i="5"/>
  <c r="N65" i="5"/>
  <c r="M65" i="5"/>
  <c r="G65" i="5" a="1"/>
  <c r="G65" i="5" s="1"/>
  <c r="R64" i="5" a="1"/>
  <c r="R64" i="5" s="1"/>
  <c r="Q64" i="5"/>
  <c r="N64" i="5"/>
  <c r="M64" i="5"/>
  <c r="J64" i="5"/>
  <c r="K64" i="5" s="1"/>
  <c r="I64" i="5"/>
  <c r="H64" i="5"/>
  <c r="G64" i="5" a="1"/>
  <c r="G64" i="5"/>
  <c r="R63" i="5" a="1"/>
  <c r="R63" i="5" s="1"/>
  <c r="Q63" i="5"/>
  <c r="N63" i="5"/>
  <c r="M63" i="5"/>
  <c r="G63" i="5" a="1"/>
  <c r="G63" i="5"/>
  <c r="R62" i="5" a="1"/>
  <c r="R62" i="5"/>
  <c r="Q62" i="5"/>
  <c r="N62" i="5"/>
  <c r="M62" i="5"/>
  <c r="G62" i="5" a="1"/>
  <c r="G62" i="5" s="1"/>
  <c r="R61" i="5" a="1"/>
  <c r="R61" i="5" s="1"/>
  <c r="Q61" i="5"/>
  <c r="N61" i="5"/>
  <c r="M61" i="5"/>
  <c r="G61" i="5" a="1"/>
  <c r="G61" i="5" s="1"/>
  <c r="R60" i="5" a="1"/>
  <c r="R60" i="5" s="1"/>
  <c r="Q60" i="5"/>
  <c r="N60" i="5"/>
  <c r="M60" i="5"/>
  <c r="I60" i="5"/>
  <c r="J60" i="5" s="1"/>
  <c r="K60" i="5" s="1"/>
  <c r="G60" i="5" a="1"/>
  <c r="G60" i="5"/>
  <c r="H60" i="5" s="1"/>
  <c r="R59" i="5" a="1"/>
  <c r="R59" i="5" s="1"/>
  <c r="Q59" i="5"/>
  <c r="N59" i="5"/>
  <c r="M59" i="5"/>
  <c r="K59" i="5"/>
  <c r="G59" i="5" a="1"/>
  <c r="G59" i="5"/>
  <c r="I59" i="5" s="1"/>
  <c r="J59" i="5" s="1"/>
  <c r="R58" i="5" a="1"/>
  <c r="R58" i="5"/>
  <c r="Q58" i="5"/>
  <c r="N58" i="5"/>
  <c r="M58" i="5"/>
  <c r="G58" i="5" a="1"/>
  <c r="G58" i="5" s="1"/>
  <c r="R57" i="5" a="1"/>
  <c r="R57" i="5"/>
  <c r="Q57" i="5"/>
  <c r="N57" i="5"/>
  <c r="M57" i="5"/>
  <c r="G57" i="5" a="1"/>
  <c r="G57" i="5"/>
  <c r="R56" i="5" a="1"/>
  <c r="R56" i="5" s="1"/>
  <c r="Q56" i="5"/>
  <c r="N56" i="5"/>
  <c r="M56" i="5"/>
  <c r="K56" i="5"/>
  <c r="G56" i="5" a="1"/>
  <c r="G56" i="5" s="1"/>
  <c r="I56" i="5" s="1"/>
  <c r="J56" i="5" s="1"/>
  <c r="R55" i="5" a="1"/>
  <c r="R55" i="5"/>
  <c r="Q55" i="5"/>
  <c r="N55" i="5"/>
  <c r="M55" i="5"/>
  <c r="G55" i="5" a="1"/>
  <c r="G55" i="5" s="1"/>
  <c r="R54" i="5" a="1"/>
  <c r="R54" i="5"/>
  <c r="Q54" i="5"/>
  <c r="N54" i="5"/>
  <c r="M54" i="5"/>
  <c r="G54" i="5" a="1"/>
  <c r="G54" i="5" s="1"/>
  <c r="R53" i="5" a="1"/>
  <c r="R53" i="5" s="1"/>
  <c r="Q53" i="5"/>
  <c r="N53" i="5"/>
  <c r="M53" i="5"/>
  <c r="H53" i="5"/>
  <c r="G53" i="5" a="1"/>
  <c r="G53" i="5"/>
  <c r="I53" i="5" s="1"/>
  <c r="J53" i="5" s="1"/>
  <c r="K53" i="5" s="1"/>
  <c r="R52" i="5" a="1"/>
  <c r="R52" i="5" s="1"/>
  <c r="Q52" i="5"/>
  <c r="N52" i="5"/>
  <c r="M52" i="5"/>
  <c r="G52" i="5" a="1"/>
  <c r="G52" i="5" s="1"/>
  <c r="R51" i="5" a="1"/>
  <c r="R51" i="5"/>
  <c r="Q51" i="5"/>
  <c r="N51" i="5"/>
  <c r="M51" i="5"/>
  <c r="G51" i="5" a="1"/>
  <c r="G51" i="5" s="1"/>
  <c r="H51" i="5" s="1"/>
  <c r="R50" i="5" a="1"/>
  <c r="R50" i="5"/>
  <c r="Q50" i="5"/>
  <c r="N50" i="5"/>
  <c r="M50" i="5"/>
  <c r="G50" i="5" a="1"/>
  <c r="G50" i="5" s="1"/>
  <c r="R49" i="5" a="1"/>
  <c r="R49" i="5" s="1"/>
  <c r="Q49" i="5"/>
  <c r="N49" i="5"/>
  <c r="M49" i="5"/>
  <c r="G49" i="5" a="1"/>
  <c r="G49" i="5"/>
  <c r="I49" i="5" s="1"/>
  <c r="J49" i="5" s="1"/>
  <c r="K49" i="5" s="1"/>
  <c r="R48" i="5" a="1"/>
  <c r="R48" i="5"/>
  <c r="Q48" i="5"/>
  <c r="N48" i="5"/>
  <c r="M48" i="5"/>
  <c r="I48" i="5"/>
  <c r="J48" i="5" s="1"/>
  <c r="K48" i="5" s="1"/>
  <c r="G48" i="5" a="1"/>
  <c r="G48" i="5"/>
  <c r="H48" i="5" s="1"/>
  <c r="R47" i="5" a="1"/>
  <c r="R47" i="5" s="1"/>
  <c r="Q47" i="5"/>
  <c r="N47" i="5"/>
  <c r="M47" i="5"/>
  <c r="H47" i="5"/>
  <c r="G47" i="5" a="1"/>
  <c r="G47" i="5" s="1"/>
  <c r="I47" i="5" s="1"/>
  <c r="J47" i="5" s="1"/>
  <c r="K47" i="5" s="1"/>
  <c r="R46" i="5" a="1"/>
  <c r="R46" i="5" s="1"/>
  <c r="Q46" i="5"/>
  <c r="N46" i="5"/>
  <c r="M46" i="5"/>
  <c r="J46" i="5"/>
  <c r="K46" i="5" s="1"/>
  <c r="I46" i="5"/>
  <c r="H46" i="5"/>
  <c r="G46" i="5" a="1"/>
  <c r="G46" i="5"/>
  <c r="R45" i="5" a="1"/>
  <c r="R45" i="5" s="1"/>
  <c r="Q45" i="5"/>
  <c r="N45" i="5"/>
  <c r="M45" i="5"/>
  <c r="G45" i="5" a="1"/>
  <c r="G45" i="5"/>
  <c r="R44" i="5" a="1"/>
  <c r="R44" i="5"/>
  <c r="Q44" i="5"/>
  <c r="N44" i="5"/>
  <c r="M44" i="5"/>
  <c r="G44" i="5" a="1"/>
  <c r="G44" i="5" s="1"/>
  <c r="R43" i="5" a="1"/>
  <c r="R43" i="5" s="1"/>
  <c r="Q43" i="5"/>
  <c r="N43" i="5"/>
  <c r="M43" i="5"/>
  <c r="G43" i="5" a="1"/>
  <c r="G43" i="5" s="1"/>
  <c r="R42" i="5" a="1"/>
  <c r="R42" i="5" s="1"/>
  <c r="Q42" i="5"/>
  <c r="N42" i="5"/>
  <c r="M42" i="5"/>
  <c r="I42" i="5"/>
  <c r="J42" i="5" s="1"/>
  <c r="K42" i="5" s="1"/>
  <c r="G42" i="5" a="1"/>
  <c r="G42" i="5"/>
  <c r="H42" i="5" s="1"/>
  <c r="R41" i="5" a="1"/>
  <c r="R41" i="5" s="1"/>
  <c r="Q41" i="5"/>
  <c r="N41" i="5"/>
  <c r="M41" i="5"/>
  <c r="G41" i="5" a="1"/>
  <c r="G41" i="5"/>
  <c r="I41" i="5" s="1"/>
  <c r="J41" i="5" s="1"/>
  <c r="K41" i="5" s="1"/>
  <c r="R40" i="5" a="1"/>
  <c r="R40" i="5"/>
  <c r="Q40" i="5"/>
  <c r="N40" i="5"/>
  <c r="M40" i="5"/>
  <c r="G40" i="5" a="1"/>
  <c r="G40" i="5" s="1"/>
  <c r="R39" i="5" a="1"/>
  <c r="R39" i="5"/>
  <c r="Q39" i="5"/>
  <c r="N39" i="5"/>
  <c r="M39" i="5"/>
  <c r="G39" i="5" a="1"/>
  <c r="G39" i="5"/>
  <c r="I39" i="5" s="1"/>
  <c r="J39" i="5" s="1"/>
  <c r="K39" i="5" s="1"/>
  <c r="R38" i="5" a="1"/>
  <c r="R38" i="5" s="1"/>
  <c r="Q38" i="5"/>
  <c r="N38" i="5"/>
  <c r="M38" i="5"/>
  <c r="G38" i="5" a="1"/>
  <c r="G38" i="5" s="1"/>
  <c r="I38" i="5" s="1"/>
  <c r="J38" i="5" s="1"/>
  <c r="K38" i="5" s="1"/>
  <c r="R37" i="5" a="1"/>
  <c r="R37" i="5"/>
  <c r="Q37" i="5"/>
  <c r="N37" i="5"/>
  <c r="M37" i="5"/>
  <c r="G37" i="5" a="1"/>
  <c r="G37" i="5" s="1"/>
  <c r="R36" i="5" a="1"/>
  <c r="R36" i="5"/>
  <c r="Q36" i="5"/>
  <c r="N36" i="5"/>
  <c r="M36" i="5"/>
  <c r="G36" i="5" a="1"/>
  <c r="G36" i="5" s="1"/>
  <c r="R35" i="5" a="1"/>
  <c r="R35" i="5" s="1"/>
  <c r="Q35" i="5"/>
  <c r="N35" i="5"/>
  <c r="M35" i="5"/>
  <c r="H35" i="5"/>
  <c r="G35" i="5" a="1"/>
  <c r="G35" i="5"/>
  <c r="I35" i="5" s="1"/>
  <c r="J35" i="5" s="1"/>
  <c r="K35" i="5" s="1"/>
  <c r="R34" i="5" a="1"/>
  <c r="R34" i="5" s="1"/>
  <c r="Q34" i="5"/>
  <c r="N34" i="5"/>
  <c r="M34" i="5"/>
  <c r="H34" i="5"/>
  <c r="G34" i="5" a="1"/>
  <c r="G34" i="5" s="1"/>
  <c r="I34" i="5" s="1"/>
  <c r="J34" i="5" s="1"/>
  <c r="K34" i="5" s="1"/>
  <c r="R33" i="5" a="1"/>
  <c r="R33" i="5"/>
  <c r="Q33" i="5"/>
  <c r="N33" i="5"/>
  <c r="M33" i="5"/>
  <c r="I33" i="5"/>
  <c r="J33" i="5" s="1"/>
  <c r="K33" i="5" s="1"/>
  <c r="G33" i="5" a="1"/>
  <c r="G33" i="5" s="1"/>
  <c r="H33" i="5" s="1"/>
  <c r="R32" i="5" a="1"/>
  <c r="R32" i="5"/>
  <c r="Q32" i="5"/>
  <c r="N32" i="5"/>
  <c r="M32" i="5"/>
  <c r="H32" i="5"/>
  <c r="G32" i="5" a="1"/>
  <c r="G32" i="5" s="1"/>
  <c r="I32" i="5" s="1"/>
  <c r="J32" i="5" s="1"/>
  <c r="K32" i="5" s="1"/>
  <c r="R31" i="5" a="1"/>
  <c r="R31" i="5" s="1"/>
  <c r="Q31" i="5"/>
  <c r="N31" i="5"/>
  <c r="M31" i="5"/>
  <c r="G31" i="5" a="1"/>
  <c r="G31" i="5"/>
  <c r="R30" i="5" a="1"/>
  <c r="R30" i="5" s="1"/>
  <c r="Q30" i="5"/>
  <c r="N30" i="5"/>
  <c r="M30" i="5"/>
  <c r="I30" i="5"/>
  <c r="J30" i="5" s="1"/>
  <c r="K30" i="5" s="1"/>
  <c r="G30" i="5" a="1"/>
  <c r="G30" i="5"/>
  <c r="H30" i="5" s="1"/>
  <c r="R29" i="5" a="1"/>
  <c r="R29" i="5" s="1"/>
  <c r="Q29" i="5"/>
  <c r="N29" i="5"/>
  <c r="M29" i="5"/>
  <c r="G29" i="5" a="1"/>
  <c r="G29" i="5" s="1"/>
  <c r="I29" i="5" s="1"/>
  <c r="J29" i="5" s="1"/>
  <c r="K29" i="5" s="1"/>
  <c r="R28" i="5" a="1"/>
  <c r="R28" i="5" s="1"/>
  <c r="Q28" i="5"/>
  <c r="N28" i="5"/>
  <c r="M28" i="5"/>
  <c r="J28" i="5"/>
  <c r="K28" i="5" s="1"/>
  <c r="I28" i="5"/>
  <c r="H28" i="5"/>
  <c r="G28" i="5" a="1"/>
  <c r="G28" i="5"/>
  <c r="R27" i="5" a="1"/>
  <c r="R27" i="5" s="1"/>
  <c r="Q27" i="5"/>
  <c r="N27" i="5"/>
  <c r="M27" i="5"/>
  <c r="G27" i="5" a="1"/>
  <c r="G27" i="5"/>
  <c r="H27" i="5" s="1"/>
  <c r="R26" i="5" a="1"/>
  <c r="R26" i="5"/>
  <c r="Q26" i="5"/>
  <c r="N26" i="5"/>
  <c r="M26" i="5"/>
  <c r="G26" i="5" a="1"/>
  <c r="G26" i="5"/>
  <c r="R25" i="5" a="1"/>
  <c r="R25" i="5" s="1"/>
  <c r="Q25" i="5"/>
  <c r="N25" i="5"/>
  <c r="M25" i="5"/>
  <c r="G25" i="5" a="1"/>
  <c r="G25" i="5" s="1"/>
  <c r="R24" i="5" a="1"/>
  <c r="R24" i="5" s="1"/>
  <c r="Q24" i="5"/>
  <c r="N24" i="5"/>
  <c r="M24" i="5"/>
  <c r="G24" i="5" a="1"/>
  <c r="G24" i="5"/>
  <c r="H24" i="5" s="1"/>
  <c r="R23" i="5" a="1"/>
  <c r="R23" i="5" s="1"/>
  <c r="Q23" i="5"/>
  <c r="N23" i="5"/>
  <c r="M23" i="5"/>
  <c r="K23" i="5"/>
  <c r="G23" i="5" a="1"/>
  <c r="G23" i="5"/>
  <c r="I23" i="5" s="1"/>
  <c r="J23" i="5" s="1"/>
  <c r="R22" i="5" a="1"/>
  <c r="R22" i="5"/>
  <c r="Q22" i="5"/>
  <c r="N22" i="5"/>
  <c r="M22" i="5"/>
  <c r="G22" i="5" a="1"/>
  <c r="G22" i="5" s="1"/>
  <c r="R21" i="5" a="1"/>
  <c r="R21" i="5"/>
  <c r="Q21" i="5"/>
  <c r="N21" i="5"/>
  <c r="M21" i="5"/>
  <c r="G21" i="5" a="1"/>
  <c r="G21" i="5" s="1"/>
  <c r="R20" i="5" a="1"/>
  <c r="R20" i="5" s="1"/>
  <c r="Q20" i="5"/>
  <c r="N20" i="5"/>
  <c r="M20" i="5"/>
  <c r="K20" i="5"/>
  <c r="G20" i="5" a="1"/>
  <c r="G20" i="5" s="1"/>
  <c r="I20" i="5" s="1"/>
  <c r="J20" i="5" s="1"/>
  <c r="R19" i="5" a="1"/>
  <c r="R19" i="5"/>
  <c r="Q19" i="5"/>
  <c r="N19" i="5"/>
  <c r="M19" i="5"/>
  <c r="G19" i="5" a="1"/>
  <c r="G19" i="5" s="1"/>
  <c r="R18" i="5" a="1"/>
  <c r="R18" i="5"/>
  <c r="Q18" i="5"/>
  <c r="N18" i="5"/>
  <c r="M18" i="5"/>
  <c r="G18" i="5" a="1"/>
  <c r="G18" i="5" s="1"/>
  <c r="R17" i="5" a="1"/>
  <c r="R17" i="5"/>
  <c r="Q17" i="5"/>
  <c r="N17" i="5"/>
  <c r="M17" i="5"/>
  <c r="H17" i="5"/>
  <c r="G17" i="5" a="1"/>
  <c r="G17" i="5"/>
  <c r="I17" i="5" s="1"/>
  <c r="J17" i="5" s="1"/>
  <c r="K17" i="5" s="1"/>
  <c r="R16" i="5" a="1"/>
  <c r="R16" i="5" s="1"/>
  <c r="Q16" i="5"/>
  <c r="N16" i="5"/>
  <c r="M16" i="5"/>
  <c r="I16" i="5"/>
  <c r="J16" i="5" s="1"/>
  <c r="K16" i="5" s="1"/>
  <c r="H16" i="5"/>
  <c r="G16" i="5" a="1"/>
  <c r="G16" i="5" s="1"/>
  <c r="R15" i="5" a="1"/>
  <c r="R15" i="5"/>
  <c r="Q15" i="5"/>
  <c r="N15" i="5"/>
  <c r="M15" i="5"/>
  <c r="I15" i="5"/>
  <c r="J15" i="5" s="1"/>
  <c r="K15" i="5" s="1"/>
  <c r="G15" i="5" a="1"/>
  <c r="G15" i="5" s="1"/>
  <c r="H15" i="5" s="1"/>
  <c r="R14" i="5" a="1"/>
  <c r="R14" i="5"/>
  <c r="Q14" i="5"/>
  <c r="N14" i="5"/>
  <c r="M14" i="5"/>
  <c r="K14" i="5"/>
  <c r="H14" i="5"/>
  <c r="G14" i="5" a="1"/>
  <c r="G14" i="5" s="1"/>
  <c r="I14" i="5" s="1"/>
  <c r="J14" i="5" s="1"/>
  <c r="R13" i="5" a="1"/>
  <c r="R13" i="5" s="1"/>
  <c r="Q13" i="5"/>
  <c r="N13" i="5"/>
  <c r="M13" i="5"/>
  <c r="G13" i="5" a="1"/>
  <c r="G13" i="5"/>
  <c r="R12" i="5" a="1"/>
  <c r="R12" i="5" s="1"/>
  <c r="Q12" i="5"/>
  <c r="N12" i="5"/>
  <c r="M12" i="5"/>
  <c r="I12" i="5"/>
  <c r="J12" i="5" s="1"/>
  <c r="K12" i="5" s="1"/>
  <c r="G12" i="5" a="1"/>
  <c r="G12" i="5"/>
  <c r="H12" i="5" s="1"/>
  <c r="R11" i="5" a="1"/>
  <c r="R11" i="5" s="1"/>
  <c r="Q11" i="5"/>
  <c r="N11" i="5"/>
  <c r="M11" i="5"/>
  <c r="J11" i="5"/>
  <c r="K11" i="5" s="1"/>
  <c r="I11" i="5"/>
  <c r="H11" i="5"/>
  <c r="G11" i="5" a="1"/>
  <c r="G11" i="5" s="1"/>
  <c r="R10" i="5" a="1"/>
  <c r="R10" i="5" s="1"/>
  <c r="Q10" i="5"/>
  <c r="N10" i="5"/>
  <c r="M10" i="5"/>
  <c r="J10" i="5"/>
  <c r="K10" i="5" s="1"/>
  <c r="I10" i="5"/>
  <c r="H10" i="5"/>
  <c r="G10" i="5" a="1"/>
  <c r="G10" i="5"/>
  <c r="R9" i="5" a="1"/>
  <c r="R9" i="5" s="1"/>
  <c r="Q9" i="5"/>
  <c r="N9" i="5"/>
  <c r="M9" i="5"/>
  <c r="G9" i="5" a="1"/>
  <c r="G9" i="5"/>
  <c r="H9" i="5" s="1"/>
  <c r="R8" i="5" a="1"/>
  <c r="R8" i="5"/>
  <c r="Q8" i="5"/>
  <c r="N8" i="5"/>
  <c r="M8" i="5"/>
  <c r="G8" i="5" a="1"/>
  <c r="G8" i="5" s="1"/>
  <c r="R7" i="5" a="1"/>
  <c r="R7" i="5" s="1"/>
  <c r="Q7" i="5"/>
  <c r="N7" i="5"/>
  <c r="M7" i="5"/>
  <c r="G7" i="5" a="1"/>
  <c r="G7" i="5" s="1"/>
  <c r="R6" i="5" a="1"/>
  <c r="R6" i="5" s="1"/>
  <c r="Q6" i="5"/>
  <c r="N6" i="5"/>
  <c r="M6" i="5"/>
  <c r="G6" i="5" a="1"/>
  <c r="G6" i="5"/>
  <c r="H6" i="5" s="1"/>
  <c r="R5" i="5" a="1"/>
  <c r="R5" i="5" s="1"/>
  <c r="Q5" i="5"/>
  <c r="N5" i="5"/>
  <c r="M5" i="5"/>
  <c r="G5" i="5" a="1"/>
  <c r="G5" i="5"/>
  <c r="R4" i="5" a="1"/>
  <c r="R4" i="5"/>
  <c r="Q4" i="5"/>
  <c r="N4" i="5"/>
  <c r="M4" i="5"/>
  <c r="G4" i="5" a="1"/>
  <c r="G4" i="5" s="1"/>
  <c r="H4" i="5" s="1"/>
  <c r="R3" i="5" a="1"/>
  <c r="R3" i="5"/>
  <c r="Q3" i="5"/>
  <c r="N3" i="5"/>
  <c r="M3" i="5"/>
  <c r="G3" i="5" a="1"/>
  <c r="G3" i="5" s="1"/>
  <c r="R2" i="5" a="1"/>
  <c r="R2" i="5" s="1"/>
  <c r="Q2" i="5"/>
  <c r="N2" i="5"/>
  <c r="M2" i="5"/>
  <c r="I2" i="5"/>
  <c r="J2" i="5" s="1"/>
  <c r="K2" i="5" s="1"/>
  <c r="H2" i="5"/>
  <c r="G2" i="5" a="1"/>
  <c r="G2" i="5" s="1"/>
  <c r="N1123" i="3" a="1"/>
  <c r="N1123" i="3"/>
  <c r="L1123" i="3"/>
  <c r="K1123" i="3"/>
  <c r="J1123" i="3"/>
  <c r="I1123" i="3"/>
  <c r="H1123" i="3"/>
  <c r="G1123" i="3"/>
  <c r="F1123" i="3"/>
  <c r="D1123" i="3" a="1"/>
  <c r="D1123" i="3"/>
  <c r="C1123" i="3" a="1"/>
  <c r="C1123" i="3"/>
  <c r="B1123" i="3" a="1"/>
  <c r="B1123" i="3" s="1"/>
  <c r="M1123" i="3" s="1" a="1"/>
  <c r="M1123" i="3" s="1"/>
  <c r="N1122" i="3" a="1"/>
  <c r="N1122" i="3" s="1"/>
  <c r="L1122" i="3"/>
  <c r="K1122" i="3"/>
  <c r="J1122" i="3"/>
  <c r="I1122" i="3"/>
  <c r="H1122" i="3"/>
  <c r="G1122" i="3"/>
  <c r="F1122" i="3"/>
  <c r="D1122" i="3" a="1"/>
  <c r="D1122" i="3" s="1"/>
  <c r="C1122" i="3" a="1"/>
  <c r="C1122" i="3" s="1"/>
  <c r="B1122" i="3" a="1"/>
  <c r="B1122" i="3" s="1"/>
  <c r="M1122" i="3" s="1" a="1"/>
  <c r="M1122" i="3" s="1"/>
  <c r="N1121" i="3" a="1"/>
  <c r="N1121" i="3" s="1"/>
  <c r="L1121" i="3"/>
  <c r="K1121" i="3"/>
  <c r="H1121" i="3"/>
  <c r="J1121" i="3" s="1"/>
  <c r="G1121" i="3"/>
  <c r="F1121" i="3"/>
  <c r="D1121" i="3" a="1"/>
  <c r="D1121" i="3" s="1"/>
  <c r="C1121" i="3" a="1"/>
  <c r="C1121" i="3"/>
  <c r="B1121" i="3" a="1"/>
  <c r="B1121" i="3"/>
  <c r="M1121" i="3" s="1" a="1"/>
  <c r="M1121" i="3" s="1"/>
  <c r="N1120" i="3" a="1"/>
  <c r="N1120" i="3" s="1"/>
  <c r="L1120" i="3"/>
  <c r="K1120" i="3"/>
  <c r="H1120" i="3"/>
  <c r="J1120" i="3" s="1"/>
  <c r="G1120" i="3"/>
  <c r="F1120" i="3"/>
  <c r="D1120" i="3" a="1"/>
  <c r="D1120" i="3" s="1"/>
  <c r="C1120" i="3" a="1"/>
  <c r="C1120" i="3" s="1"/>
  <c r="B1120" i="3" a="1"/>
  <c r="B1120" i="3"/>
  <c r="M1120" i="3" s="1" a="1"/>
  <c r="M1120" i="3" s="1"/>
  <c r="N1119" i="3" a="1"/>
  <c r="N1119" i="3"/>
  <c r="L1119" i="3"/>
  <c r="K1119" i="3"/>
  <c r="J1119" i="3"/>
  <c r="I1119" i="3"/>
  <c r="H1119" i="3"/>
  <c r="G1119" i="3"/>
  <c r="F1119" i="3"/>
  <c r="D1119" i="3" a="1"/>
  <c r="D1119" i="3" s="1"/>
  <c r="C1119" i="3" a="1"/>
  <c r="C1119" i="3"/>
  <c r="B1119" i="3" a="1"/>
  <c r="B1119" i="3" s="1"/>
  <c r="M1119" i="3" s="1" a="1"/>
  <c r="M1119" i="3" s="1"/>
  <c r="N1118" i="3" a="1"/>
  <c r="N1118" i="3" s="1"/>
  <c r="L1118" i="3"/>
  <c r="K1118" i="3"/>
  <c r="H1118" i="3"/>
  <c r="G1118" i="3"/>
  <c r="F1118" i="3"/>
  <c r="D1118" i="3" a="1"/>
  <c r="D1118" i="3" s="1"/>
  <c r="C1118" i="3" a="1"/>
  <c r="C1118" i="3" s="1"/>
  <c r="B1118" i="3" a="1"/>
  <c r="B1118" i="3" s="1"/>
  <c r="M1118" i="3" s="1" a="1"/>
  <c r="M1118" i="3" s="1"/>
  <c r="N1117" i="3" a="1"/>
  <c r="N1117" i="3"/>
  <c r="L1117" i="3"/>
  <c r="K1117" i="3"/>
  <c r="J1117" i="3"/>
  <c r="H1117" i="3"/>
  <c r="I1117" i="3" s="1"/>
  <c r="G1117" i="3"/>
  <c r="F1117" i="3"/>
  <c r="D1117" i="3" a="1"/>
  <c r="D1117" i="3"/>
  <c r="C1117" i="3" a="1"/>
  <c r="C1117" i="3" s="1"/>
  <c r="B1117" i="3" a="1"/>
  <c r="B1117" i="3"/>
  <c r="M1117" i="3" s="1" a="1"/>
  <c r="M1117" i="3" s="1"/>
  <c r="N1116" i="3" a="1"/>
  <c r="N1116" i="3" s="1"/>
  <c r="L1116" i="3"/>
  <c r="K1116" i="3"/>
  <c r="J1116" i="3"/>
  <c r="H1116" i="3"/>
  <c r="G1116" i="3"/>
  <c r="F1116" i="3"/>
  <c r="D1116" i="3" a="1"/>
  <c r="D1116" i="3" s="1"/>
  <c r="C1116" i="3" a="1"/>
  <c r="C1116" i="3" s="1"/>
  <c r="B1116" i="3" a="1"/>
  <c r="B1116" i="3" s="1"/>
  <c r="M1116" i="3" s="1" a="1"/>
  <c r="M1116" i="3" s="1"/>
  <c r="N1115" i="3" a="1"/>
  <c r="N1115" i="3"/>
  <c r="L1115" i="3"/>
  <c r="K1115" i="3"/>
  <c r="J1115" i="3"/>
  <c r="I1115" i="3"/>
  <c r="H1115" i="3"/>
  <c r="G1115" i="3"/>
  <c r="F1115" i="3"/>
  <c r="D1115" i="3" a="1"/>
  <c r="D1115" i="3"/>
  <c r="C1115" i="3" a="1"/>
  <c r="C1115" i="3"/>
  <c r="B1115" i="3" a="1"/>
  <c r="B1115" i="3" s="1"/>
  <c r="M1115" i="3" s="1" a="1"/>
  <c r="M1115" i="3" s="1"/>
  <c r="N1114" i="3" a="1"/>
  <c r="N1114" i="3" s="1"/>
  <c r="L1114" i="3"/>
  <c r="K1114" i="3"/>
  <c r="I1114" i="3"/>
  <c r="H1114" i="3"/>
  <c r="J1114" i="3" s="1"/>
  <c r="G1114" i="3"/>
  <c r="F1114" i="3"/>
  <c r="D1114" i="3" a="1"/>
  <c r="D1114" i="3"/>
  <c r="C1114" i="3" a="1"/>
  <c r="C1114" i="3" s="1"/>
  <c r="B1114" i="3" a="1"/>
  <c r="B1114" i="3" s="1"/>
  <c r="M1114" i="3" s="1" a="1"/>
  <c r="M1114" i="3" s="1"/>
  <c r="N1113" i="3" a="1"/>
  <c r="N1113" i="3"/>
  <c r="M1113" i="3"/>
  <c r="L1113" i="3"/>
  <c r="K1113" i="3"/>
  <c r="H1113" i="3"/>
  <c r="J1113" i="3" s="1"/>
  <c r="G1113" i="3"/>
  <c r="F1113" i="3"/>
  <c r="D1113" i="3" a="1"/>
  <c r="D1113" i="3" s="1"/>
  <c r="C1113" i="3" a="1"/>
  <c r="C1113" i="3"/>
  <c r="B1113" i="3" a="1"/>
  <c r="B1113" i="3"/>
  <c r="M1113" i="3" s="1" a="1"/>
  <c r="N1112" i="3" a="1"/>
  <c r="N1112" i="3" s="1"/>
  <c r="M1112" i="3" a="1"/>
  <c r="M1112" i="3" s="1"/>
  <c r="L1112" i="3"/>
  <c r="K1112" i="3"/>
  <c r="H1112" i="3"/>
  <c r="J1112" i="3" s="1"/>
  <c r="G1112" i="3"/>
  <c r="F1112" i="3"/>
  <c r="D1112" i="3" a="1"/>
  <c r="D1112" i="3" s="1"/>
  <c r="C1112" i="3" a="1"/>
  <c r="C1112" i="3" s="1"/>
  <c r="B1112" i="3" a="1"/>
  <c r="B1112" i="3"/>
  <c r="N1111" i="3" a="1"/>
  <c r="N1111" i="3"/>
  <c r="M1111" i="3" a="1"/>
  <c r="M1111" i="3"/>
  <c r="L1111" i="3"/>
  <c r="K1111" i="3"/>
  <c r="J1111" i="3"/>
  <c r="I1111" i="3"/>
  <c r="H1111" i="3"/>
  <c r="G1111" i="3"/>
  <c r="F1111" i="3"/>
  <c r="D1111" i="3" a="1"/>
  <c r="D1111" i="3" s="1"/>
  <c r="C1111" i="3" a="1"/>
  <c r="C1111" i="3" s="1"/>
  <c r="B1111" i="3" a="1"/>
  <c r="B1111" i="3"/>
  <c r="N1110" i="3" a="1"/>
  <c r="N1110" i="3" s="1"/>
  <c r="L1110" i="3"/>
  <c r="K1110" i="3"/>
  <c r="I1110" i="3"/>
  <c r="H1110" i="3"/>
  <c r="J1110" i="3" s="1"/>
  <c r="G1110" i="3"/>
  <c r="F1110" i="3"/>
  <c r="D1110" i="3" a="1"/>
  <c r="D1110" i="3" s="1"/>
  <c r="C1110" i="3" a="1"/>
  <c r="C1110" i="3" s="1"/>
  <c r="B1110" i="3" a="1"/>
  <c r="B1110" i="3" s="1"/>
  <c r="M1110" i="3" s="1" a="1"/>
  <c r="M1110" i="3" s="1"/>
  <c r="N1109" i="3" a="1"/>
  <c r="N1109" i="3"/>
  <c r="L1109" i="3"/>
  <c r="K1109" i="3"/>
  <c r="H1109" i="3"/>
  <c r="I1109" i="3" s="1"/>
  <c r="G1109" i="3"/>
  <c r="F1109" i="3"/>
  <c r="D1109" i="3" a="1"/>
  <c r="D1109" i="3" s="1"/>
  <c r="C1109" i="3" a="1"/>
  <c r="C1109" i="3"/>
  <c r="B1109" i="3" a="1"/>
  <c r="B1109" i="3" s="1"/>
  <c r="M1109" i="3" s="1" a="1"/>
  <c r="M1109" i="3" s="1"/>
  <c r="N1108" i="3" a="1"/>
  <c r="N1108" i="3"/>
  <c r="M1108" i="3" a="1"/>
  <c r="M1108" i="3" s="1"/>
  <c r="L1108" i="3"/>
  <c r="K1108" i="3"/>
  <c r="H1108" i="3"/>
  <c r="J1108" i="3" s="1"/>
  <c r="G1108" i="3"/>
  <c r="F1108" i="3"/>
  <c r="D1108" i="3" a="1"/>
  <c r="D1108" i="3" s="1"/>
  <c r="C1108" i="3" a="1"/>
  <c r="C1108" i="3" s="1"/>
  <c r="B1108" i="3" a="1"/>
  <c r="B1108" i="3"/>
  <c r="N1107" i="3" a="1"/>
  <c r="N1107" i="3" s="1"/>
  <c r="L1107" i="3"/>
  <c r="K1107" i="3"/>
  <c r="J1107" i="3"/>
  <c r="H1107" i="3"/>
  <c r="I1107" i="3" s="1"/>
  <c r="G1107" i="3"/>
  <c r="F1107" i="3"/>
  <c r="D1107" i="3" a="1"/>
  <c r="D1107" i="3" s="1"/>
  <c r="C1107" i="3" a="1"/>
  <c r="C1107" i="3"/>
  <c r="B1107" i="3" a="1"/>
  <c r="B1107" i="3" s="1"/>
  <c r="M1107" i="3" s="1" a="1"/>
  <c r="M1107" i="3" s="1"/>
  <c r="N1106" i="3" a="1"/>
  <c r="N1106" i="3" s="1"/>
  <c r="L1106" i="3"/>
  <c r="K1106" i="3"/>
  <c r="H1106" i="3"/>
  <c r="J1106" i="3" s="1"/>
  <c r="G1106" i="3"/>
  <c r="F1106" i="3"/>
  <c r="D1106" i="3" a="1"/>
  <c r="D1106" i="3"/>
  <c r="C1106" i="3" a="1"/>
  <c r="C1106" i="3" s="1"/>
  <c r="B1106" i="3" a="1"/>
  <c r="B1106" i="3" s="1"/>
  <c r="M1106" i="3" s="1" a="1"/>
  <c r="M1106" i="3" s="1"/>
  <c r="N1105" i="3" a="1"/>
  <c r="N1105" i="3" s="1"/>
  <c r="L1105" i="3"/>
  <c r="K1105" i="3"/>
  <c r="J1105" i="3"/>
  <c r="H1105" i="3"/>
  <c r="I1105" i="3" s="1"/>
  <c r="G1105" i="3"/>
  <c r="F1105" i="3"/>
  <c r="D1105" i="3" a="1"/>
  <c r="D1105" i="3" s="1"/>
  <c r="C1105" i="3" a="1"/>
  <c r="C1105" i="3"/>
  <c r="B1105" i="3" a="1"/>
  <c r="B1105" i="3"/>
  <c r="M1105" i="3" s="1" a="1"/>
  <c r="M1105" i="3" s="1"/>
  <c r="N1104" i="3" a="1"/>
  <c r="N1104" i="3"/>
  <c r="L1104" i="3"/>
  <c r="K1104" i="3"/>
  <c r="H1104" i="3"/>
  <c r="J1104" i="3" s="1"/>
  <c r="G1104" i="3"/>
  <c r="F1104" i="3"/>
  <c r="D1104" i="3" a="1"/>
  <c r="D1104" i="3" s="1"/>
  <c r="C1104" i="3" a="1"/>
  <c r="C1104" i="3" s="1"/>
  <c r="B1104" i="3" a="1"/>
  <c r="B1104" i="3" s="1"/>
  <c r="M1104" i="3" s="1" a="1"/>
  <c r="M1104" i="3" s="1"/>
  <c r="N1103" i="3" a="1"/>
  <c r="N1103" i="3"/>
  <c r="M1103" i="3" a="1"/>
  <c r="M1103" i="3" s="1"/>
  <c r="L1103" i="3"/>
  <c r="K1103" i="3"/>
  <c r="J1103" i="3"/>
  <c r="H1103" i="3"/>
  <c r="I1103" i="3" s="1"/>
  <c r="G1103" i="3"/>
  <c r="F1103" i="3"/>
  <c r="D1103" i="3" a="1"/>
  <c r="D1103" i="3"/>
  <c r="C1103" i="3" a="1"/>
  <c r="C1103" i="3"/>
  <c r="B1103" i="3" a="1"/>
  <c r="B1103" i="3"/>
  <c r="N1102" i="3" a="1"/>
  <c r="N1102" i="3" s="1"/>
  <c r="L1102" i="3"/>
  <c r="K1102" i="3"/>
  <c r="J1102" i="3"/>
  <c r="I1102" i="3"/>
  <c r="H1102" i="3"/>
  <c r="G1102" i="3"/>
  <c r="F1102" i="3"/>
  <c r="D1102" i="3" a="1"/>
  <c r="D1102" i="3"/>
  <c r="C1102" i="3" a="1"/>
  <c r="C1102" i="3"/>
  <c r="B1102" i="3" a="1"/>
  <c r="B1102" i="3"/>
  <c r="M1102" i="3" s="1" a="1"/>
  <c r="M1102" i="3" s="1"/>
  <c r="N1101" i="3" a="1"/>
  <c r="N1101" i="3" s="1"/>
  <c r="M1101" i="3"/>
  <c r="L1101" i="3"/>
  <c r="K1101" i="3"/>
  <c r="J1101" i="3"/>
  <c r="I1101" i="3"/>
  <c r="H1101" i="3"/>
  <c r="G1101" i="3"/>
  <c r="F1101" i="3"/>
  <c r="D1101" i="3" a="1"/>
  <c r="D1101" i="3" s="1"/>
  <c r="C1101" i="3" a="1"/>
  <c r="C1101" i="3" s="1"/>
  <c r="B1101" i="3" a="1"/>
  <c r="B1101" i="3"/>
  <c r="M1101" i="3" s="1" a="1"/>
  <c r="N1100" i="3" a="1"/>
  <c r="N1100" i="3" s="1"/>
  <c r="L1100" i="3"/>
  <c r="K1100" i="3"/>
  <c r="J1100" i="3"/>
  <c r="H1100" i="3"/>
  <c r="G1100" i="3"/>
  <c r="F1100" i="3"/>
  <c r="D1100" i="3" a="1"/>
  <c r="D1100" i="3"/>
  <c r="C1100" i="3" a="1"/>
  <c r="C1100" i="3" s="1"/>
  <c r="B1100" i="3" a="1"/>
  <c r="B1100" i="3" s="1"/>
  <c r="M1100" i="3" s="1" a="1"/>
  <c r="M1100" i="3" s="1"/>
  <c r="N1099" i="3" a="1"/>
  <c r="N1099" i="3" s="1"/>
  <c r="L1099" i="3"/>
  <c r="K1099" i="3"/>
  <c r="J1099" i="3"/>
  <c r="I1099" i="3"/>
  <c r="H1099" i="3"/>
  <c r="G1099" i="3"/>
  <c r="F1099" i="3"/>
  <c r="D1099" i="3" a="1"/>
  <c r="D1099" i="3" s="1"/>
  <c r="C1099" i="3" a="1"/>
  <c r="C1099" i="3"/>
  <c r="B1099" i="3" a="1"/>
  <c r="B1099" i="3"/>
  <c r="M1099" i="3" s="1" a="1"/>
  <c r="M1099" i="3" s="1"/>
  <c r="N1098" i="3" a="1"/>
  <c r="N1098" i="3" s="1"/>
  <c r="M1098" i="3" a="1"/>
  <c r="M1098" i="3" s="1"/>
  <c r="L1098" i="3"/>
  <c r="K1098" i="3"/>
  <c r="I1098" i="3"/>
  <c r="H1098" i="3"/>
  <c r="J1098" i="3" s="1"/>
  <c r="G1098" i="3"/>
  <c r="F1098" i="3"/>
  <c r="D1098" i="3" a="1"/>
  <c r="D1098" i="3" s="1"/>
  <c r="C1098" i="3" a="1"/>
  <c r="C1098" i="3"/>
  <c r="B1098" i="3" a="1"/>
  <c r="B1098" i="3" s="1"/>
  <c r="N1097" i="3" a="1"/>
  <c r="N1097" i="3" s="1"/>
  <c r="L1097" i="3"/>
  <c r="K1097" i="3"/>
  <c r="J1097" i="3"/>
  <c r="H1097" i="3"/>
  <c r="I1097" i="3" s="1"/>
  <c r="G1097" i="3"/>
  <c r="F1097" i="3"/>
  <c r="D1097" i="3" a="1"/>
  <c r="D1097" i="3" s="1"/>
  <c r="C1097" i="3" a="1"/>
  <c r="C1097" i="3" s="1"/>
  <c r="B1097" i="3" a="1"/>
  <c r="B1097" i="3"/>
  <c r="M1097" i="3" s="1" a="1"/>
  <c r="M1097" i="3" s="1"/>
  <c r="N1096" i="3" a="1"/>
  <c r="N1096" i="3"/>
  <c r="L1096" i="3"/>
  <c r="K1096" i="3"/>
  <c r="H1096" i="3"/>
  <c r="J1096" i="3" s="1"/>
  <c r="G1096" i="3"/>
  <c r="F1096" i="3"/>
  <c r="D1096" i="3" a="1"/>
  <c r="D1096" i="3"/>
  <c r="C1096" i="3" a="1"/>
  <c r="C1096" i="3"/>
  <c r="B1096" i="3" a="1"/>
  <c r="B1096" i="3" s="1"/>
  <c r="M1096" i="3" s="1" a="1"/>
  <c r="M1096" i="3" s="1"/>
  <c r="N1095" i="3" a="1"/>
  <c r="N1095" i="3"/>
  <c r="L1095" i="3"/>
  <c r="K1095" i="3"/>
  <c r="I1095" i="3"/>
  <c r="H1095" i="3"/>
  <c r="J1095" i="3" s="1"/>
  <c r="G1095" i="3"/>
  <c r="F1095" i="3"/>
  <c r="D1095" i="3" a="1"/>
  <c r="D1095" i="3" s="1"/>
  <c r="C1095" i="3" a="1"/>
  <c r="C1095" i="3" s="1"/>
  <c r="B1095" i="3" a="1"/>
  <c r="B1095" i="3"/>
  <c r="M1095" i="3" s="1" a="1"/>
  <c r="M1095" i="3" s="1"/>
  <c r="N1094" i="3" a="1"/>
  <c r="N1094" i="3"/>
  <c r="M1094" i="3" a="1"/>
  <c r="M1094" i="3" s="1"/>
  <c r="L1094" i="3"/>
  <c r="K1094" i="3"/>
  <c r="H1094" i="3"/>
  <c r="J1094" i="3" s="1"/>
  <c r="G1094" i="3"/>
  <c r="F1094" i="3"/>
  <c r="D1094" i="3" a="1"/>
  <c r="D1094" i="3"/>
  <c r="C1094" i="3" a="1"/>
  <c r="C1094" i="3" s="1"/>
  <c r="B1094" i="3" a="1"/>
  <c r="B1094" i="3"/>
  <c r="N1093" i="3" a="1"/>
  <c r="N1093" i="3" s="1"/>
  <c r="L1093" i="3"/>
  <c r="K1093" i="3"/>
  <c r="J1093" i="3"/>
  <c r="I1093" i="3"/>
  <c r="H1093" i="3"/>
  <c r="G1093" i="3"/>
  <c r="F1093" i="3"/>
  <c r="D1093" i="3" a="1"/>
  <c r="D1093" i="3" s="1"/>
  <c r="C1093" i="3" a="1"/>
  <c r="C1093" i="3"/>
  <c r="B1093" i="3" a="1"/>
  <c r="B1093" i="3" s="1"/>
  <c r="M1093" i="3" s="1" a="1"/>
  <c r="M1093" i="3" s="1"/>
  <c r="N1092" i="3" a="1"/>
  <c r="N1092" i="3" s="1"/>
  <c r="L1092" i="3"/>
  <c r="K1092" i="3"/>
  <c r="J1092" i="3"/>
  <c r="H1092" i="3"/>
  <c r="G1092" i="3"/>
  <c r="F1092" i="3"/>
  <c r="D1092" i="3" a="1"/>
  <c r="D1092" i="3"/>
  <c r="C1092" i="3" a="1"/>
  <c r="C1092" i="3" s="1"/>
  <c r="B1092" i="3" a="1"/>
  <c r="B1092" i="3"/>
  <c r="M1092" i="3" s="1" a="1"/>
  <c r="M1092" i="3" s="1"/>
  <c r="N1091" i="3" a="1"/>
  <c r="N1091" i="3" s="1"/>
  <c r="L1091" i="3"/>
  <c r="K1091" i="3"/>
  <c r="H1091" i="3"/>
  <c r="J1091" i="3" s="1"/>
  <c r="G1091" i="3"/>
  <c r="F1091" i="3"/>
  <c r="D1091" i="3" a="1"/>
  <c r="D1091" i="3" s="1"/>
  <c r="C1091" i="3" a="1"/>
  <c r="C1091" i="3"/>
  <c r="B1091" i="3" a="1"/>
  <c r="B1091" i="3" s="1"/>
  <c r="M1091" i="3" s="1" a="1"/>
  <c r="M1091" i="3" s="1"/>
  <c r="N1090" i="3" a="1"/>
  <c r="N1090" i="3"/>
  <c r="L1090" i="3"/>
  <c r="K1090" i="3"/>
  <c r="J1090" i="3"/>
  <c r="I1090" i="3"/>
  <c r="H1090" i="3"/>
  <c r="G1090" i="3"/>
  <c r="F1090" i="3"/>
  <c r="D1090" i="3" a="1"/>
  <c r="D1090" i="3"/>
  <c r="C1090" i="3" a="1"/>
  <c r="C1090" i="3"/>
  <c r="B1090" i="3" a="1"/>
  <c r="B1090" i="3" s="1"/>
  <c r="M1090" i="3" s="1" a="1"/>
  <c r="M1090" i="3" s="1"/>
  <c r="N1089" i="3" a="1"/>
  <c r="N1089" i="3"/>
  <c r="L1089" i="3"/>
  <c r="K1089" i="3"/>
  <c r="H1089" i="3"/>
  <c r="J1089" i="3" s="1"/>
  <c r="G1089" i="3"/>
  <c r="F1089" i="3"/>
  <c r="D1089" i="3" a="1"/>
  <c r="D1089" i="3" s="1"/>
  <c r="C1089" i="3" a="1"/>
  <c r="C1089" i="3" s="1"/>
  <c r="B1089" i="3" a="1"/>
  <c r="B1089" i="3" s="1"/>
  <c r="M1089" i="3" s="1" a="1"/>
  <c r="M1089" i="3" s="1"/>
  <c r="N1088" i="3" a="1"/>
  <c r="N1088" i="3" s="1"/>
  <c r="L1088" i="3"/>
  <c r="K1088" i="3"/>
  <c r="J1088" i="3"/>
  <c r="H1088" i="3"/>
  <c r="G1088" i="3"/>
  <c r="F1088" i="3"/>
  <c r="D1088" i="3" a="1"/>
  <c r="D1088" i="3" s="1"/>
  <c r="C1088" i="3" a="1"/>
  <c r="C1088" i="3" s="1"/>
  <c r="B1088" i="3" a="1"/>
  <c r="B1088" i="3" s="1"/>
  <c r="M1088" i="3" s="1" a="1"/>
  <c r="M1088" i="3" s="1"/>
  <c r="N1087" i="3" a="1"/>
  <c r="N1087" i="3" s="1"/>
  <c r="M1087" i="3" a="1"/>
  <c r="M1087" i="3" s="1"/>
  <c r="L1087" i="3"/>
  <c r="K1087" i="3"/>
  <c r="J1087" i="3"/>
  <c r="I1087" i="3"/>
  <c r="H1087" i="3"/>
  <c r="G1087" i="3"/>
  <c r="F1087" i="3"/>
  <c r="D1087" i="3" a="1"/>
  <c r="D1087" i="3"/>
  <c r="C1087" i="3" a="1"/>
  <c r="C1087" i="3"/>
  <c r="B1087" i="3" a="1"/>
  <c r="B1087" i="3"/>
  <c r="N1086" i="3" a="1"/>
  <c r="N1086" i="3"/>
  <c r="L1086" i="3"/>
  <c r="K1086" i="3"/>
  <c r="J1086" i="3"/>
  <c r="I1086" i="3"/>
  <c r="H1086" i="3"/>
  <c r="G1086" i="3"/>
  <c r="F1086" i="3"/>
  <c r="D1086" i="3" a="1"/>
  <c r="D1086" i="3"/>
  <c r="C1086" i="3" a="1"/>
  <c r="C1086" i="3" s="1"/>
  <c r="B1086" i="3" a="1"/>
  <c r="B1086" i="3" s="1"/>
  <c r="M1086" i="3" s="1" a="1"/>
  <c r="M1086" i="3" s="1"/>
  <c r="N1085" i="3" a="1"/>
  <c r="N1085" i="3" s="1"/>
  <c r="L1085" i="3"/>
  <c r="K1085" i="3"/>
  <c r="H1085" i="3"/>
  <c r="J1085" i="3" s="1"/>
  <c r="G1085" i="3"/>
  <c r="F1085" i="3"/>
  <c r="D1085" i="3" a="1"/>
  <c r="D1085" i="3"/>
  <c r="C1085" i="3" a="1"/>
  <c r="C1085" i="3"/>
  <c r="B1085" i="3" a="1"/>
  <c r="B1085" i="3"/>
  <c r="M1085" i="3" s="1" a="1"/>
  <c r="M1085" i="3" s="1"/>
  <c r="N1084" i="3" a="1"/>
  <c r="N1084" i="3"/>
  <c r="L1084" i="3"/>
  <c r="K1084" i="3"/>
  <c r="J1084" i="3"/>
  <c r="H1084" i="3"/>
  <c r="G1084" i="3"/>
  <c r="F1084" i="3"/>
  <c r="D1084" i="3" a="1"/>
  <c r="D1084" i="3" s="1"/>
  <c r="C1084" i="3" a="1"/>
  <c r="C1084" i="3"/>
  <c r="B1084" i="3" a="1"/>
  <c r="B1084" i="3"/>
  <c r="M1084" i="3" s="1" a="1"/>
  <c r="M1084" i="3" s="1"/>
  <c r="N1083" i="3" a="1"/>
  <c r="N1083" i="3"/>
  <c r="L1083" i="3"/>
  <c r="K1083" i="3"/>
  <c r="I1083" i="3"/>
  <c r="H1083" i="3"/>
  <c r="J1083" i="3" s="1"/>
  <c r="G1083" i="3"/>
  <c r="F1083" i="3"/>
  <c r="D1083" i="3" a="1"/>
  <c r="D1083" i="3" s="1"/>
  <c r="C1083" i="3" a="1"/>
  <c r="C1083" i="3" s="1"/>
  <c r="B1083" i="3" a="1"/>
  <c r="B1083" i="3"/>
  <c r="M1083" i="3" s="1" a="1"/>
  <c r="M1083" i="3" s="1"/>
  <c r="N1082" i="3" a="1"/>
  <c r="N1082" i="3" s="1"/>
  <c r="M1082" i="3" a="1"/>
  <c r="M1082" i="3" s="1"/>
  <c r="L1082" i="3"/>
  <c r="K1082" i="3"/>
  <c r="H1082" i="3"/>
  <c r="J1082" i="3" s="1"/>
  <c r="G1082" i="3"/>
  <c r="F1082" i="3"/>
  <c r="D1082" i="3" a="1"/>
  <c r="D1082" i="3"/>
  <c r="C1082" i="3" a="1"/>
  <c r="C1082" i="3" s="1"/>
  <c r="B1082" i="3" a="1"/>
  <c r="B1082" i="3"/>
  <c r="N1081" i="3" a="1"/>
  <c r="N1081" i="3"/>
  <c r="L1081" i="3"/>
  <c r="K1081" i="3"/>
  <c r="J1081" i="3"/>
  <c r="I1081" i="3"/>
  <c r="H1081" i="3"/>
  <c r="G1081" i="3"/>
  <c r="F1081" i="3"/>
  <c r="D1081" i="3" a="1"/>
  <c r="D1081" i="3"/>
  <c r="C1081" i="3" a="1"/>
  <c r="C1081" i="3" s="1"/>
  <c r="B1081" i="3" a="1"/>
  <c r="B1081" i="3" s="1"/>
  <c r="M1081" i="3" s="1" a="1"/>
  <c r="M1081" i="3" s="1"/>
  <c r="N1080" i="3" a="1"/>
  <c r="N1080" i="3"/>
  <c r="L1080" i="3"/>
  <c r="K1080" i="3"/>
  <c r="J1080" i="3"/>
  <c r="H1080" i="3"/>
  <c r="G1080" i="3"/>
  <c r="F1080" i="3"/>
  <c r="D1080" i="3" a="1"/>
  <c r="D1080" i="3" s="1"/>
  <c r="C1080" i="3" a="1"/>
  <c r="C1080" i="3"/>
  <c r="B1080" i="3" a="1"/>
  <c r="B1080" i="3" s="1"/>
  <c r="M1080" i="3" s="1" a="1"/>
  <c r="M1080" i="3" s="1"/>
  <c r="N1079" i="3" a="1"/>
  <c r="N1079" i="3" s="1"/>
  <c r="L1079" i="3"/>
  <c r="K1079" i="3"/>
  <c r="J1079" i="3"/>
  <c r="H1079" i="3"/>
  <c r="I1079" i="3" s="1"/>
  <c r="G1079" i="3"/>
  <c r="F1079" i="3"/>
  <c r="D1079" i="3" a="1"/>
  <c r="D1079" i="3"/>
  <c r="C1079" i="3" a="1"/>
  <c r="C1079" i="3" s="1"/>
  <c r="B1079" i="3" a="1"/>
  <c r="B1079" i="3"/>
  <c r="M1079" i="3" s="1" a="1"/>
  <c r="M1079" i="3" s="1"/>
  <c r="N1078" i="3" a="1"/>
  <c r="N1078" i="3" s="1"/>
  <c r="L1078" i="3"/>
  <c r="K1078" i="3"/>
  <c r="J1078" i="3"/>
  <c r="I1078" i="3"/>
  <c r="H1078" i="3"/>
  <c r="G1078" i="3"/>
  <c r="F1078" i="3"/>
  <c r="D1078" i="3" a="1"/>
  <c r="D1078" i="3" s="1"/>
  <c r="C1078" i="3" a="1"/>
  <c r="C1078" i="3" s="1"/>
  <c r="B1078" i="3" a="1"/>
  <c r="B1078" i="3"/>
  <c r="M1078" i="3" s="1" a="1"/>
  <c r="M1078" i="3" s="1"/>
  <c r="N1077" i="3" a="1"/>
  <c r="N1077" i="3" s="1"/>
  <c r="L1077" i="3"/>
  <c r="K1077" i="3"/>
  <c r="H1077" i="3"/>
  <c r="J1077" i="3" s="1"/>
  <c r="G1077" i="3"/>
  <c r="F1077" i="3"/>
  <c r="D1077" i="3" a="1"/>
  <c r="D1077" i="3"/>
  <c r="C1077" i="3" a="1"/>
  <c r="C1077" i="3"/>
  <c r="B1077" i="3" a="1"/>
  <c r="B1077" i="3" s="1"/>
  <c r="M1077" i="3" s="1" a="1"/>
  <c r="M1077" i="3" s="1"/>
  <c r="N1076" i="3" a="1"/>
  <c r="N1076" i="3"/>
  <c r="L1076" i="3"/>
  <c r="K1076" i="3"/>
  <c r="H1076" i="3"/>
  <c r="J1076" i="3" s="1"/>
  <c r="G1076" i="3"/>
  <c r="F1076" i="3"/>
  <c r="D1076" i="3" a="1"/>
  <c r="D1076" i="3"/>
  <c r="C1076" i="3" a="1"/>
  <c r="C1076" i="3" s="1"/>
  <c r="B1076" i="3" a="1"/>
  <c r="B1076" i="3"/>
  <c r="M1076" i="3" s="1" a="1"/>
  <c r="M1076" i="3" s="1"/>
  <c r="N1075" i="3" a="1"/>
  <c r="N1075" i="3" s="1"/>
  <c r="L1075" i="3"/>
  <c r="K1075" i="3"/>
  <c r="H1075" i="3"/>
  <c r="J1075" i="3" s="1"/>
  <c r="G1075" i="3"/>
  <c r="F1075" i="3"/>
  <c r="D1075" i="3" a="1"/>
  <c r="D1075" i="3" s="1"/>
  <c r="C1075" i="3" a="1"/>
  <c r="C1075" i="3"/>
  <c r="B1075" i="3" a="1"/>
  <c r="B1075" i="3" s="1"/>
  <c r="M1075" i="3" s="1" a="1"/>
  <c r="M1075" i="3" s="1"/>
  <c r="N1074" i="3" a="1"/>
  <c r="N1074" i="3" s="1"/>
  <c r="L1074" i="3"/>
  <c r="K1074" i="3"/>
  <c r="J1074" i="3"/>
  <c r="H1074" i="3"/>
  <c r="I1074" i="3" s="1"/>
  <c r="G1074" i="3"/>
  <c r="F1074" i="3"/>
  <c r="D1074" i="3" a="1"/>
  <c r="D1074" i="3"/>
  <c r="C1074" i="3" a="1"/>
  <c r="C1074" i="3"/>
  <c r="B1074" i="3" a="1"/>
  <c r="B1074" i="3" s="1"/>
  <c r="M1074" i="3" s="1" a="1"/>
  <c r="M1074" i="3" s="1"/>
  <c r="N1073" i="3" a="1"/>
  <c r="N1073" i="3"/>
  <c r="M1073" i="3" a="1"/>
  <c r="M1073" i="3" s="1"/>
  <c r="L1073" i="3"/>
  <c r="K1073" i="3"/>
  <c r="J1073" i="3"/>
  <c r="I1073" i="3"/>
  <c r="H1073" i="3"/>
  <c r="G1073" i="3"/>
  <c r="F1073" i="3"/>
  <c r="D1073" i="3" a="1"/>
  <c r="D1073" i="3" s="1"/>
  <c r="C1073" i="3" a="1"/>
  <c r="C1073" i="3" s="1"/>
  <c r="B1073" i="3" a="1"/>
  <c r="B1073" i="3"/>
  <c r="N1072" i="3" a="1"/>
  <c r="N1072" i="3" s="1"/>
  <c r="L1072" i="3"/>
  <c r="K1072" i="3"/>
  <c r="J1072" i="3"/>
  <c r="H1072" i="3"/>
  <c r="G1072" i="3"/>
  <c r="F1072" i="3"/>
  <c r="D1072" i="3" a="1"/>
  <c r="D1072" i="3"/>
  <c r="C1072" i="3" a="1"/>
  <c r="C1072" i="3" s="1"/>
  <c r="B1072" i="3" a="1"/>
  <c r="B1072" i="3" s="1"/>
  <c r="M1072" i="3" s="1" a="1"/>
  <c r="M1072" i="3" s="1"/>
  <c r="N1071" i="3" a="1"/>
  <c r="N1071" i="3" s="1"/>
  <c r="L1071" i="3"/>
  <c r="K1071" i="3"/>
  <c r="H1071" i="3"/>
  <c r="J1071" i="3" s="1"/>
  <c r="G1071" i="3"/>
  <c r="F1071" i="3"/>
  <c r="D1071" i="3" a="1"/>
  <c r="D1071" i="3"/>
  <c r="C1071" i="3" a="1"/>
  <c r="C1071" i="3"/>
  <c r="B1071" i="3" a="1"/>
  <c r="B1071" i="3"/>
  <c r="M1071" i="3" s="1" a="1"/>
  <c r="M1071" i="3" s="1"/>
  <c r="N1070" i="3" a="1"/>
  <c r="N1070" i="3"/>
  <c r="L1070" i="3"/>
  <c r="K1070" i="3"/>
  <c r="J1070" i="3"/>
  <c r="H1070" i="3"/>
  <c r="I1070" i="3" s="1"/>
  <c r="G1070" i="3"/>
  <c r="F1070" i="3"/>
  <c r="D1070" i="3" a="1"/>
  <c r="D1070" i="3" s="1"/>
  <c r="C1070" i="3" a="1"/>
  <c r="C1070" i="3"/>
  <c r="B1070" i="3" a="1"/>
  <c r="B1070" i="3" s="1"/>
  <c r="M1070" i="3" s="1" a="1"/>
  <c r="M1070" i="3" s="1"/>
  <c r="N1069" i="3" a="1"/>
  <c r="N1069" i="3" s="1"/>
  <c r="L1069" i="3"/>
  <c r="K1069" i="3"/>
  <c r="J1069" i="3"/>
  <c r="I1069" i="3"/>
  <c r="H1069" i="3"/>
  <c r="G1069" i="3"/>
  <c r="F1069" i="3"/>
  <c r="D1069" i="3" a="1"/>
  <c r="D1069" i="3" s="1"/>
  <c r="C1069" i="3" a="1"/>
  <c r="C1069" i="3"/>
  <c r="B1069" i="3" a="1"/>
  <c r="B1069" i="3"/>
  <c r="M1069" i="3" s="1" a="1"/>
  <c r="M1069" i="3" s="1"/>
  <c r="N1068" i="3" a="1"/>
  <c r="N1068" i="3"/>
  <c r="L1068" i="3"/>
  <c r="K1068" i="3"/>
  <c r="I1068" i="3"/>
  <c r="H1068" i="3"/>
  <c r="J1068" i="3" s="1"/>
  <c r="G1068" i="3"/>
  <c r="F1068" i="3"/>
  <c r="D1068" i="3" a="1"/>
  <c r="D1068" i="3" s="1"/>
  <c r="C1068" i="3" a="1"/>
  <c r="C1068" i="3" s="1"/>
  <c r="B1068" i="3" a="1"/>
  <c r="B1068" i="3"/>
  <c r="M1068" i="3" s="1" a="1"/>
  <c r="M1068" i="3" s="1"/>
  <c r="N1067" i="3" a="1"/>
  <c r="N1067" i="3" s="1"/>
  <c r="M1067" i="3" a="1"/>
  <c r="M1067" i="3" s="1"/>
  <c r="L1067" i="3"/>
  <c r="K1067" i="3"/>
  <c r="H1067" i="3"/>
  <c r="G1067" i="3"/>
  <c r="F1067" i="3"/>
  <c r="D1067" i="3" a="1"/>
  <c r="D1067" i="3"/>
  <c r="C1067" i="3" a="1"/>
  <c r="C1067" i="3" s="1"/>
  <c r="B1067" i="3" a="1"/>
  <c r="B1067" i="3"/>
  <c r="N1066" i="3" a="1"/>
  <c r="N1066" i="3"/>
  <c r="L1066" i="3"/>
  <c r="K1066" i="3"/>
  <c r="J1066" i="3"/>
  <c r="I1066" i="3"/>
  <c r="H1066" i="3"/>
  <c r="G1066" i="3"/>
  <c r="F1066" i="3"/>
  <c r="D1066" i="3" a="1"/>
  <c r="D1066" i="3"/>
  <c r="C1066" i="3" a="1"/>
  <c r="C1066" i="3" s="1"/>
  <c r="B1066" i="3" a="1"/>
  <c r="B1066" i="3" s="1"/>
  <c r="M1066" i="3" s="1" a="1"/>
  <c r="M1066" i="3" s="1"/>
  <c r="N1065" i="3" a="1"/>
  <c r="N1065" i="3"/>
  <c r="L1065" i="3"/>
  <c r="K1065" i="3"/>
  <c r="J1065" i="3"/>
  <c r="H1065" i="3"/>
  <c r="G1065" i="3"/>
  <c r="F1065" i="3"/>
  <c r="D1065" i="3" a="1"/>
  <c r="D1065" i="3" s="1"/>
  <c r="C1065" i="3" a="1"/>
  <c r="C1065" i="3"/>
  <c r="B1065" i="3" a="1"/>
  <c r="B1065" i="3" s="1"/>
  <c r="M1065" i="3" s="1" a="1"/>
  <c r="M1065" i="3" s="1"/>
  <c r="N1064" i="3" a="1"/>
  <c r="N1064" i="3" s="1"/>
  <c r="L1064" i="3"/>
  <c r="K1064" i="3"/>
  <c r="J1064" i="3"/>
  <c r="H1064" i="3"/>
  <c r="I1064" i="3" s="1"/>
  <c r="G1064" i="3"/>
  <c r="F1064" i="3"/>
  <c r="D1064" i="3" a="1"/>
  <c r="D1064" i="3"/>
  <c r="C1064" i="3" a="1"/>
  <c r="C1064" i="3" s="1"/>
  <c r="B1064" i="3" a="1"/>
  <c r="B1064" i="3"/>
  <c r="M1064" i="3" s="1" a="1"/>
  <c r="M1064" i="3" s="1"/>
  <c r="N1063" i="3" a="1"/>
  <c r="N1063" i="3" s="1"/>
  <c r="L1063" i="3"/>
  <c r="K1063" i="3"/>
  <c r="J1063" i="3"/>
  <c r="I1063" i="3"/>
  <c r="H1063" i="3"/>
  <c r="G1063" i="3"/>
  <c r="F1063" i="3"/>
  <c r="D1063" i="3" a="1"/>
  <c r="D1063" i="3" s="1"/>
  <c r="C1063" i="3" a="1"/>
  <c r="C1063" i="3" s="1"/>
  <c r="B1063" i="3" a="1"/>
  <c r="B1063" i="3"/>
  <c r="M1063" i="3" s="1" a="1"/>
  <c r="M1063" i="3" s="1"/>
  <c r="N1062" i="3" a="1"/>
  <c r="N1062" i="3" s="1"/>
  <c r="L1062" i="3"/>
  <c r="K1062" i="3"/>
  <c r="H1062" i="3"/>
  <c r="J1062" i="3" s="1"/>
  <c r="G1062" i="3"/>
  <c r="F1062" i="3"/>
  <c r="D1062" i="3" a="1"/>
  <c r="D1062" i="3"/>
  <c r="C1062" i="3" a="1"/>
  <c r="C1062" i="3"/>
  <c r="B1062" i="3" a="1"/>
  <c r="B1062" i="3" s="1"/>
  <c r="M1062" i="3" s="1" a="1"/>
  <c r="M1062" i="3" s="1"/>
  <c r="N1061" i="3" a="1"/>
  <c r="N1061" i="3"/>
  <c r="L1061" i="3"/>
  <c r="K1061" i="3"/>
  <c r="H1061" i="3"/>
  <c r="J1061" i="3" s="1"/>
  <c r="G1061" i="3"/>
  <c r="F1061" i="3"/>
  <c r="D1061" i="3" a="1"/>
  <c r="D1061" i="3"/>
  <c r="C1061" i="3" a="1"/>
  <c r="C1061" i="3" s="1"/>
  <c r="B1061" i="3" a="1"/>
  <c r="B1061" i="3"/>
  <c r="M1061" i="3" s="1" a="1"/>
  <c r="M1061" i="3" s="1"/>
  <c r="N1060" i="3" a="1"/>
  <c r="N1060" i="3" s="1"/>
  <c r="L1060" i="3"/>
  <c r="K1060" i="3"/>
  <c r="H1060" i="3"/>
  <c r="J1060" i="3" s="1"/>
  <c r="G1060" i="3"/>
  <c r="F1060" i="3"/>
  <c r="D1060" i="3" a="1"/>
  <c r="D1060" i="3" s="1"/>
  <c r="C1060" i="3" a="1"/>
  <c r="C1060" i="3"/>
  <c r="B1060" i="3" a="1"/>
  <c r="B1060" i="3" s="1"/>
  <c r="M1060" i="3" s="1" a="1"/>
  <c r="M1060" i="3" s="1"/>
  <c r="N1059" i="3" a="1"/>
  <c r="N1059" i="3" s="1"/>
  <c r="L1059" i="3"/>
  <c r="K1059" i="3"/>
  <c r="J1059" i="3"/>
  <c r="H1059" i="3"/>
  <c r="I1059" i="3" s="1"/>
  <c r="G1059" i="3"/>
  <c r="F1059" i="3"/>
  <c r="D1059" i="3" a="1"/>
  <c r="D1059" i="3"/>
  <c r="C1059" i="3" a="1"/>
  <c r="C1059" i="3"/>
  <c r="B1059" i="3" a="1"/>
  <c r="B1059" i="3" s="1"/>
  <c r="M1059" i="3" s="1" a="1"/>
  <c r="M1059" i="3" s="1"/>
  <c r="N1058" i="3" a="1"/>
  <c r="N1058" i="3"/>
  <c r="L1058" i="3"/>
  <c r="K1058" i="3"/>
  <c r="J1058" i="3"/>
  <c r="I1058" i="3"/>
  <c r="H1058" i="3"/>
  <c r="G1058" i="3"/>
  <c r="F1058" i="3"/>
  <c r="D1058" i="3" a="1"/>
  <c r="D1058" i="3" s="1"/>
  <c r="C1058" i="3" a="1"/>
  <c r="C1058" i="3" s="1"/>
  <c r="B1058" i="3" a="1"/>
  <c r="B1058" i="3" s="1"/>
  <c r="M1058" i="3" s="1" a="1"/>
  <c r="M1058" i="3" s="1"/>
  <c r="N1057" i="3" a="1"/>
  <c r="N1057" i="3" s="1"/>
  <c r="L1057" i="3"/>
  <c r="K1057" i="3"/>
  <c r="J1057" i="3"/>
  <c r="H1057" i="3"/>
  <c r="G1057" i="3"/>
  <c r="F1057" i="3"/>
  <c r="D1057" i="3" a="1"/>
  <c r="D1057" i="3"/>
  <c r="C1057" i="3" a="1"/>
  <c r="C1057" i="3" s="1"/>
  <c r="B1057" i="3" a="1"/>
  <c r="B1057" i="3" s="1"/>
  <c r="M1057" i="3" s="1" a="1"/>
  <c r="M1057" i="3" s="1"/>
  <c r="N1056" i="3" a="1"/>
  <c r="N1056" i="3" s="1"/>
  <c r="L1056" i="3"/>
  <c r="K1056" i="3"/>
  <c r="H1056" i="3"/>
  <c r="J1056" i="3" s="1"/>
  <c r="G1056" i="3"/>
  <c r="F1056" i="3"/>
  <c r="D1056" i="3" a="1"/>
  <c r="D1056" i="3"/>
  <c r="C1056" i="3" a="1"/>
  <c r="C1056" i="3"/>
  <c r="B1056" i="3" a="1"/>
  <c r="B1056" i="3"/>
  <c r="M1056" i="3" s="1" a="1"/>
  <c r="M1056" i="3" s="1"/>
  <c r="N1055" i="3" a="1"/>
  <c r="N1055" i="3"/>
  <c r="L1055" i="3"/>
  <c r="K1055" i="3"/>
  <c r="J1055" i="3"/>
  <c r="H1055" i="3"/>
  <c r="I1055" i="3" s="1"/>
  <c r="G1055" i="3"/>
  <c r="F1055" i="3"/>
  <c r="D1055" i="3" a="1"/>
  <c r="D1055" i="3" s="1"/>
  <c r="C1055" i="3" a="1"/>
  <c r="C1055" i="3"/>
  <c r="B1055" i="3" a="1"/>
  <c r="B1055" i="3" s="1"/>
  <c r="M1055" i="3" s="1" a="1"/>
  <c r="M1055" i="3" s="1"/>
  <c r="N1054" i="3" a="1"/>
  <c r="N1054" i="3" s="1"/>
  <c r="L1054" i="3"/>
  <c r="K1054" i="3"/>
  <c r="J1054" i="3"/>
  <c r="I1054" i="3"/>
  <c r="H1054" i="3"/>
  <c r="G1054" i="3"/>
  <c r="F1054" i="3"/>
  <c r="D1054" i="3" a="1"/>
  <c r="D1054" i="3" s="1"/>
  <c r="C1054" i="3" a="1"/>
  <c r="C1054" i="3"/>
  <c r="B1054" i="3" a="1"/>
  <c r="B1054" i="3"/>
  <c r="M1054" i="3" s="1" a="1"/>
  <c r="M1054" i="3" s="1"/>
  <c r="N1053" i="3" a="1"/>
  <c r="N1053" i="3"/>
  <c r="M1053" i="3" a="1"/>
  <c r="M1053" i="3"/>
  <c r="L1053" i="3"/>
  <c r="K1053" i="3"/>
  <c r="H1053" i="3"/>
  <c r="J1053" i="3" s="1"/>
  <c r="G1053" i="3"/>
  <c r="F1053" i="3"/>
  <c r="D1053" i="3" a="1"/>
  <c r="D1053" i="3"/>
  <c r="C1053" i="3" a="1"/>
  <c r="C1053" i="3" s="1"/>
  <c r="B1053" i="3" a="1"/>
  <c r="B1053" i="3"/>
  <c r="N1052" i="3" a="1"/>
  <c r="N1052" i="3"/>
  <c r="L1052" i="3"/>
  <c r="K1052" i="3"/>
  <c r="J1052" i="3"/>
  <c r="I1052" i="3"/>
  <c r="H1052" i="3"/>
  <c r="G1052" i="3"/>
  <c r="F1052" i="3"/>
  <c r="D1052" i="3" a="1"/>
  <c r="D1052" i="3"/>
  <c r="C1052" i="3" a="1"/>
  <c r="C1052" i="3" s="1"/>
  <c r="B1052" i="3" a="1"/>
  <c r="B1052" i="3" s="1"/>
  <c r="M1052" i="3" s="1" a="1"/>
  <c r="M1052" i="3" s="1"/>
  <c r="N1051" i="3" a="1"/>
  <c r="N1051" i="3"/>
  <c r="L1051" i="3"/>
  <c r="K1051" i="3"/>
  <c r="J1051" i="3"/>
  <c r="H1051" i="3"/>
  <c r="I1051" i="3" s="1"/>
  <c r="G1051" i="3"/>
  <c r="F1051" i="3"/>
  <c r="D1051" i="3" a="1"/>
  <c r="D1051" i="3" s="1"/>
  <c r="C1051" i="3" a="1"/>
  <c r="C1051" i="3"/>
  <c r="B1051" i="3" a="1"/>
  <c r="B1051" i="3" s="1"/>
  <c r="M1051" i="3" s="1" a="1"/>
  <c r="M1051" i="3" s="1"/>
  <c r="N1050" i="3" a="1"/>
  <c r="N1050" i="3"/>
  <c r="L1050" i="3"/>
  <c r="K1050" i="3"/>
  <c r="I1050" i="3"/>
  <c r="H1050" i="3"/>
  <c r="J1050" i="3" s="1"/>
  <c r="G1050" i="3"/>
  <c r="F1050" i="3"/>
  <c r="D1050" i="3" a="1"/>
  <c r="D1050" i="3" s="1"/>
  <c r="C1050" i="3" a="1"/>
  <c r="C1050" i="3"/>
  <c r="B1050" i="3" a="1"/>
  <c r="B1050" i="3" s="1"/>
  <c r="M1050" i="3" s="1" a="1"/>
  <c r="M1050" i="3" s="1"/>
  <c r="N1049" i="3" a="1"/>
  <c r="N1049" i="3" s="1"/>
  <c r="L1049" i="3"/>
  <c r="K1049" i="3"/>
  <c r="J1049" i="3"/>
  <c r="H1049" i="3"/>
  <c r="G1049" i="3"/>
  <c r="F1049" i="3"/>
  <c r="D1049" i="3" a="1"/>
  <c r="D1049" i="3" s="1"/>
  <c r="C1049" i="3" a="1"/>
  <c r="C1049" i="3" s="1"/>
  <c r="B1049" i="3" a="1"/>
  <c r="B1049" i="3"/>
  <c r="M1049" i="3" s="1" a="1"/>
  <c r="M1049" i="3" s="1"/>
  <c r="N1048" i="3" a="1"/>
  <c r="N1048" i="3" s="1"/>
  <c r="L1048" i="3"/>
  <c r="K1048" i="3"/>
  <c r="H1048" i="3"/>
  <c r="J1048" i="3" s="1"/>
  <c r="G1048" i="3"/>
  <c r="F1048" i="3"/>
  <c r="D1048" i="3" a="1"/>
  <c r="D1048" i="3"/>
  <c r="C1048" i="3" a="1"/>
  <c r="C1048" i="3"/>
  <c r="B1048" i="3" a="1"/>
  <c r="B1048" i="3" s="1"/>
  <c r="M1048" i="3" s="1" a="1"/>
  <c r="M1048" i="3" s="1"/>
  <c r="N1047" i="3" a="1"/>
  <c r="N1047" i="3"/>
  <c r="L1047" i="3"/>
  <c r="K1047" i="3"/>
  <c r="H1047" i="3"/>
  <c r="J1047" i="3" s="1"/>
  <c r="G1047" i="3"/>
  <c r="F1047" i="3"/>
  <c r="D1047" i="3" a="1"/>
  <c r="D1047" i="3" s="1"/>
  <c r="C1047" i="3" a="1"/>
  <c r="C1047" i="3" s="1"/>
  <c r="B1047" i="3" a="1"/>
  <c r="B1047" i="3" s="1"/>
  <c r="M1047" i="3" s="1" a="1"/>
  <c r="M1047" i="3" s="1"/>
  <c r="N1046" i="3" a="1"/>
  <c r="N1046" i="3"/>
  <c r="L1046" i="3"/>
  <c r="K1046" i="3"/>
  <c r="H1046" i="3"/>
  <c r="J1046" i="3" s="1"/>
  <c r="G1046" i="3"/>
  <c r="F1046" i="3"/>
  <c r="D1046" i="3" a="1"/>
  <c r="D1046" i="3"/>
  <c r="C1046" i="3" a="1"/>
  <c r="C1046" i="3"/>
  <c r="B1046" i="3" a="1"/>
  <c r="B1046" i="3"/>
  <c r="M1046" i="3" s="1" a="1"/>
  <c r="M1046" i="3" s="1"/>
  <c r="N1045" i="3" a="1"/>
  <c r="N1045" i="3" s="1"/>
  <c r="L1045" i="3"/>
  <c r="K1045" i="3"/>
  <c r="H1045" i="3"/>
  <c r="J1045" i="3" s="1"/>
  <c r="G1045" i="3"/>
  <c r="F1045" i="3"/>
  <c r="D1045" i="3" a="1"/>
  <c r="D1045" i="3" s="1"/>
  <c r="C1045" i="3" a="1"/>
  <c r="C1045" i="3"/>
  <c r="B1045" i="3" a="1"/>
  <c r="B1045" i="3" s="1"/>
  <c r="M1045" i="3" s="1" a="1"/>
  <c r="M1045" i="3" s="1"/>
  <c r="N1044" i="3" a="1"/>
  <c r="N1044" i="3"/>
  <c r="L1044" i="3"/>
  <c r="K1044" i="3"/>
  <c r="J1044" i="3"/>
  <c r="I1044" i="3"/>
  <c r="H1044" i="3"/>
  <c r="G1044" i="3"/>
  <c r="F1044" i="3"/>
  <c r="D1044" i="3" a="1"/>
  <c r="D1044" i="3"/>
  <c r="C1044" i="3" a="1"/>
  <c r="C1044" i="3" s="1"/>
  <c r="B1044" i="3" a="1"/>
  <c r="B1044" i="3" s="1"/>
  <c r="M1044" i="3" s="1" a="1"/>
  <c r="M1044" i="3" s="1"/>
  <c r="N1043" i="3" a="1"/>
  <c r="N1043" i="3" s="1"/>
  <c r="M1043" i="3" a="1"/>
  <c r="M1043" i="3" s="1"/>
  <c r="L1043" i="3"/>
  <c r="K1043" i="3"/>
  <c r="J1043" i="3"/>
  <c r="I1043" i="3"/>
  <c r="H1043" i="3"/>
  <c r="G1043" i="3"/>
  <c r="F1043" i="3"/>
  <c r="D1043" i="3" a="1"/>
  <c r="D1043" i="3"/>
  <c r="C1043" i="3" a="1"/>
  <c r="C1043" i="3" s="1"/>
  <c r="B1043" i="3" a="1"/>
  <c r="B1043" i="3"/>
  <c r="N1042" i="3" a="1"/>
  <c r="N1042" i="3" s="1"/>
  <c r="L1042" i="3"/>
  <c r="K1042" i="3"/>
  <c r="I1042" i="3"/>
  <c r="H1042" i="3"/>
  <c r="J1042" i="3" s="1"/>
  <c r="G1042" i="3"/>
  <c r="F1042" i="3"/>
  <c r="D1042" i="3" a="1"/>
  <c r="D1042" i="3"/>
  <c r="C1042" i="3" a="1"/>
  <c r="C1042" i="3"/>
  <c r="B1042" i="3" a="1"/>
  <c r="B1042" i="3" s="1"/>
  <c r="M1042" i="3" s="1" a="1"/>
  <c r="M1042" i="3" s="1"/>
  <c r="N1041" i="3" a="1"/>
  <c r="N1041" i="3" s="1"/>
  <c r="L1041" i="3"/>
  <c r="K1041" i="3"/>
  <c r="H1041" i="3"/>
  <c r="J1041" i="3" s="1"/>
  <c r="G1041" i="3"/>
  <c r="F1041" i="3"/>
  <c r="D1041" i="3" a="1"/>
  <c r="D1041" i="3" s="1"/>
  <c r="C1041" i="3" a="1"/>
  <c r="C1041" i="3"/>
  <c r="B1041" i="3" a="1"/>
  <c r="B1041" i="3"/>
  <c r="M1041" i="3" s="1" a="1"/>
  <c r="M1041" i="3" s="1"/>
  <c r="N1040" i="3" a="1"/>
  <c r="N1040" i="3" s="1"/>
  <c r="L1040" i="3"/>
  <c r="K1040" i="3"/>
  <c r="J1040" i="3"/>
  <c r="I1040" i="3"/>
  <c r="H1040" i="3"/>
  <c r="G1040" i="3"/>
  <c r="F1040" i="3"/>
  <c r="D1040" i="3" a="1"/>
  <c r="D1040" i="3" s="1"/>
  <c r="C1040" i="3" a="1"/>
  <c r="C1040" i="3"/>
  <c r="B1040" i="3" a="1"/>
  <c r="B1040" i="3"/>
  <c r="M1040" i="3" s="1" a="1"/>
  <c r="M1040" i="3" s="1"/>
  <c r="N1039" i="3" a="1"/>
  <c r="N1039" i="3" s="1"/>
  <c r="L1039" i="3"/>
  <c r="K1039" i="3"/>
  <c r="I1039" i="3"/>
  <c r="H1039" i="3"/>
  <c r="J1039" i="3" s="1"/>
  <c r="G1039" i="3"/>
  <c r="F1039" i="3"/>
  <c r="D1039" i="3" a="1"/>
  <c r="D1039" i="3" s="1"/>
  <c r="C1039" i="3" a="1"/>
  <c r="C1039" i="3" s="1"/>
  <c r="B1039" i="3" a="1"/>
  <c r="B1039" i="3"/>
  <c r="M1039" i="3" s="1" a="1"/>
  <c r="M1039" i="3" s="1"/>
  <c r="N1038" i="3" a="1"/>
  <c r="N1038" i="3"/>
  <c r="M1038" i="3" a="1"/>
  <c r="M1038" i="3" s="1"/>
  <c r="L1038" i="3"/>
  <c r="K1038" i="3"/>
  <c r="H1038" i="3"/>
  <c r="G1038" i="3"/>
  <c r="F1038" i="3"/>
  <c r="D1038" i="3" a="1"/>
  <c r="D1038" i="3"/>
  <c r="C1038" i="3" a="1"/>
  <c r="C1038" i="3" s="1"/>
  <c r="B1038" i="3" a="1"/>
  <c r="B1038" i="3"/>
  <c r="N1037" i="3" a="1"/>
  <c r="N1037" i="3"/>
  <c r="L1037" i="3"/>
  <c r="K1037" i="3"/>
  <c r="H1037" i="3"/>
  <c r="J1037" i="3" s="1"/>
  <c r="G1037" i="3"/>
  <c r="F1037" i="3"/>
  <c r="D1037" i="3" a="1"/>
  <c r="D1037" i="3" s="1"/>
  <c r="C1037" i="3" a="1"/>
  <c r="C1037" i="3"/>
  <c r="B1037" i="3" a="1"/>
  <c r="B1037" i="3" s="1"/>
  <c r="M1037" i="3" s="1" a="1"/>
  <c r="M1037" i="3" s="1"/>
  <c r="N1036" i="3" a="1"/>
  <c r="N1036" i="3"/>
  <c r="L1036" i="3"/>
  <c r="K1036" i="3"/>
  <c r="I1036" i="3"/>
  <c r="H1036" i="3"/>
  <c r="J1036" i="3" s="1"/>
  <c r="G1036" i="3"/>
  <c r="F1036" i="3"/>
  <c r="D1036" i="3" a="1"/>
  <c r="D1036" i="3" s="1"/>
  <c r="C1036" i="3" a="1"/>
  <c r="C1036" i="3"/>
  <c r="B1036" i="3" a="1"/>
  <c r="B1036" i="3" s="1"/>
  <c r="M1036" i="3" s="1" a="1"/>
  <c r="M1036" i="3" s="1"/>
  <c r="N1035" i="3" a="1"/>
  <c r="N1035" i="3" s="1"/>
  <c r="L1035" i="3"/>
  <c r="K1035" i="3"/>
  <c r="J1035" i="3"/>
  <c r="H1035" i="3"/>
  <c r="I1035" i="3" s="1"/>
  <c r="G1035" i="3"/>
  <c r="F1035" i="3"/>
  <c r="D1035" i="3" a="1"/>
  <c r="D1035" i="3"/>
  <c r="C1035" i="3" a="1"/>
  <c r="C1035" i="3" s="1"/>
  <c r="B1035" i="3" a="1"/>
  <c r="B1035" i="3"/>
  <c r="M1035" i="3" s="1" a="1"/>
  <c r="M1035" i="3" s="1"/>
  <c r="N1034" i="3" a="1"/>
  <c r="N1034" i="3" s="1"/>
  <c r="L1034" i="3"/>
  <c r="K1034" i="3"/>
  <c r="J1034" i="3"/>
  <c r="I1034" i="3"/>
  <c r="H1034" i="3"/>
  <c r="G1034" i="3"/>
  <c r="F1034" i="3"/>
  <c r="D1034" i="3" a="1"/>
  <c r="D1034" i="3" s="1"/>
  <c r="C1034" i="3" a="1"/>
  <c r="C1034" i="3" s="1"/>
  <c r="B1034" i="3" a="1"/>
  <c r="B1034" i="3"/>
  <c r="M1034" i="3" s="1" a="1"/>
  <c r="M1034" i="3" s="1"/>
  <c r="N1033" i="3" a="1"/>
  <c r="N1033" i="3" s="1"/>
  <c r="L1033" i="3"/>
  <c r="K1033" i="3"/>
  <c r="H1033" i="3"/>
  <c r="J1033" i="3" s="1"/>
  <c r="G1033" i="3"/>
  <c r="F1033" i="3"/>
  <c r="D1033" i="3" a="1"/>
  <c r="D1033" i="3" s="1"/>
  <c r="C1033" i="3" a="1"/>
  <c r="C1033" i="3" s="1"/>
  <c r="B1033" i="3" a="1"/>
  <c r="B1033" i="3" s="1"/>
  <c r="M1033" i="3" s="1" a="1"/>
  <c r="M1033" i="3" s="1"/>
  <c r="N1032" i="3" a="1"/>
  <c r="N1032" i="3"/>
  <c r="L1032" i="3"/>
  <c r="K1032" i="3"/>
  <c r="H1032" i="3"/>
  <c r="J1032" i="3" s="1"/>
  <c r="G1032" i="3"/>
  <c r="F1032" i="3"/>
  <c r="D1032" i="3" a="1"/>
  <c r="D1032" i="3"/>
  <c r="C1032" i="3" a="1"/>
  <c r="C1032" i="3"/>
  <c r="B1032" i="3" a="1"/>
  <c r="B1032" i="3"/>
  <c r="M1032" i="3" s="1" a="1"/>
  <c r="M1032" i="3" s="1"/>
  <c r="N1031" i="3" a="1"/>
  <c r="N1031" i="3" s="1"/>
  <c r="L1031" i="3"/>
  <c r="K1031" i="3"/>
  <c r="H1031" i="3"/>
  <c r="J1031" i="3" s="1"/>
  <c r="G1031" i="3"/>
  <c r="F1031" i="3"/>
  <c r="D1031" i="3" a="1"/>
  <c r="D1031" i="3" s="1"/>
  <c r="C1031" i="3" a="1"/>
  <c r="C1031" i="3" s="1"/>
  <c r="B1031" i="3" a="1"/>
  <c r="B1031" i="3" s="1"/>
  <c r="M1031" i="3" s="1" a="1"/>
  <c r="M1031" i="3" s="1"/>
  <c r="N1030" i="3" a="1"/>
  <c r="N1030" i="3" s="1"/>
  <c r="L1030" i="3"/>
  <c r="K1030" i="3"/>
  <c r="J1030" i="3"/>
  <c r="H1030" i="3"/>
  <c r="I1030" i="3" s="1"/>
  <c r="G1030" i="3"/>
  <c r="F1030" i="3"/>
  <c r="D1030" i="3" a="1"/>
  <c r="D1030" i="3"/>
  <c r="C1030" i="3" a="1"/>
  <c r="C1030" i="3"/>
  <c r="B1030" i="3" a="1"/>
  <c r="B1030" i="3"/>
  <c r="M1030" i="3" s="1" a="1"/>
  <c r="M1030" i="3" s="1"/>
  <c r="N1029" i="3" a="1"/>
  <c r="N1029" i="3"/>
  <c r="L1029" i="3"/>
  <c r="K1029" i="3"/>
  <c r="J1029" i="3"/>
  <c r="I1029" i="3"/>
  <c r="H1029" i="3"/>
  <c r="G1029" i="3"/>
  <c r="F1029" i="3"/>
  <c r="D1029" i="3" a="1"/>
  <c r="D1029" i="3"/>
  <c r="C1029" i="3" a="1"/>
  <c r="C1029" i="3" s="1"/>
  <c r="B1029" i="3" a="1"/>
  <c r="B1029" i="3" s="1"/>
  <c r="M1029" i="3" s="1" a="1"/>
  <c r="M1029" i="3" s="1"/>
  <c r="N1028" i="3" a="1"/>
  <c r="N1028" i="3" s="1"/>
  <c r="M1028" i="3" a="1"/>
  <c r="M1028" i="3" s="1"/>
  <c r="L1028" i="3"/>
  <c r="K1028" i="3"/>
  <c r="J1028" i="3"/>
  <c r="I1028" i="3"/>
  <c r="H1028" i="3"/>
  <c r="G1028" i="3"/>
  <c r="F1028" i="3"/>
  <c r="D1028" i="3" a="1"/>
  <c r="D1028" i="3"/>
  <c r="C1028" i="3" a="1"/>
  <c r="C1028" i="3"/>
  <c r="B1028" i="3" a="1"/>
  <c r="B1028" i="3"/>
  <c r="N1027" i="3" a="1"/>
  <c r="N1027" i="3"/>
  <c r="L1027" i="3"/>
  <c r="K1027" i="3"/>
  <c r="I1027" i="3"/>
  <c r="H1027" i="3"/>
  <c r="J1027" i="3" s="1"/>
  <c r="G1027" i="3"/>
  <c r="F1027" i="3"/>
  <c r="D1027" i="3" a="1"/>
  <c r="D1027" i="3"/>
  <c r="C1027" i="3" a="1"/>
  <c r="C1027" i="3"/>
  <c r="B1027" i="3" a="1"/>
  <c r="B1027" i="3" s="1"/>
  <c r="M1027" i="3" s="1" a="1"/>
  <c r="M1027" i="3" s="1"/>
  <c r="N1026" i="3" a="1"/>
  <c r="N1026" i="3" s="1"/>
  <c r="L1026" i="3"/>
  <c r="K1026" i="3"/>
  <c r="H1026" i="3"/>
  <c r="J1026" i="3" s="1"/>
  <c r="G1026" i="3"/>
  <c r="F1026" i="3"/>
  <c r="D1026" i="3" a="1"/>
  <c r="D1026" i="3" s="1"/>
  <c r="C1026" i="3" a="1"/>
  <c r="C1026" i="3"/>
  <c r="B1026" i="3" a="1"/>
  <c r="B1026" i="3"/>
  <c r="M1026" i="3" s="1" a="1"/>
  <c r="M1026" i="3" s="1"/>
  <c r="N1025" i="3" a="1"/>
  <c r="N1025" i="3" s="1"/>
  <c r="M1025" i="3" a="1"/>
  <c r="M1025" i="3" s="1"/>
  <c r="L1025" i="3"/>
  <c r="K1025" i="3"/>
  <c r="J1025" i="3"/>
  <c r="I1025" i="3"/>
  <c r="H1025" i="3"/>
  <c r="G1025" i="3"/>
  <c r="F1025" i="3"/>
  <c r="D1025" i="3" a="1"/>
  <c r="D1025" i="3" s="1"/>
  <c r="C1025" i="3" a="1"/>
  <c r="C1025" i="3"/>
  <c r="B1025" i="3" a="1"/>
  <c r="B1025" i="3"/>
  <c r="N1024" i="3" a="1"/>
  <c r="N1024" i="3"/>
  <c r="L1024" i="3"/>
  <c r="K1024" i="3"/>
  <c r="I1024" i="3"/>
  <c r="H1024" i="3"/>
  <c r="J1024" i="3" s="1"/>
  <c r="G1024" i="3"/>
  <c r="F1024" i="3"/>
  <c r="D1024" i="3" a="1"/>
  <c r="D1024" i="3" s="1"/>
  <c r="C1024" i="3" a="1"/>
  <c r="C1024" i="3" s="1"/>
  <c r="B1024" i="3" a="1"/>
  <c r="B1024" i="3"/>
  <c r="M1024" i="3" s="1" a="1"/>
  <c r="M1024" i="3" s="1"/>
  <c r="N1023" i="3" a="1"/>
  <c r="N1023" i="3"/>
  <c r="M1023" i="3" a="1"/>
  <c r="M1023" i="3" s="1"/>
  <c r="L1023" i="3"/>
  <c r="K1023" i="3"/>
  <c r="H1023" i="3"/>
  <c r="G1023" i="3"/>
  <c r="F1023" i="3"/>
  <c r="D1023" i="3" a="1"/>
  <c r="D1023" i="3"/>
  <c r="C1023" i="3" a="1"/>
  <c r="C1023" i="3" s="1"/>
  <c r="B1023" i="3" a="1"/>
  <c r="B1023" i="3"/>
  <c r="N1022" i="3" a="1"/>
  <c r="N1022" i="3"/>
  <c r="L1022" i="3"/>
  <c r="K1022" i="3"/>
  <c r="H1022" i="3"/>
  <c r="J1022" i="3" s="1"/>
  <c r="G1022" i="3"/>
  <c r="F1022" i="3"/>
  <c r="D1022" i="3" a="1"/>
  <c r="D1022" i="3" s="1"/>
  <c r="C1022" i="3" a="1"/>
  <c r="C1022" i="3"/>
  <c r="B1022" i="3" a="1"/>
  <c r="B1022" i="3" s="1"/>
  <c r="M1022" i="3" s="1" a="1"/>
  <c r="M1022" i="3" s="1"/>
  <c r="N1021" i="3" a="1"/>
  <c r="N1021" i="3"/>
  <c r="L1021" i="3"/>
  <c r="K1021" i="3"/>
  <c r="J1021" i="3"/>
  <c r="I1021" i="3"/>
  <c r="H1021" i="3"/>
  <c r="G1021" i="3"/>
  <c r="F1021" i="3"/>
  <c r="D1021" i="3" a="1"/>
  <c r="D1021" i="3" s="1"/>
  <c r="C1021" i="3" a="1"/>
  <c r="C1021" i="3"/>
  <c r="B1021" i="3" a="1"/>
  <c r="B1021" i="3"/>
  <c r="M1021" i="3" s="1" a="1"/>
  <c r="M1021" i="3" s="1"/>
  <c r="N1020" i="3" a="1"/>
  <c r="N1020" i="3" s="1"/>
  <c r="L1020" i="3"/>
  <c r="K1020" i="3"/>
  <c r="J1020" i="3"/>
  <c r="H1020" i="3"/>
  <c r="I1020" i="3" s="1"/>
  <c r="G1020" i="3"/>
  <c r="F1020" i="3"/>
  <c r="D1020" i="3" a="1"/>
  <c r="D1020" i="3"/>
  <c r="C1020" i="3" a="1"/>
  <c r="C1020" i="3" s="1"/>
  <c r="B1020" i="3" a="1"/>
  <c r="B1020" i="3"/>
  <c r="M1020" i="3" s="1" a="1"/>
  <c r="M1020" i="3" s="1"/>
  <c r="N1019" i="3" a="1"/>
  <c r="N1019" i="3" s="1"/>
  <c r="L1019" i="3"/>
  <c r="K1019" i="3"/>
  <c r="J1019" i="3"/>
  <c r="I1019" i="3"/>
  <c r="H1019" i="3"/>
  <c r="G1019" i="3"/>
  <c r="F1019" i="3"/>
  <c r="D1019" i="3" a="1"/>
  <c r="D1019" i="3" s="1"/>
  <c r="C1019" i="3" a="1"/>
  <c r="C1019" i="3" s="1"/>
  <c r="B1019" i="3" a="1"/>
  <c r="B1019" i="3"/>
  <c r="M1019" i="3" s="1" a="1"/>
  <c r="M1019" i="3" s="1"/>
  <c r="N1018" i="3" a="1"/>
  <c r="N1018" i="3"/>
  <c r="L1018" i="3"/>
  <c r="K1018" i="3"/>
  <c r="H1018" i="3"/>
  <c r="J1018" i="3" s="1"/>
  <c r="G1018" i="3"/>
  <c r="F1018" i="3"/>
  <c r="D1018" i="3" a="1"/>
  <c r="D1018" i="3" s="1"/>
  <c r="C1018" i="3" a="1"/>
  <c r="C1018" i="3" s="1"/>
  <c r="B1018" i="3" a="1"/>
  <c r="B1018" i="3" s="1"/>
  <c r="M1018" i="3" s="1" a="1"/>
  <c r="M1018" i="3" s="1"/>
  <c r="N1017" i="3" a="1"/>
  <c r="N1017" i="3"/>
  <c r="L1017" i="3"/>
  <c r="K1017" i="3"/>
  <c r="H1017" i="3"/>
  <c r="J1017" i="3" s="1"/>
  <c r="G1017" i="3"/>
  <c r="F1017" i="3"/>
  <c r="D1017" i="3" a="1"/>
  <c r="D1017" i="3"/>
  <c r="C1017" i="3" a="1"/>
  <c r="C1017" i="3"/>
  <c r="B1017" i="3" a="1"/>
  <c r="B1017" i="3"/>
  <c r="M1017" i="3" s="1" a="1"/>
  <c r="M1017" i="3" s="1"/>
  <c r="N1016" i="3" a="1"/>
  <c r="N1016" i="3" s="1"/>
  <c r="L1016" i="3"/>
  <c r="K1016" i="3"/>
  <c r="H1016" i="3"/>
  <c r="J1016" i="3" s="1"/>
  <c r="G1016" i="3"/>
  <c r="F1016" i="3"/>
  <c r="D1016" i="3" a="1"/>
  <c r="D1016" i="3" s="1"/>
  <c r="C1016" i="3" a="1"/>
  <c r="C1016" i="3" s="1"/>
  <c r="B1016" i="3" a="1"/>
  <c r="B1016" i="3" s="1"/>
  <c r="M1016" i="3" s="1" a="1"/>
  <c r="M1016" i="3" s="1"/>
  <c r="N1015" i="3" a="1"/>
  <c r="N1015" i="3" s="1"/>
  <c r="L1015" i="3"/>
  <c r="K1015" i="3"/>
  <c r="J1015" i="3"/>
  <c r="H1015" i="3"/>
  <c r="I1015" i="3" s="1"/>
  <c r="G1015" i="3"/>
  <c r="F1015" i="3"/>
  <c r="D1015" i="3" a="1"/>
  <c r="D1015" i="3"/>
  <c r="C1015" i="3" a="1"/>
  <c r="C1015" i="3"/>
  <c r="B1015" i="3" a="1"/>
  <c r="B1015" i="3"/>
  <c r="M1015" i="3" s="1" a="1"/>
  <c r="M1015" i="3" s="1"/>
  <c r="N1014" i="3" a="1"/>
  <c r="N1014" i="3"/>
  <c r="M1014" i="3" a="1"/>
  <c r="M1014" i="3" s="1"/>
  <c r="L1014" i="3"/>
  <c r="K1014" i="3"/>
  <c r="J1014" i="3"/>
  <c r="H1014" i="3"/>
  <c r="G1014" i="3"/>
  <c r="F1014" i="3"/>
  <c r="D1014" i="3" a="1"/>
  <c r="D1014" i="3"/>
  <c r="C1014" i="3" a="1"/>
  <c r="C1014" i="3"/>
  <c r="B1014" i="3" a="1"/>
  <c r="B1014" i="3"/>
  <c r="N1013" i="3" a="1"/>
  <c r="N1013" i="3"/>
  <c r="L1013" i="3"/>
  <c r="K1013" i="3"/>
  <c r="H1013" i="3"/>
  <c r="J1013" i="3" s="1"/>
  <c r="G1013" i="3"/>
  <c r="F1013" i="3"/>
  <c r="D1013" i="3" a="1"/>
  <c r="D1013" i="3"/>
  <c r="C1013" i="3" a="1"/>
  <c r="C1013" i="3"/>
  <c r="B1013" i="3" a="1"/>
  <c r="B1013" i="3" s="1"/>
  <c r="M1013" i="3" s="1" a="1"/>
  <c r="M1013" i="3" s="1"/>
  <c r="N1012" i="3" a="1"/>
  <c r="N1012" i="3" s="1"/>
  <c r="L1012" i="3"/>
  <c r="K1012" i="3"/>
  <c r="H1012" i="3"/>
  <c r="J1012" i="3" s="1"/>
  <c r="G1012" i="3"/>
  <c r="F1012" i="3"/>
  <c r="D1012" i="3" a="1"/>
  <c r="D1012" i="3"/>
  <c r="C1012" i="3" a="1"/>
  <c r="C1012" i="3"/>
  <c r="B1012" i="3" a="1"/>
  <c r="B1012" i="3"/>
  <c r="M1012" i="3" s="1" a="1"/>
  <c r="M1012" i="3" s="1"/>
  <c r="N1011" i="3" a="1"/>
  <c r="N1011" i="3"/>
  <c r="L1011" i="3"/>
  <c r="K1011" i="3"/>
  <c r="J1011" i="3"/>
  <c r="H1011" i="3"/>
  <c r="I1011" i="3" s="1"/>
  <c r="G1011" i="3"/>
  <c r="F1011" i="3"/>
  <c r="D1011" i="3" a="1"/>
  <c r="D1011" i="3" s="1"/>
  <c r="C1011" i="3" a="1"/>
  <c r="C1011" i="3"/>
  <c r="B1011" i="3" a="1"/>
  <c r="B1011" i="3"/>
  <c r="M1011" i="3" s="1" a="1"/>
  <c r="M1011" i="3" s="1"/>
  <c r="N1010" i="3" a="1"/>
  <c r="N1010" i="3" s="1"/>
  <c r="M1010" i="3" a="1"/>
  <c r="M1010" i="3" s="1"/>
  <c r="L1010" i="3"/>
  <c r="K1010" i="3"/>
  <c r="J1010" i="3"/>
  <c r="H1010" i="3"/>
  <c r="G1010" i="3"/>
  <c r="F1010" i="3"/>
  <c r="D1010" i="3" a="1"/>
  <c r="D1010" i="3" s="1"/>
  <c r="C1010" i="3" a="1"/>
  <c r="C1010" i="3" s="1"/>
  <c r="B1010" i="3" a="1"/>
  <c r="B1010" i="3"/>
  <c r="N1009" i="3" a="1"/>
  <c r="N1009" i="3"/>
  <c r="M1009" i="3" a="1"/>
  <c r="M1009" i="3" s="1"/>
  <c r="L1009" i="3"/>
  <c r="K1009" i="3"/>
  <c r="H1009" i="3"/>
  <c r="G1009" i="3"/>
  <c r="F1009" i="3"/>
  <c r="D1009" i="3" a="1"/>
  <c r="D1009" i="3"/>
  <c r="C1009" i="3" a="1"/>
  <c r="C1009" i="3" s="1"/>
  <c r="B1009" i="3" a="1"/>
  <c r="B1009" i="3"/>
  <c r="N1008" i="3" a="1"/>
  <c r="N1008" i="3"/>
  <c r="M1008" i="3" a="1"/>
  <c r="M1008" i="3"/>
  <c r="L1008" i="3"/>
  <c r="K1008" i="3"/>
  <c r="J1008" i="3"/>
  <c r="I1008" i="3"/>
  <c r="H1008" i="3"/>
  <c r="G1008" i="3"/>
  <c r="F1008" i="3"/>
  <c r="D1008" i="3" a="1"/>
  <c r="D1008" i="3"/>
  <c r="C1008" i="3" a="1"/>
  <c r="C1008" i="3" s="1"/>
  <c r="B1008" i="3" a="1"/>
  <c r="B1008" i="3" s="1"/>
  <c r="N1007" i="3" a="1"/>
  <c r="N1007" i="3"/>
  <c r="L1007" i="3"/>
  <c r="K1007" i="3"/>
  <c r="J1007" i="3"/>
  <c r="H1007" i="3"/>
  <c r="I1007" i="3" s="1"/>
  <c r="G1007" i="3"/>
  <c r="F1007" i="3"/>
  <c r="D1007" i="3" a="1"/>
  <c r="D1007" i="3" s="1"/>
  <c r="C1007" i="3" a="1"/>
  <c r="C1007" i="3"/>
  <c r="B1007" i="3" a="1"/>
  <c r="B1007" i="3" s="1"/>
  <c r="M1007" i="3" s="1" a="1"/>
  <c r="M1007" i="3" s="1"/>
  <c r="N1006" i="3" a="1"/>
  <c r="N1006" i="3"/>
  <c r="L1006" i="3"/>
  <c r="K1006" i="3"/>
  <c r="H1006" i="3"/>
  <c r="J1006" i="3" s="1"/>
  <c r="G1006" i="3"/>
  <c r="F1006" i="3"/>
  <c r="D1006" i="3" a="1"/>
  <c r="D1006" i="3"/>
  <c r="C1006" i="3" a="1"/>
  <c r="C1006" i="3" s="1"/>
  <c r="B1006" i="3" a="1"/>
  <c r="B1006" i="3"/>
  <c r="M1006" i="3" s="1" a="1"/>
  <c r="M1006" i="3" s="1"/>
  <c r="N1005" i="3" a="1"/>
  <c r="N1005" i="3" s="1"/>
  <c r="L1005" i="3"/>
  <c r="K1005" i="3"/>
  <c r="J1005" i="3"/>
  <c r="I1005" i="3"/>
  <c r="H1005" i="3"/>
  <c r="G1005" i="3"/>
  <c r="F1005" i="3"/>
  <c r="D1005" i="3" a="1"/>
  <c r="D1005" i="3" s="1"/>
  <c r="C1005" i="3" a="1"/>
  <c r="C1005" i="3" s="1"/>
  <c r="B1005" i="3" a="1"/>
  <c r="B1005" i="3"/>
  <c r="M1005" i="3" s="1" a="1"/>
  <c r="M1005" i="3" s="1"/>
  <c r="N1004" i="3" a="1"/>
  <c r="N1004" i="3"/>
  <c r="L1004" i="3"/>
  <c r="K1004" i="3"/>
  <c r="I1004" i="3"/>
  <c r="H1004" i="3"/>
  <c r="J1004" i="3" s="1"/>
  <c r="G1004" i="3"/>
  <c r="F1004" i="3"/>
  <c r="D1004" i="3" a="1"/>
  <c r="D1004" i="3"/>
  <c r="C1004" i="3" a="1"/>
  <c r="C1004" i="3"/>
  <c r="B1004" i="3" a="1"/>
  <c r="B1004" i="3" s="1"/>
  <c r="M1004" i="3" s="1" a="1"/>
  <c r="M1004" i="3" s="1"/>
  <c r="N1003" i="3" a="1"/>
  <c r="N1003" i="3"/>
  <c r="L1003" i="3"/>
  <c r="K1003" i="3"/>
  <c r="H1003" i="3"/>
  <c r="G1003" i="3"/>
  <c r="F1003" i="3"/>
  <c r="D1003" i="3" a="1"/>
  <c r="D1003" i="3" s="1"/>
  <c r="C1003" i="3" a="1"/>
  <c r="C1003" i="3" s="1"/>
  <c r="B1003" i="3" a="1"/>
  <c r="B1003" i="3" s="1"/>
  <c r="M1003" i="3" s="1" a="1"/>
  <c r="M1003" i="3" s="1"/>
  <c r="N1002" i="3" a="1"/>
  <c r="N1002" i="3"/>
  <c r="M1002" i="3"/>
  <c r="L1002" i="3"/>
  <c r="K1002" i="3"/>
  <c r="H1002" i="3"/>
  <c r="J1002" i="3" s="1"/>
  <c r="G1002" i="3"/>
  <c r="F1002" i="3"/>
  <c r="D1002" i="3" a="1"/>
  <c r="D1002" i="3" s="1"/>
  <c r="C1002" i="3" a="1"/>
  <c r="C1002" i="3" s="1"/>
  <c r="B1002" i="3" a="1"/>
  <c r="B1002" i="3" s="1"/>
  <c r="M1002" i="3" s="1" a="1"/>
  <c r="N1001" i="3" a="1"/>
  <c r="N1001" i="3"/>
  <c r="L1001" i="3"/>
  <c r="K1001" i="3"/>
  <c r="J1001" i="3"/>
  <c r="H1001" i="3"/>
  <c r="I1001" i="3" s="1"/>
  <c r="G1001" i="3"/>
  <c r="F1001" i="3"/>
  <c r="D1001" i="3" a="1"/>
  <c r="D1001" i="3" s="1"/>
  <c r="C1001" i="3" a="1"/>
  <c r="C1001" i="3"/>
  <c r="B1001" i="3" a="1"/>
  <c r="B1001" i="3"/>
  <c r="M1001" i="3" s="1" a="1"/>
  <c r="M1001" i="3" s="1"/>
  <c r="N1000" i="3" a="1"/>
  <c r="N1000" i="3"/>
  <c r="L1000" i="3"/>
  <c r="K1000" i="3"/>
  <c r="J1000" i="3"/>
  <c r="I1000" i="3"/>
  <c r="H1000" i="3"/>
  <c r="G1000" i="3"/>
  <c r="F1000" i="3"/>
  <c r="D1000" i="3" a="1"/>
  <c r="D1000" i="3"/>
  <c r="C1000" i="3" a="1"/>
  <c r="C1000" i="3" s="1"/>
  <c r="B1000" i="3" a="1"/>
  <c r="B1000" i="3" s="1"/>
  <c r="M1000" i="3" s="1" a="1"/>
  <c r="M1000" i="3" s="1"/>
  <c r="N999" i="3" a="1"/>
  <c r="N999" i="3" s="1"/>
  <c r="M999" i="3" a="1"/>
  <c r="M999" i="3" s="1"/>
  <c r="L999" i="3"/>
  <c r="K999" i="3"/>
  <c r="J999" i="3"/>
  <c r="I999" i="3"/>
  <c r="H999" i="3"/>
  <c r="G999" i="3"/>
  <c r="F999" i="3"/>
  <c r="D999" i="3" a="1"/>
  <c r="D999" i="3"/>
  <c r="C999" i="3" a="1"/>
  <c r="C999" i="3"/>
  <c r="B999" i="3" a="1"/>
  <c r="B999" i="3"/>
  <c r="N998" i="3" a="1"/>
  <c r="N998" i="3"/>
  <c r="L998" i="3"/>
  <c r="K998" i="3"/>
  <c r="H998" i="3"/>
  <c r="J998" i="3" s="1"/>
  <c r="G998" i="3"/>
  <c r="F998" i="3"/>
  <c r="D998" i="3" a="1"/>
  <c r="D998" i="3"/>
  <c r="C998" i="3" a="1"/>
  <c r="C998" i="3"/>
  <c r="B998" i="3" a="1"/>
  <c r="B998" i="3" s="1"/>
  <c r="M998" i="3" s="1" a="1"/>
  <c r="M998" i="3" s="1"/>
  <c r="N997" i="3" a="1"/>
  <c r="N997" i="3"/>
  <c r="L997" i="3"/>
  <c r="K997" i="3"/>
  <c r="J997" i="3"/>
  <c r="H997" i="3"/>
  <c r="I997" i="3" s="1"/>
  <c r="G997" i="3"/>
  <c r="F997" i="3"/>
  <c r="D997" i="3" a="1"/>
  <c r="D997" i="3" s="1"/>
  <c r="C997" i="3" a="1"/>
  <c r="C997" i="3"/>
  <c r="B997" i="3" a="1"/>
  <c r="B997" i="3"/>
  <c r="M997" i="3" s="1" a="1"/>
  <c r="M997" i="3" s="1"/>
  <c r="N996" i="3" a="1"/>
  <c r="N996" i="3" s="1"/>
  <c r="M996" i="3" a="1"/>
  <c r="M996" i="3" s="1"/>
  <c r="L996" i="3"/>
  <c r="K996" i="3"/>
  <c r="J996" i="3"/>
  <c r="I996" i="3"/>
  <c r="H996" i="3"/>
  <c r="G996" i="3"/>
  <c r="F996" i="3"/>
  <c r="D996" i="3" a="1"/>
  <c r="D996" i="3" s="1"/>
  <c r="C996" i="3" a="1"/>
  <c r="C996" i="3"/>
  <c r="B996" i="3" a="1"/>
  <c r="B996" i="3"/>
  <c r="N995" i="3" a="1"/>
  <c r="N995" i="3"/>
  <c r="M995" i="3" a="1"/>
  <c r="M995" i="3"/>
  <c r="L995" i="3"/>
  <c r="K995" i="3"/>
  <c r="H995" i="3"/>
  <c r="J995" i="3" s="1"/>
  <c r="G995" i="3"/>
  <c r="F995" i="3"/>
  <c r="D995" i="3" a="1"/>
  <c r="D995" i="3" s="1"/>
  <c r="C995" i="3" a="1"/>
  <c r="C995" i="3" s="1"/>
  <c r="B995" i="3" a="1"/>
  <c r="B995" i="3"/>
  <c r="N994" i="3" a="1"/>
  <c r="N994" i="3"/>
  <c r="L994" i="3"/>
  <c r="K994" i="3"/>
  <c r="J994" i="3"/>
  <c r="H994" i="3"/>
  <c r="G994" i="3"/>
  <c r="F994" i="3"/>
  <c r="D994" i="3" a="1"/>
  <c r="D994" i="3"/>
  <c r="C994" i="3" a="1"/>
  <c r="C994" i="3"/>
  <c r="B994" i="3" a="1"/>
  <c r="B994" i="3" s="1"/>
  <c r="M994" i="3" s="1" a="1"/>
  <c r="M994" i="3" s="1"/>
  <c r="N993" i="3" a="1"/>
  <c r="N993" i="3"/>
  <c r="M993" i="3"/>
  <c r="L993" i="3"/>
  <c r="K993" i="3"/>
  <c r="H993" i="3"/>
  <c r="J993" i="3" s="1"/>
  <c r="G993" i="3"/>
  <c r="F993" i="3"/>
  <c r="D993" i="3" a="1"/>
  <c r="D993" i="3" s="1"/>
  <c r="C993" i="3" a="1"/>
  <c r="C993" i="3"/>
  <c r="B993" i="3" a="1"/>
  <c r="B993" i="3" s="1"/>
  <c r="M993" i="3" s="1" a="1"/>
  <c r="N992" i="3" a="1"/>
  <c r="N992" i="3"/>
  <c r="L992" i="3"/>
  <c r="K992" i="3"/>
  <c r="J992" i="3"/>
  <c r="I992" i="3"/>
  <c r="H992" i="3"/>
  <c r="G992" i="3"/>
  <c r="F992" i="3"/>
  <c r="D992" i="3" a="1"/>
  <c r="D992" i="3"/>
  <c r="C992" i="3" a="1"/>
  <c r="C992" i="3"/>
  <c r="B992" i="3" a="1"/>
  <c r="B992" i="3" s="1"/>
  <c r="M992" i="3" s="1" a="1"/>
  <c r="M992" i="3" s="1"/>
  <c r="N991" i="3" a="1"/>
  <c r="N991" i="3" s="1"/>
  <c r="L991" i="3"/>
  <c r="K991" i="3"/>
  <c r="J991" i="3"/>
  <c r="H991" i="3"/>
  <c r="I991" i="3" s="1"/>
  <c r="G991" i="3"/>
  <c r="F991" i="3"/>
  <c r="D991" i="3" a="1"/>
  <c r="D991" i="3"/>
  <c r="C991" i="3" a="1"/>
  <c r="C991" i="3" s="1"/>
  <c r="B991" i="3" a="1"/>
  <c r="B991" i="3"/>
  <c r="M991" i="3" s="1" a="1"/>
  <c r="M991" i="3" s="1"/>
  <c r="N990" i="3" a="1"/>
  <c r="N990" i="3" s="1"/>
  <c r="L990" i="3"/>
  <c r="K990" i="3"/>
  <c r="J990" i="3"/>
  <c r="I990" i="3"/>
  <c r="H990" i="3"/>
  <c r="G990" i="3"/>
  <c r="F990" i="3"/>
  <c r="D990" i="3" a="1"/>
  <c r="D990" i="3" s="1"/>
  <c r="C990" i="3" a="1"/>
  <c r="C990" i="3"/>
  <c r="B990" i="3" a="1"/>
  <c r="B990" i="3"/>
  <c r="M990" i="3" s="1" a="1"/>
  <c r="M990" i="3" s="1"/>
  <c r="N989" i="3" a="1"/>
  <c r="N989" i="3" s="1"/>
  <c r="L989" i="3"/>
  <c r="K989" i="3"/>
  <c r="J989" i="3"/>
  <c r="H989" i="3"/>
  <c r="I989" i="3" s="1"/>
  <c r="G989" i="3"/>
  <c r="F989" i="3"/>
  <c r="D989" i="3" a="1"/>
  <c r="D989" i="3"/>
  <c r="C989" i="3" a="1"/>
  <c r="C989" i="3"/>
  <c r="B989" i="3" a="1"/>
  <c r="B989" i="3" s="1"/>
  <c r="M989" i="3" s="1" a="1"/>
  <c r="M989" i="3" s="1"/>
  <c r="N988" i="3" a="1"/>
  <c r="N988" i="3"/>
  <c r="L988" i="3"/>
  <c r="K988" i="3"/>
  <c r="H988" i="3"/>
  <c r="J988" i="3" s="1"/>
  <c r="G988" i="3"/>
  <c r="F988" i="3"/>
  <c r="D988" i="3" a="1"/>
  <c r="D988" i="3" s="1"/>
  <c r="C988" i="3" a="1"/>
  <c r="C988" i="3" s="1"/>
  <c r="B988" i="3" a="1"/>
  <c r="B988" i="3" s="1"/>
  <c r="M988" i="3" s="1" a="1"/>
  <c r="M988" i="3" s="1"/>
  <c r="N987" i="3" a="1"/>
  <c r="N987" i="3"/>
  <c r="M987" i="3" a="1"/>
  <c r="M987" i="3" s="1"/>
  <c r="L987" i="3"/>
  <c r="K987" i="3"/>
  <c r="H987" i="3"/>
  <c r="J987" i="3" s="1"/>
  <c r="G987" i="3"/>
  <c r="F987" i="3"/>
  <c r="D987" i="3" a="1"/>
  <c r="D987" i="3" s="1"/>
  <c r="C987" i="3" a="1"/>
  <c r="C987" i="3" s="1"/>
  <c r="B987" i="3" a="1"/>
  <c r="B987" i="3" s="1"/>
  <c r="N986" i="3" a="1"/>
  <c r="N986" i="3" s="1"/>
  <c r="L986" i="3"/>
  <c r="K986" i="3"/>
  <c r="J986" i="3"/>
  <c r="H986" i="3"/>
  <c r="I986" i="3" s="1"/>
  <c r="G986" i="3"/>
  <c r="F986" i="3"/>
  <c r="D986" i="3" a="1"/>
  <c r="D986" i="3" s="1"/>
  <c r="C986" i="3" a="1"/>
  <c r="C986" i="3"/>
  <c r="B986" i="3" a="1"/>
  <c r="B986" i="3"/>
  <c r="M986" i="3" s="1" a="1"/>
  <c r="M986" i="3" s="1"/>
  <c r="N985" i="3" a="1"/>
  <c r="N985" i="3"/>
  <c r="L985" i="3"/>
  <c r="K985" i="3"/>
  <c r="J985" i="3"/>
  <c r="I985" i="3"/>
  <c r="H985" i="3"/>
  <c r="G985" i="3"/>
  <c r="F985" i="3"/>
  <c r="D985" i="3" a="1"/>
  <c r="D985" i="3" s="1"/>
  <c r="C985" i="3" a="1"/>
  <c r="C985" i="3" s="1"/>
  <c r="B985" i="3" a="1"/>
  <c r="B985" i="3" s="1"/>
  <c r="M985" i="3" s="1" a="1"/>
  <c r="M985" i="3" s="1"/>
  <c r="N984" i="3" a="1"/>
  <c r="N984" i="3" s="1"/>
  <c r="L984" i="3"/>
  <c r="K984" i="3"/>
  <c r="J984" i="3"/>
  <c r="I984" i="3"/>
  <c r="H984" i="3"/>
  <c r="G984" i="3"/>
  <c r="F984" i="3"/>
  <c r="D984" i="3" a="1"/>
  <c r="D984" i="3"/>
  <c r="C984" i="3" a="1"/>
  <c r="C984" i="3"/>
  <c r="B984" i="3" a="1"/>
  <c r="B984" i="3"/>
  <c r="M984" i="3" s="1" a="1"/>
  <c r="M984" i="3" s="1"/>
  <c r="N983" i="3" a="1"/>
  <c r="N983" i="3"/>
  <c r="L983" i="3"/>
  <c r="K983" i="3"/>
  <c r="H983" i="3"/>
  <c r="J983" i="3" s="1"/>
  <c r="G983" i="3"/>
  <c r="F983" i="3"/>
  <c r="D983" i="3" a="1"/>
  <c r="D983" i="3"/>
  <c r="C983" i="3" a="1"/>
  <c r="C983" i="3"/>
  <c r="B983" i="3" a="1"/>
  <c r="B983" i="3" s="1"/>
  <c r="M983" i="3" s="1" a="1"/>
  <c r="M983" i="3" s="1"/>
  <c r="N982" i="3" a="1"/>
  <c r="N982" i="3"/>
  <c r="L982" i="3"/>
  <c r="K982" i="3"/>
  <c r="J982" i="3"/>
  <c r="H982" i="3"/>
  <c r="I982" i="3" s="1"/>
  <c r="G982" i="3"/>
  <c r="F982" i="3"/>
  <c r="D982" i="3" a="1"/>
  <c r="D982" i="3" s="1"/>
  <c r="C982" i="3" a="1"/>
  <c r="C982" i="3"/>
  <c r="B982" i="3" a="1"/>
  <c r="B982" i="3"/>
  <c r="M982" i="3" s="1" a="1"/>
  <c r="M982" i="3" s="1"/>
  <c r="N981" i="3" a="1"/>
  <c r="N981" i="3" s="1"/>
  <c r="L981" i="3"/>
  <c r="K981" i="3"/>
  <c r="J981" i="3"/>
  <c r="I981" i="3"/>
  <c r="H981" i="3"/>
  <c r="G981" i="3"/>
  <c r="F981" i="3"/>
  <c r="D981" i="3" a="1"/>
  <c r="D981" i="3" s="1"/>
  <c r="C981" i="3" a="1"/>
  <c r="C981" i="3"/>
  <c r="B981" i="3" a="1"/>
  <c r="B981" i="3"/>
  <c r="M981" i="3" s="1" a="1"/>
  <c r="M981" i="3" s="1"/>
  <c r="N980" i="3" a="1"/>
  <c r="N980" i="3"/>
  <c r="M980" i="3" a="1"/>
  <c r="M980" i="3" s="1"/>
  <c r="L980" i="3"/>
  <c r="K980" i="3"/>
  <c r="I980" i="3"/>
  <c r="H980" i="3"/>
  <c r="J980" i="3" s="1"/>
  <c r="G980" i="3"/>
  <c r="F980" i="3"/>
  <c r="D980" i="3" a="1"/>
  <c r="D980" i="3" s="1"/>
  <c r="C980" i="3" a="1"/>
  <c r="C980" i="3" s="1"/>
  <c r="B980" i="3" a="1"/>
  <c r="B980" i="3"/>
  <c r="N979" i="3" a="1"/>
  <c r="N979" i="3"/>
  <c r="M979" i="3" a="1"/>
  <c r="M979" i="3" s="1"/>
  <c r="L979" i="3"/>
  <c r="K979" i="3"/>
  <c r="J979" i="3"/>
  <c r="H979" i="3"/>
  <c r="G979" i="3"/>
  <c r="F979" i="3"/>
  <c r="D979" i="3" a="1"/>
  <c r="D979" i="3" s="1"/>
  <c r="C979" i="3" a="1"/>
  <c r="C979" i="3" s="1"/>
  <c r="B979" i="3" a="1"/>
  <c r="B979" i="3" s="1"/>
  <c r="N978" i="3" a="1"/>
  <c r="N978" i="3"/>
  <c r="L978" i="3"/>
  <c r="K978" i="3"/>
  <c r="J978" i="3"/>
  <c r="H978" i="3"/>
  <c r="I978" i="3" s="1"/>
  <c r="G978" i="3"/>
  <c r="F978" i="3"/>
  <c r="D978" i="3" a="1"/>
  <c r="D978" i="3" s="1"/>
  <c r="C978" i="3" a="1"/>
  <c r="C978" i="3"/>
  <c r="B978" i="3" a="1"/>
  <c r="B978" i="3" s="1"/>
  <c r="M978" i="3" s="1" a="1"/>
  <c r="M978" i="3" s="1"/>
  <c r="N977" i="3" a="1"/>
  <c r="N977" i="3"/>
  <c r="L977" i="3"/>
  <c r="K977" i="3"/>
  <c r="J977" i="3"/>
  <c r="I977" i="3"/>
  <c r="H977" i="3"/>
  <c r="G977" i="3"/>
  <c r="F977" i="3"/>
  <c r="D977" i="3" a="1"/>
  <c r="D977" i="3" s="1"/>
  <c r="C977" i="3" a="1"/>
  <c r="C977" i="3"/>
  <c r="B977" i="3" a="1"/>
  <c r="B977" i="3"/>
  <c r="M977" i="3" s="1" a="1"/>
  <c r="M977" i="3" s="1"/>
  <c r="N976" i="3" a="1"/>
  <c r="N976" i="3" s="1"/>
  <c r="L976" i="3"/>
  <c r="K976" i="3"/>
  <c r="J976" i="3"/>
  <c r="I976" i="3"/>
  <c r="H976" i="3"/>
  <c r="G976" i="3"/>
  <c r="F976" i="3"/>
  <c r="D976" i="3" a="1"/>
  <c r="D976" i="3"/>
  <c r="C976" i="3" a="1"/>
  <c r="C976" i="3" s="1"/>
  <c r="B976" i="3" a="1"/>
  <c r="B976" i="3"/>
  <c r="M976" i="3" s="1" a="1"/>
  <c r="M976" i="3" s="1"/>
  <c r="N975" i="3" a="1"/>
  <c r="N975" i="3" s="1"/>
  <c r="L975" i="3"/>
  <c r="K975" i="3"/>
  <c r="J975" i="3"/>
  <c r="H975" i="3"/>
  <c r="G975" i="3"/>
  <c r="F975" i="3"/>
  <c r="D975" i="3" a="1"/>
  <c r="D975" i="3"/>
  <c r="C975" i="3" a="1"/>
  <c r="C975" i="3"/>
  <c r="B975" i="3" a="1"/>
  <c r="B975" i="3" s="1"/>
  <c r="M975" i="3" s="1" a="1"/>
  <c r="M975" i="3" s="1"/>
  <c r="N974" i="3" a="1"/>
  <c r="N974" i="3"/>
  <c r="L974" i="3"/>
  <c r="K974" i="3"/>
  <c r="J974" i="3"/>
  <c r="H974" i="3"/>
  <c r="I974" i="3" s="1"/>
  <c r="G974" i="3"/>
  <c r="F974" i="3"/>
  <c r="D974" i="3" a="1"/>
  <c r="D974" i="3" s="1"/>
  <c r="C974" i="3" a="1"/>
  <c r="C974" i="3" s="1"/>
  <c r="B974" i="3" a="1"/>
  <c r="B974" i="3" s="1"/>
  <c r="M974" i="3" s="1" a="1"/>
  <c r="M974" i="3" s="1"/>
  <c r="N973" i="3" a="1"/>
  <c r="N973" i="3"/>
  <c r="M973" i="3" a="1"/>
  <c r="M973" i="3" s="1"/>
  <c r="L973" i="3"/>
  <c r="K973" i="3"/>
  <c r="I973" i="3"/>
  <c r="H973" i="3"/>
  <c r="J973" i="3" s="1"/>
  <c r="G973" i="3"/>
  <c r="F973" i="3"/>
  <c r="D973" i="3" a="1"/>
  <c r="D973" i="3"/>
  <c r="C973" i="3" a="1"/>
  <c r="C973" i="3"/>
  <c r="B973" i="3" a="1"/>
  <c r="B973" i="3"/>
  <c r="N972" i="3" a="1"/>
  <c r="N972" i="3" s="1"/>
  <c r="L972" i="3"/>
  <c r="K972" i="3"/>
  <c r="H972" i="3"/>
  <c r="G972" i="3"/>
  <c r="F972" i="3"/>
  <c r="D972" i="3" a="1"/>
  <c r="D972" i="3"/>
  <c r="C972" i="3" a="1"/>
  <c r="C972" i="3" s="1"/>
  <c r="B972" i="3" a="1"/>
  <c r="B972" i="3" s="1"/>
  <c r="M972" i="3" s="1" a="1"/>
  <c r="M972" i="3" s="1"/>
  <c r="N971" i="3" a="1"/>
  <c r="N971" i="3" s="1"/>
  <c r="M971" i="3" a="1"/>
  <c r="M971" i="3"/>
  <c r="L971" i="3"/>
  <c r="K971" i="3"/>
  <c r="J971" i="3"/>
  <c r="H971" i="3"/>
  <c r="G971" i="3"/>
  <c r="F971" i="3"/>
  <c r="D971" i="3" a="1"/>
  <c r="D971" i="3"/>
  <c r="C971" i="3" a="1"/>
  <c r="C971" i="3" s="1"/>
  <c r="B971" i="3" a="1"/>
  <c r="B971" i="3" s="1"/>
  <c r="N970" i="3" a="1"/>
  <c r="N970" i="3" s="1"/>
  <c r="L970" i="3"/>
  <c r="K970" i="3"/>
  <c r="J970" i="3"/>
  <c r="I970" i="3"/>
  <c r="H970" i="3"/>
  <c r="G970" i="3"/>
  <c r="F970" i="3"/>
  <c r="D970" i="3" a="1"/>
  <c r="D970" i="3" s="1"/>
  <c r="C970" i="3" a="1"/>
  <c r="C970" i="3" s="1"/>
  <c r="B970" i="3" a="1"/>
  <c r="B970" i="3"/>
  <c r="M970" i="3" s="1" a="1"/>
  <c r="M970" i="3" s="1"/>
  <c r="N969" i="3" a="1"/>
  <c r="N969" i="3"/>
  <c r="L969" i="3"/>
  <c r="K969" i="3"/>
  <c r="J969" i="3"/>
  <c r="I969" i="3"/>
  <c r="H969" i="3"/>
  <c r="G969" i="3"/>
  <c r="F969" i="3"/>
  <c r="D969" i="3" a="1"/>
  <c r="D969" i="3"/>
  <c r="C969" i="3" a="1"/>
  <c r="C969" i="3" s="1"/>
  <c r="B969" i="3" a="1"/>
  <c r="B969" i="3" s="1"/>
  <c r="M969" i="3" s="1" a="1"/>
  <c r="M969" i="3" s="1"/>
  <c r="N968" i="3" a="1"/>
  <c r="N968" i="3" s="1"/>
  <c r="L968" i="3"/>
  <c r="K968" i="3"/>
  <c r="J968" i="3"/>
  <c r="H968" i="3"/>
  <c r="I968" i="3" s="1"/>
  <c r="G968" i="3"/>
  <c r="F968" i="3"/>
  <c r="D968" i="3" a="1"/>
  <c r="D968" i="3"/>
  <c r="C968" i="3" a="1"/>
  <c r="C968" i="3" s="1"/>
  <c r="B968" i="3" a="1"/>
  <c r="B968" i="3" s="1"/>
  <c r="M968" i="3" s="1" a="1"/>
  <c r="M968" i="3" s="1"/>
  <c r="N967" i="3" a="1"/>
  <c r="N967" i="3" s="1"/>
  <c r="L967" i="3"/>
  <c r="K967" i="3"/>
  <c r="H967" i="3"/>
  <c r="J967" i="3" s="1"/>
  <c r="G967" i="3"/>
  <c r="F967" i="3"/>
  <c r="D967" i="3" a="1"/>
  <c r="D967" i="3" s="1"/>
  <c r="C967" i="3" a="1"/>
  <c r="C967" i="3"/>
  <c r="B967" i="3" a="1"/>
  <c r="B967" i="3" s="1"/>
  <c r="M967" i="3" s="1" a="1"/>
  <c r="M967" i="3" s="1"/>
  <c r="N966" i="3" a="1"/>
  <c r="N966" i="3" s="1"/>
  <c r="L966" i="3"/>
  <c r="K966" i="3"/>
  <c r="J966" i="3"/>
  <c r="I966" i="3"/>
  <c r="H966" i="3"/>
  <c r="G966" i="3"/>
  <c r="F966" i="3"/>
  <c r="D966" i="3" a="1"/>
  <c r="D966" i="3" s="1"/>
  <c r="C966" i="3" a="1"/>
  <c r="C966" i="3" s="1"/>
  <c r="B966" i="3" a="1"/>
  <c r="B966" i="3"/>
  <c r="M966" i="3" s="1" a="1"/>
  <c r="M966" i="3" s="1"/>
  <c r="N965" i="3" a="1"/>
  <c r="N965" i="3" s="1"/>
  <c r="M965" i="3" a="1"/>
  <c r="M965" i="3" s="1"/>
  <c r="L965" i="3"/>
  <c r="K965" i="3"/>
  <c r="J965" i="3"/>
  <c r="H965" i="3"/>
  <c r="I965" i="3" s="1"/>
  <c r="G965" i="3"/>
  <c r="F965" i="3"/>
  <c r="D965" i="3" a="1"/>
  <c r="D965" i="3"/>
  <c r="C965" i="3" a="1"/>
  <c r="C965" i="3" s="1"/>
  <c r="B965" i="3" a="1"/>
  <c r="B965" i="3"/>
  <c r="N964" i="3" a="1"/>
  <c r="N964" i="3"/>
  <c r="L964" i="3"/>
  <c r="K964" i="3"/>
  <c r="H964" i="3"/>
  <c r="J964" i="3" s="1"/>
  <c r="G964" i="3"/>
  <c r="F964" i="3"/>
  <c r="D964" i="3" a="1"/>
  <c r="D964" i="3" s="1"/>
  <c r="C964" i="3" a="1"/>
  <c r="C964" i="3"/>
  <c r="B964" i="3" a="1"/>
  <c r="B964" i="3" s="1"/>
  <c r="M964" i="3" s="1" a="1"/>
  <c r="M964" i="3" s="1"/>
  <c r="N963" i="3" a="1"/>
  <c r="N963" i="3"/>
  <c r="M963" i="3" a="1"/>
  <c r="M963" i="3" s="1"/>
  <c r="L963" i="3"/>
  <c r="K963" i="3"/>
  <c r="J963" i="3"/>
  <c r="H963" i="3"/>
  <c r="G963" i="3"/>
  <c r="F963" i="3"/>
  <c r="D963" i="3" a="1"/>
  <c r="D963" i="3" s="1"/>
  <c r="C963" i="3" a="1"/>
  <c r="C963" i="3"/>
  <c r="B963" i="3" a="1"/>
  <c r="B963" i="3"/>
  <c r="N962" i="3" a="1"/>
  <c r="N962" i="3" s="1"/>
  <c r="M962" i="3" a="1"/>
  <c r="M962" i="3" s="1"/>
  <c r="L962" i="3"/>
  <c r="K962" i="3"/>
  <c r="I962" i="3"/>
  <c r="H962" i="3"/>
  <c r="J962" i="3" s="1"/>
  <c r="G962" i="3"/>
  <c r="F962" i="3"/>
  <c r="D962" i="3" a="1"/>
  <c r="D962" i="3" s="1"/>
  <c r="C962" i="3" a="1"/>
  <c r="C962" i="3" s="1"/>
  <c r="B962" i="3" a="1"/>
  <c r="B962" i="3"/>
  <c r="N961" i="3" a="1"/>
  <c r="N961" i="3"/>
  <c r="M961" i="3"/>
  <c r="L961" i="3"/>
  <c r="K961" i="3"/>
  <c r="J961" i="3"/>
  <c r="I961" i="3"/>
  <c r="H961" i="3"/>
  <c r="G961" i="3"/>
  <c r="F961" i="3"/>
  <c r="D961" i="3" a="1"/>
  <c r="D961" i="3" s="1"/>
  <c r="C961" i="3" a="1"/>
  <c r="C961" i="3" s="1"/>
  <c r="B961" i="3" a="1"/>
  <c r="B961" i="3" s="1"/>
  <c r="M961" i="3" s="1" a="1"/>
  <c r="N960" i="3" a="1"/>
  <c r="N960" i="3"/>
  <c r="L960" i="3"/>
  <c r="K960" i="3"/>
  <c r="J960" i="3"/>
  <c r="H960" i="3"/>
  <c r="I960" i="3" s="1"/>
  <c r="G960" i="3"/>
  <c r="F960" i="3"/>
  <c r="D960" i="3" a="1"/>
  <c r="D960" i="3"/>
  <c r="C960" i="3" a="1"/>
  <c r="C960" i="3" s="1"/>
  <c r="B960" i="3" a="1"/>
  <c r="B960" i="3" s="1"/>
  <c r="M960" i="3" s="1" a="1"/>
  <c r="M960" i="3" s="1"/>
  <c r="N959" i="3" a="1"/>
  <c r="N959" i="3" s="1"/>
  <c r="L959" i="3"/>
  <c r="K959" i="3"/>
  <c r="J959" i="3"/>
  <c r="H959" i="3"/>
  <c r="G959" i="3"/>
  <c r="F959" i="3"/>
  <c r="D959" i="3" a="1"/>
  <c r="D959" i="3" s="1"/>
  <c r="C959" i="3" a="1"/>
  <c r="C959" i="3" s="1"/>
  <c r="B959" i="3" a="1"/>
  <c r="B959" i="3" s="1"/>
  <c r="M959" i="3" s="1" a="1"/>
  <c r="M959" i="3" s="1"/>
  <c r="N958" i="3" a="1"/>
  <c r="N958" i="3" s="1"/>
  <c r="L958" i="3"/>
  <c r="K958" i="3"/>
  <c r="I958" i="3"/>
  <c r="H958" i="3"/>
  <c r="J958" i="3" s="1"/>
  <c r="G958" i="3"/>
  <c r="F958" i="3"/>
  <c r="D958" i="3" a="1"/>
  <c r="D958" i="3"/>
  <c r="C958" i="3" a="1"/>
  <c r="C958" i="3" s="1"/>
  <c r="B958" i="3" a="1"/>
  <c r="B958" i="3" s="1"/>
  <c r="M958" i="3" s="1" a="1"/>
  <c r="M958" i="3" s="1"/>
  <c r="N957" i="3" a="1"/>
  <c r="N957" i="3" s="1"/>
  <c r="L957" i="3"/>
  <c r="K957" i="3"/>
  <c r="H957" i="3"/>
  <c r="I957" i="3" s="1"/>
  <c r="G957" i="3"/>
  <c r="F957" i="3"/>
  <c r="D957" i="3" a="1"/>
  <c r="D957" i="3" s="1"/>
  <c r="C957" i="3" a="1"/>
  <c r="C957" i="3"/>
  <c r="B957" i="3" a="1"/>
  <c r="B957" i="3" s="1"/>
  <c r="M957" i="3" s="1" a="1"/>
  <c r="M957" i="3" s="1"/>
  <c r="N956" i="3" a="1"/>
  <c r="N956" i="3" s="1"/>
  <c r="M956" i="3" a="1"/>
  <c r="M956" i="3" s="1"/>
  <c r="L956" i="3"/>
  <c r="K956" i="3"/>
  <c r="J956" i="3"/>
  <c r="I956" i="3"/>
  <c r="H956" i="3"/>
  <c r="G956" i="3"/>
  <c r="F956" i="3"/>
  <c r="D956" i="3" a="1"/>
  <c r="D956" i="3"/>
  <c r="C956" i="3" a="1"/>
  <c r="C956" i="3" s="1"/>
  <c r="B956" i="3" a="1"/>
  <c r="B956" i="3"/>
  <c r="N955" i="3" a="1"/>
  <c r="N955" i="3"/>
  <c r="L955" i="3"/>
  <c r="K955" i="3"/>
  <c r="H955" i="3"/>
  <c r="J955" i="3" s="1"/>
  <c r="G955" i="3"/>
  <c r="F955" i="3"/>
  <c r="D955" i="3" a="1"/>
  <c r="D955" i="3" s="1"/>
  <c r="C955" i="3" a="1"/>
  <c r="C955" i="3"/>
  <c r="B955" i="3" a="1"/>
  <c r="B955" i="3" s="1"/>
  <c r="M955" i="3" s="1" a="1"/>
  <c r="M955" i="3" s="1"/>
  <c r="N954" i="3" a="1"/>
  <c r="N954" i="3"/>
  <c r="L954" i="3"/>
  <c r="K954" i="3"/>
  <c r="I954" i="3"/>
  <c r="H954" i="3"/>
  <c r="J954" i="3" s="1"/>
  <c r="G954" i="3"/>
  <c r="F954" i="3"/>
  <c r="D954" i="3" a="1"/>
  <c r="D954" i="3"/>
  <c r="C954" i="3" a="1"/>
  <c r="C954" i="3" s="1"/>
  <c r="B954" i="3" a="1"/>
  <c r="B954" i="3" s="1"/>
  <c r="M954" i="3" s="1" a="1"/>
  <c r="M954" i="3" s="1"/>
  <c r="N953" i="3" a="1"/>
  <c r="N953" i="3"/>
  <c r="L953" i="3"/>
  <c r="K953" i="3"/>
  <c r="J953" i="3"/>
  <c r="H953" i="3"/>
  <c r="I953" i="3" s="1"/>
  <c r="G953" i="3"/>
  <c r="F953" i="3"/>
  <c r="D953" i="3" a="1"/>
  <c r="D953" i="3" s="1"/>
  <c r="C953" i="3" a="1"/>
  <c r="C953" i="3"/>
  <c r="B953" i="3" a="1"/>
  <c r="B953" i="3" s="1"/>
  <c r="M953" i="3" s="1" a="1"/>
  <c r="M953" i="3" s="1"/>
  <c r="N952" i="3" a="1"/>
  <c r="N952" i="3" s="1"/>
  <c r="L952" i="3"/>
  <c r="K952" i="3"/>
  <c r="H952" i="3"/>
  <c r="J952" i="3" s="1"/>
  <c r="G952" i="3"/>
  <c r="F952" i="3"/>
  <c r="D952" i="3" a="1"/>
  <c r="D952" i="3"/>
  <c r="C952" i="3" a="1"/>
  <c r="C952" i="3"/>
  <c r="B952" i="3" a="1"/>
  <c r="B952" i="3" s="1"/>
  <c r="M952" i="3" s="1" a="1"/>
  <c r="M952" i="3" s="1"/>
  <c r="N951" i="3" a="1"/>
  <c r="N951" i="3"/>
  <c r="M951" i="3" a="1"/>
  <c r="M951" i="3" s="1"/>
  <c r="L951" i="3"/>
  <c r="K951" i="3"/>
  <c r="I951" i="3"/>
  <c r="H951" i="3"/>
  <c r="J951" i="3" s="1"/>
  <c r="G951" i="3"/>
  <c r="F951" i="3"/>
  <c r="D951" i="3" a="1"/>
  <c r="D951" i="3" s="1"/>
  <c r="C951" i="3" a="1"/>
  <c r="C951" i="3" s="1"/>
  <c r="B951" i="3" a="1"/>
  <c r="B951" i="3"/>
  <c r="N950" i="3" a="1"/>
  <c r="N950" i="3" s="1"/>
  <c r="M950" i="3" a="1"/>
  <c r="M950" i="3"/>
  <c r="L950" i="3"/>
  <c r="K950" i="3"/>
  <c r="J950" i="3"/>
  <c r="I950" i="3"/>
  <c r="H950" i="3"/>
  <c r="G950" i="3"/>
  <c r="F950" i="3"/>
  <c r="D950" i="3" a="1"/>
  <c r="D950" i="3" s="1"/>
  <c r="C950" i="3" a="1"/>
  <c r="C950" i="3" s="1"/>
  <c r="B950" i="3" a="1"/>
  <c r="B950" i="3"/>
  <c r="N949" i="3" a="1"/>
  <c r="N949" i="3"/>
  <c r="M949" i="3" a="1"/>
  <c r="M949" i="3" s="1"/>
  <c r="L949" i="3"/>
  <c r="K949" i="3"/>
  <c r="H949" i="3"/>
  <c r="J949" i="3" s="1"/>
  <c r="G949" i="3"/>
  <c r="F949" i="3"/>
  <c r="D949" i="3" a="1"/>
  <c r="D949" i="3"/>
  <c r="C949" i="3" a="1"/>
  <c r="C949" i="3"/>
  <c r="B949" i="3" a="1"/>
  <c r="B949" i="3" s="1"/>
  <c r="N948" i="3" a="1"/>
  <c r="N948" i="3" s="1"/>
  <c r="L948" i="3"/>
  <c r="K948" i="3"/>
  <c r="J948" i="3"/>
  <c r="H948" i="3"/>
  <c r="G948" i="3"/>
  <c r="F948" i="3"/>
  <c r="D948" i="3" a="1"/>
  <c r="D948" i="3" s="1"/>
  <c r="C948" i="3" a="1"/>
  <c r="C948" i="3" s="1"/>
  <c r="B948" i="3" a="1"/>
  <c r="B948" i="3" s="1"/>
  <c r="M948" i="3" s="1" a="1"/>
  <c r="M948" i="3" s="1"/>
  <c r="N947" i="3" a="1"/>
  <c r="N947" i="3" s="1"/>
  <c r="L947" i="3"/>
  <c r="K947" i="3"/>
  <c r="J947" i="3"/>
  <c r="I947" i="3"/>
  <c r="H947" i="3"/>
  <c r="G947" i="3"/>
  <c r="F947" i="3"/>
  <c r="D947" i="3" a="1"/>
  <c r="D947" i="3" s="1"/>
  <c r="C947" i="3" a="1"/>
  <c r="C947" i="3" s="1"/>
  <c r="B947" i="3" a="1"/>
  <c r="B947" i="3" s="1"/>
  <c r="M947" i="3" s="1" a="1"/>
  <c r="M947" i="3" s="1"/>
  <c r="N946" i="3" a="1"/>
  <c r="N946" i="3" s="1"/>
  <c r="L946" i="3"/>
  <c r="K946" i="3"/>
  <c r="H946" i="3"/>
  <c r="J946" i="3" s="1"/>
  <c r="G946" i="3"/>
  <c r="F946" i="3"/>
  <c r="D946" i="3" a="1"/>
  <c r="D946" i="3" s="1"/>
  <c r="C946" i="3" a="1"/>
  <c r="C946" i="3" s="1"/>
  <c r="B946" i="3" a="1"/>
  <c r="B946" i="3" s="1"/>
  <c r="M946" i="3" s="1" a="1"/>
  <c r="M946" i="3" s="1"/>
  <c r="N945" i="3" a="1"/>
  <c r="N945" i="3" s="1"/>
  <c r="L945" i="3"/>
  <c r="K945" i="3"/>
  <c r="I945" i="3"/>
  <c r="H945" i="3"/>
  <c r="J945" i="3" s="1"/>
  <c r="G945" i="3"/>
  <c r="F945" i="3"/>
  <c r="D945" i="3" a="1"/>
  <c r="D945" i="3" s="1"/>
  <c r="C945" i="3" a="1"/>
  <c r="C945" i="3" s="1"/>
  <c r="B945" i="3" a="1"/>
  <c r="B945" i="3" s="1"/>
  <c r="M945" i="3" s="1" a="1"/>
  <c r="M945" i="3" s="1"/>
  <c r="N944" i="3" a="1"/>
  <c r="N944" i="3" s="1"/>
  <c r="L944" i="3"/>
  <c r="K944" i="3"/>
  <c r="J944" i="3"/>
  <c r="H944" i="3"/>
  <c r="G944" i="3"/>
  <c r="F944" i="3"/>
  <c r="D944" i="3" a="1"/>
  <c r="D944" i="3"/>
  <c r="C944" i="3" a="1"/>
  <c r="C944" i="3" s="1"/>
  <c r="B944" i="3" a="1"/>
  <c r="B944" i="3" s="1"/>
  <c r="M944" i="3" s="1" a="1"/>
  <c r="M944" i="3" s="1"/>
  <c r="N943" i="3" a="1"/>
  <c r="N943" i="3" s="1"/>
  <c r="L943" i="3"/>
  <c r="K943" i="3"/>
  <c r="I943" i="3"/>
  <c r="H943" i="3"/>
  <c r="J943" i="3" s="1"/>
  <c r="G943" i="3"/>
  <c r="F943" i="3"/>
  <c r="D943" i="3" a="1"/>
  <c r="D943" i="3" s="1"/>
  <c r="C943" i="3" a="1"/>
  <c r="C943" i="3"/>
  <c r="B943" i="3" a="1"/>
  <c r="B943" i="3" s="1"/>
  <c r="M943" i="3" s="1" a="1"/>
  <c r="M943" i="3" s="1"/>
  <c r="N942" i="3" a="1"/>
  <c r="N942" i="3" s="1"/>
  <c r="L942" i="3"/>
  <c r="K942" i="3"/>
  <c r="J942" i="3"/>
  <c r="H942" i="3"/>
  <c r="I942" i="3" s="1"/>
  <c r="G942" i="3"/>
  <c r="F942" i="3"/>
  <c r="D942" i="3" a="1"/>
  <c r="D942" i="3" s="1"/>
  <c r="C942" i="3" a="1"/>
  <c r="C942" i="3" s="1"/>
  <c r="B942" i="3" a="1"/>
  <c r="B942" i="3"/>
  <c r="M942" i="3" s="1" a="1"/>
  <c r="M942" i="3" s="1"/>
  <c r="N941" i="3" a="1"/>
  <c r="N941" i="3" s="1"/>
  <c r="M941" i="3" a="1"/>
  <c r="M941" i="3" s="1"/>
  <c r="L941" i="3"/>
  <c r="K941" i="3"/>
  <c r="J941" i="3"/>
  <c r="I941" i="3"/>
  <c r="H941" i="3"/>
  <c r="G941" i="3"/>
  <c r="F941" i="3"/>
  <c r="D941" i="3" a="1"/>
  <c r="D941" i="3"/>
  <c r="C941" i="3" a="1"/>
  <c r="C941" i="3"/>
  <c r="B941" i="3" a="1"/>
  <c r="B941" i="3"/>
  <c r="N940" i="3" a="1"/>
  <c r="N940" i="3" s="1"/>
  <c r="L940" i="3"/>
  <c r="K940" i="3"/>
  <c r="H940" i="3"/>
  <c r="J940" i="3" s="1"/>
  <c r="G940" i="3"/>
  <c r="F940" i="3"/>
  <c r="D940" i="3" a="1"/>
  <c r="D940" i="3"/>
  <c r="C940" i="3" a="1"/>
  <c r="C940" i="3"/>
  <c r="B940" i="3" a="1"/>
  <c r="B940" i="3"/>
  <c r="M940" i="3" s="1" a="1"/>
  <c r="M940" i="3" s="1"/>
  <c r="N939" i="3" a="1"/>
  <c r="N939" i="3"/>
  <c r="L939" i="3"/>
  <c r="K939" i="3"/>
  <c r="J939" i="3"/>
  <c r="I939" i="3"/>
  <c r="H939" i="3"/>
  <c r="G939" i="3"/>
  <c r="F939" i="3"/>
  <c r="D939" i="3" a="1"/>
  <c r="D939" i="3"/>
  <c r="C939" i="3" a="1"/>
  <c r="C939" i="3" s="1"/>
  <c r="B939" i="3" a="1"/>
  <c r="B939" i="3" s="1"/>
  <c r="M939" i="3" s="1" a="1"/>
  <c r="M939" i="3" s="1"/>
  <c r="N938" i="3" a="1"/>
  <c r="N938" i="3" s="1"/>
  <c r="L938" i="3"/>
  <c r="K938" i="3"/>
  <c r="J938" i="3"/>
  <c r="I938" i="3"/>
  <c r="H938" i="3"/>
  <c r="G938" i="3"/>
  <c r="F938" i="3"/>
  <c r="D938" i="3" a="1"/>
  <c r="D938" i="3" s="1"/>
  <c r="C938" i="3" a="1"/>
  <c r="C938" i="3" s="1"/>
  <c r="B938" i="3" a="1"/>
  <c r="B938" i="3" s="1"/>
  <c r="M938" i="3" s="1" a="1"/>
  <c r="M938" i="3" s="1"/>
  <c r="N937" i="3" a="1"/>
  <c r="N937" i="3" s="1"/>
  <c r="L937" i="3"/>
  <c r="K937" i="3"/>
  <c r="H937" i="3"/>
  <c r="G937" i="3"/>
  <c r="F937" i="3"/>
  <c r="D937" i="3" a="1"/>
  <c r="D937" i="3"/>
  <c r="C937" i="3" a="1"/>
  <c r="C937" i="3"/>
  <c r="B937" i="3" a="1"/>
  <c r="B937" i="3"/>
  <c r="M937" i="3" s="1" a="1"/>
  <c r="M937" i="3" s="1"/>
  <c r="N936" i="3" a="1"/>
  <c r="N936" i="3"/>
  <c r="L936" i="3"/>
  <c r="K936" i="3"/>
  <c r="J936" i="3"/>
  <c r="H936" i="3"/>
  <c r="G936" i="3"/>
  <c r="F936" i="3"/>
  <c r="D936" i="3" a="1"/>
  <c r="D936" i="3" s="1"/>
  <c r="C936" i="3" a="1"/>
  <c r="C936" i="3"/>
  <c r="B936" i="3" a="1"/>
  <c r="B936" i="3"/>
  <c r="M936" i="3" s="1" a="1"/>
  <c r="M936" i="3" s="1"/>
  <c r="N935" i="3" a="1"/>
  <c r="N935" i="3"/>
  <c r="L935" i="3"/>
  <c r="K935" i="3"/>
  <c r="H935" i="3"/>
  <c r="J935" i="3" s="1"/>
  <c r="G935" i="3"/>
  <c r="F935" i="3"/>
  <c r="D935" i="3" a="1"/>
  <c r="D935" i="3" s="1"/>
  <c r="C935" i="3" a="1"/>
  <c r="C935" i="3" s="1"/>
  <c r="B935" i="3" a="1"/>
  <c r="B935" i="3" s="1"/>
  <c r="M935" i="3" s="1" a="1"/>
  <c r="M935" i="3" s="1"/>
  <c r="N934" i="3" a="1"/>
  <c r="N934" i="3" s="1"/>
  <c r="M934" i="3" a="1"/>
  <c r="M934" i="3" s="1"/>
  <c r="L934" i="3"/>
  <c r="K934" i="3"/>
  <c r="J934" i="3"/>
  <c r="H934" i="3"/>
  <c r="I934" i="3" s="1"/>
  <c r="G934" i="3"/>
  <c r="F934" i="3"/>
  <c r="D934" i="3" a="1"/>
  <c r="D934" i="3"/>
  <c r="C934" i="3" a="1"/>
  <c r="C934" i="3" s="1"/>
  <c r="B934" i="3" a="1"/>
  <c r="B934" i="3"/>
  <c r="N933" i="3" a="1"/>
  <c r="N933" i="3"/>
  <c r="L933" i="3"/>
  <c r="K933" i="3"/>
  <c r="I933" i="3"/>
  <c r="H933" i="3"/>
  <c r="J933" i="3" s="1"/>
  <c r="G933" i="3"/>
  <c r="F933" i="3"/>
  <c r="D933" i="3" a="1"/>
  <c r="D933" i="3" s="1"/>
  <c r="C933" i="3" a="1"/>
  <c r="C933" i="3" s="1"/>
  <c r="B933" i="3" a="1"/>
  <c r="B933" i="3" s="1"/>
  <c r="M933" i="3" s="1" a="1"/>
  <c r="M933" i="3" s="1"/>
  <c r="N932" i="3" a="1"/>
  <c r="N932" i="3" s="1"/>
  <c r="L932" i="3"/>
  <c r="K932" i="3"/>
  <c r="J932" i="3"/>
  <c r="H932" i="3"/>
  <c r="G932" i="3"/>
  <c r="F932" i="3"/>
  <c r="D932" i="3" a="1"/>
  <c r="D932" i="3"/>
  <c r="C932" i="3" a="1"/>
  <c r="C932" i="3" s="1"/>
  <c r="B932" i="3" a="1"/>
  <c r="B932" i="3" s="1"/>
  <c r="M932" i="3" s="1" a="1"/>
  <c r="M932" i="3" s="1"/>
  <c r="N931" i="3" a="1"/>
  <c r="N931" i="3" s="1"/>
  <c r="L931" i="3"/>
  <c r="K931" i="3"/>
  <c r="J931" i="3"/>
  <c r="H931" i="3"/>
  <c r="I931" i="3" s="1"/>
  <c r="G931" i="3"/>
  <c r="F931" i="3"/>
  <c r="D931" i="3" a="1"/>
  <c r="D931" i="3"/>
  <c r="C931" i="3" a="1"/>
  <c r="C931" i="3"/>
  <c r="B931" i="3" a="1"/>
  <c r="B931" i="3"/>
  <c r="M931" i="3" s="1" a="1"/>
  <c r="M931" i="3" s="1"/>
  <c r="N930" i="3" a="1"/>
  <c r="N930" i="3" s="1"/>
  <c r="L930" i="3"/>
  <c r="K930" i="3"/>
  <c r="J930" i="3"/>
  <c r="I930" i="3"/>
  <c r="H930" i="3"/>
  <c r="G930" i="3"/>
  <c r="F930" i="3"/>
  <c r="D930" i="3" a="1"/>
  <c r="D930" i="3" s="1"/>
  <c r="C930" i="3" a="1"/>
  <c r="C930" i="3"/>
  <c r="B930" i="3" a="1"/>
  <c r="B930" i="3" s="1"/>
  <c r="M930" i="3" s="1" a="1"/>
  <c r="M930" i="3" s="1"/>
  <c r="N929" i="3" a="1"/>
  <c r="N929" i="3" s="1"/>
  <c r="L929" i="3"/>
  <c r="K929" i="3"/>
  <c r="H929" i="3"/>
  <c r="J929" i="3" s="1"/>
  <c r="G929" i="3"/>
  <c r="F929" i="3"/>
  <c r="D929" i="3" a="1"/>
  <c r="D929" i="3"/>
  <c r="C929" i="3" a="1"/>
  <c r="C929" i="3"/>
  <c r="B929" i="3" a="1"/>
  <c r="B929" i="3"/>
  <c r="M929" i="3" s="1" a="1"/>
  <c r="M929" i="3" s="1"/>
  <c r="N928" i="3" a="1"/>
  <c r="N928" i="3"/>
  <c r="M928" i="3" a="1"/>
  <c r="M928" i="3" s="1"/>
  <c r="L928" i="3"/>
  <c r="K928" i="3"/>
  <c r="H928" i="3"/>
  <c r="J928" i="3" s="1"/>
  <c r="G928" i="3"/>
  <c r="F928" i="3"/>
  <c r="D928" i="3" a="1"/>
  <c r="D928" i="3"/>
  <c r="C928" i="3" a="1"/>
  <c r="C928" i="3"/>
  <c r="B928" i="3" a="1"/>
  <c r="B928" i="3"/>
  <c r="N927" i="3" a="1"/>
  <c r="N927" i="3"/>
  <c r="M927" i="3"/>
  <c r="L927" i="3"/>
  <c r="K927" i="3"/>
  <c r="J927" i="3"/>
  <c r="I927" i="3"/>
  <c r="H927" i="3"/>
  <c r="G927" i="3"/>
  <c r="F927" i="3"/>
  <c r="D927" i="3" a="1"/>
  <c r="D927" i="3" s="1"/>
  <c r="C927" i="3" a="1"/>
  <c r="C927" i="3" s="1"/>
  <c r="B927" i="3" a="1"/>
  <c r="B927" i="3" s="1"/>
  <c r="M927" i="3" s="1" a="1"/>
  <c r="N926" i="3" a="1"/>
  <c r="N926" i="3"/>
  <c r="M926" i="3" a="1"/>
  <c r="M926" i="3" s="1"/>
  <c r="L926" i="3"/>
  <c r="K926" i="3"/>
  <c r="H926" i="3"/>
  <c r="J926" i="3" s="1"/>
  <c r="G926" i="3"/>
  <c r="F926" i="3"/>
  <c r="D926" i="3" a="1"/>
  <c r="D926" i="3"/>
  <c r="C926" i="3" a="1"/>
  <c r="C926" i="3"/>
  <c r="B926" i="3" a="1"/>
  <c r="B926" i="3"/>
  <c r="N925" i="3" a="1"/>
  <c r="N925" i="3"/>
  <c r="L925" i="3"/>
  <c r="K925" i="3"/>
  <c r="J925" i="3"/>
  <c r="I925" i="3"/>
  <c r="H925" i="3"/>
  <c r="G925" i="3"/>
  <c r="F925" i="3"/>
  <c r="D925" i="3" a="1"/>
  <c r="D925" i="3" s="1"/>
  <c r="C925" i="3" a="1"/>
  <c r="C925" i="3" s="1"/>
  <c r="B925" i="3" a="1"/>
  <c r="B925" i="3" s="1"/>
  <c r="M925" i="3" s="1" a="1"/>
  <c r="M925" i="3" s="1"/>
  <c r="N924" i="3" a="1"/>
  <c r="N924" i="3" s="1"/>
  <c r="L924" i="3"/>
  <c r="K924" i="3"/>
  <c r="J924" i="3"/>
  <c r="H924" i="3"/>
  <c r="G924" i="3"/>
  <c r="F924" i="3"/>
  <c r="D924" i="3" a="1"/>
  <c r="D924" i="3" s="1"/>
  <c r="C924" i="3" a="1"/>
  <c r="C924" i="3" s="1"/>
  <c r="B924" i="3" a="1"/>
  <c r="B924" i="3" s="1"/>
  <c r="M924" i="3" s="1" a="1"/>
  <c r="M924" i="3" s="1"/>
  <c r="N923" i="3" a="1"/>
  <c r="N923" i="3" s="1"/>
  <c r="L923" i="3"/>
  <c r="K923" i="3"/>
  <c r="H923" i="3"/>
  <c r="G923" i="3"/>
  <c r="F923" i="3"/>
  <c r="D923" i="3" a="1"/>
  <c r="D923" i="3"/>
  <c r="C923" i="3" a="1"/>
  <c r="C923" i="3"/>
  <c r="B923" i="3" a="1"/>
  <c r="B923" i="3"/>
  <c r="M923" i="3" s="1" a="1"/>
  <c r="M923" i="3" s="1"/>
  <c r="N922" i="3" a="1"/>
  <c r="N922" i="3"/>
  <c r="L922" i="3"/>
  <c r="K922" i="3"/>
  <c r="J922" i="3"/>
  <c r="I922" i="3"/>
  <c r="H922" i="3"/>
  <c r="G922" i="3"/>
  <c r="F922" i="3"/>
  <c r="D922" i="3" a="1"/>
  <c r="D922" i="3" s="1"/>
  <c r="C922" i="3" a="1"/>
  <c r="C922" i="3" s="1"/>
  <c r="B922" i="3" a="1"/>
  <c r="B922" i="3" s="1"/>
  <c r="M922" i="3" s="1" a="1"/>
  <c r="M922" i="3" s="1"/>
  <c r="N921" i="3" a="1"/>
  <c r="N921" i="3" s="1"/>
  <c r="L921" i="3"/>
  <c r="K921" i="3"/>
  <c r="H921" i="3"/>
  <c r="J921" i="3" s="1"/>
  <c r="G921" i="3"/>
  <c r="F921" i="3"/>
  <c r="D921" i="3" a="1"/>
  <c r="D921" i="3" s="1"/>
  <c r="C921" i="3" a="1"/>
  <c r="C921" i="3"/>
  <c r="B921" i="3" a="1"/>
  <c r="B921" i="3"/>
  <c r="M921" i="3" s="1" a="1"/>
  <c r="M921" i="3" s="1"/>
  <c r="N920" i="3" a="1"/>
  <c r="N920" i="3"/>
  <c r="L920" i="3"/>
  <c r="K920" i="3"/>
  <c r="H920" i="3"/>
  <c r="J920" i="3" s="1"/>
  <c r="G920" i="3"/>
  <c r="F920" i="3"/>
  <c r="D920" i="3" a="1"/>
  <c r="D920" i="3"/>
  <c r="C920" i="3" a="1"/>
  <c r="C920" i="3" s="1"/>
  <c r="B920" i="3" a="1"/>
  <c r="B920" i="3"/>
  <c r="M920" i="3" s="1" a="1"/>
  <c r="M920" i="3" s="1"/>
  <c r="N919" i="3" a="1"/>
  <c r="N919" i="3"/>
  <c r="L919" i="3"/>
  <c r="K919" i="3"/>
  <c r="I919" i="3"/>
  <c r="H919" i="3"/>
  <c r="J919" i="3" s="1"/>
  <c r="G919" i="3"/>
  <c r="F919" i="3"/>
  <c r="D919" i="3" a="1"/>
  <c r="D919" i="3" s="1"/>
  <c r="C919" i="3" a="1"/>
  <c r="C919" i="3" s="1"/>
  <c r="B919" i="3" a="1"/>
  <c r="B919" i="3" s="1"/>
  <c r="M919" i="3" s="1" a="1"/>
  <c r="M919" i="3" s="1"/>
  <c r="N918" i="3" a="1"/>
  <c r="N918" i="3" s="1"/>
  <c r="L918" i="3"/>
  <c r="K918" i="3"/>
  <c r="H918" i="3"/>
  <c r="J918" i="3" s="1"/>
  <c r="G918" i="3"/>
  <c r="F918" i="3"/>
  <c r="D918" i="3" a="1"/>
  <c r="D918" i="3"/>
  <c r="C918" i="3" a="1"/>
  <c r="C918" i="3"/>
  <c r="B918" i="3" a="1"/>
  <c r="B918" i="3" s="1"/>
  <c r="M918" i="3" s="1" a="1"/>
  <c r="M918" i="3" s="1"/>
  <c r="N917" i="3" a="1"/>
  <c r="N917" i="3"/>
  <c r="L917" i="3"/>
  <c r="K917" i="3"/>
  <c r="I917" i="3"/>
  <c r="H917" i="3"/>
  <c r="J917" i="3" s="1"/>
  <c r="G917" i="3"/>
  <c r="F917" i="3"/>
  <c r="D917" i="3" a="1"/>
  <c r="D917" i="3"/>
  <c r="C917" i="3" a="1"/>
  <c r="C917" i="3" s="1"/>
  <c r="B917" i="3" a="1"/>
  <c r="B917" i="3" s="1"/>
  <c r="M917" i="3" s="1" a="1"/>
  <c r="M917" i="3" s="1"/>
  <c r="N916" i="3" a="1"/>
  <c r="N916" i="3" s="1"/>
  <c r="L916" i="3"/>
  <c r="K916" i="3"/>
  <c r="J916" i="3"/>
  <c r="H916" i="3"/>
  <c r="G916" i="3"/>
  <c r="F916" i="3"/>
  <c r="D916" i="3" a="1"/>
  <c r="D916" i="3" s="1"/>
  <c r="C916" i="3" a="1"/>
  <c r="C916" i="3" s="1"/>
  <c r="B916" i="3" a="1"/>
  <c r="B916" i="3" s="1"/>
  <c r="M916" i="3" s="1" a="1"/>
  <c r="M916" i="3" s="1"/>
  <c r="N915" i="3" a="1"/>
  <c r="N915" i="3" s="1"/>
  <c r="L915" i="3"/>
  <c r="K915" i="3"/>
  <c r="H915" i="3"/>
  <c r="J915" i="3" s="1"/>
  <c r="G915" i="3"/>
  <c r="F915" i="3"/>
  <c r="D915" i="3" a="1"/>
  <c r="D915" i="3"/>
  <c r="C915" i="3" a="1"/>
  <c r="C915" i="3"/>
  <c r="B915" i="3" a="1"/>
  <c r="B915" i="3"/>
  <c r="M915" i="3" s="1" a="1"/>
  <c r="M915" i="3" s="1"/>
  <c r="N914" i="3" a="1"/>
  <c r="N914" i="3"/>
  <c r="L914" i="3"/>
  <c r="K914" i="3"/>
  <c r="I914" i="3"/>
  <c r="H914" i="3"/>
  <c r="J914" i="3" s="1"/>
  <c r="G914" i="3"/>
  <c r="F914" i="3"/>
  <c r="D914" i="3" a="1"/>
  <c r="D914" i="3" s="1"/>
  <c r="C914" i="3" a="1"/>
  <c r="C914" i="3" s="1"/>
  <c r="B914" i="3" a="1"/>
  <c r="B914" i="3" s="1"/>
  <c r="M914" i="3" s="1" a="1"/>
  <c r="M914" i="3" s="1"/>
  <c r="N913" i="3" a="1"/>
  <c r="N913" i="3" s="1"/>
  <c r="M913" i="3" a="1"/>
  <c r="M913" i="3" s="1"/>
  <c r="L913" i="3"/>
  <c r="K913" i="3"/>
  <c r="H913" i="3"/>
  <c r="J913" i="3" s="1"/>
  <c r="G913" i="3"/>
  <c r="F913" i="3"/>
  <c r="D913" i="3" a="1"/>
  <c r="D913" i="3"/>
  <c r="C913" i="3" a="1"/>
  <c r="C913" i="3"/>
  <c r="B913" i="3" a="1"/>
  <c r="B913" i="3"/>
  <c r="N912" i="3" a="1"/>
  <c r="N912" i="3"/>
  <c r="L912" i="3"/>
  <c r="K912" i="3"/>
  <c r="J912" i="3"/>
  <c r="I912" i="3"/>
  <c r="H912" i="3"/>
  <c r="G912" i="3"/>
  <c r="F912" i="3"/>
  <c r="D912" i="3" a="1"/>
  <c r="D912" i="3" s="1"/>
  <c r="C912" i="3" a="1"/>
  <c r="C912" i="3" s="1"/>
  <c r="B912" i="3" a="1"/>
  <c r="B912" i="3" s="1"/>
  <c r="M912" i="3" s="1" a="1"/>
  <c r="M912" i="3" s="1"/>
  <c r="N911" i="3" a="1"/>
  <c r="N911" i="3" s="1"/>
  <c r="M911" i="3" a="1"/>
  <c r="M911" i="3" s="1"/>
  <c r="L911" i="3"/>
  <c r="K911" i="3"/>
  <c r="H911" i="3"/>
  <c r="J911" i="3" s="1"/>
  <c r="G911" i="3"/>
  <c r="F911" i="3"/>
  <c r="D911" i="3" a="1"/>
  <c r="D911" i="3"/>
  <c r="C911" i="3" a="1"/>
  <c r="C911" i="3"/>
  <c r="B911" i="3" a="1"/>
  <c r="B911" i="3"/>
  <c r="N910" i="3" a="1"/>
  <c r="N910" i="3"/>
  <c r="L910" i="3"/>
  <c r="K910" i="3"/>
  <c r="J910" i="3"/>
  <c r="I910" i="3"/>
  <c r="H910" i="3"/>
  <c r="G910" i="3"/>
  <c r="F910" i="3"/>
  <c r="D910" i="3" a="1"/>
  <c r="D910" i="3" s="1"/>
  <c r="C910" i="3" a="1"/>
  <c r="C910" i="3" s="1"/>
  <c r="B910" i="3" a="1"/>
  <c r="B910" i="3" s="1"/>
  <c r="M910" i="3" s="1" a="1"/>
  <c r="M910" i="3" s="1"/>
  <c r="N909" i="3" a="1"/>
  <c r="N909" i="3" s="1"/>
  <c r="L909" i="3"/>
  <c r="K909" i="3"/>
  <c r="J909" i="3"/>
  <c r="H909" i="3"/>
  <c r="G909" i="3"/>
  <c r="F909" i="3"/>
  <c r="D909" i="3" a="1"/>
  <c r="D909" i="3" s="1"/>
  <c r="C909" i="3" a="1"/>
  <c r="C909" i="3" s="1"/>
  <c r="B909" i="3" a="1"/>
  <c r="B909" i="3" s="1"/>
  <c r="M909" i="3" s="1" a="1"/>
  <c r="M909" i="3" s="1"/>
  <c r="N908" i="3" a="1"/>
  <c r="N908" i="3" s="1"/>
  <c r="L908" i="3"/>
  <c r="K908" i="3"/>
  <c r="H908" i="3"/>
  <c r="G908" i="3"/>
  <c r="F908" i="3"/>
  <c r="D908" i="3" a="1"/>
  <c r="D908" i="3"/>
  <c r="C908" i="3" a="1"/>
  <c r="C908" i="3"/>
  <c r="B908" i="3" a="1"/>
  <c r="B908" i="3"/>
  <c r="M908" i="3" s="1" a="1"/>
  <c r="M908" i="3" s="1"/>
  <c r="N907" i="3" a="1"/>
  <c r="N907" i="3"/>
  <c r="L907" i="3"/>
  <c r="K907" i="3"/>
  <c r="J907" i="3"/>
  <c r="I907" i="3"/>
  <c r="H907" i="3"/>
  <c r="G907" i="3"/>
  <c r="F907" i="3"/>
  <c r="D907" i="3" a="1"/>
  <c r="D907" i="3" s="1"/>
  <c r="C907" i="3" a="1"/>
  <c r="C907" i="3" s="1"/>
  <c r="B907" i="3" a="1"/>
  <c r="B907" i="3" s="1"/>
  <c r="M907" i="3" s="1" a="1"/>
  <c r="M907" i="3" s="1"/>
  <c r="N906" i="3" a="1"/>
  <c r="N906" i="3" s="1"/>
  <c r="L906" i="3"/>
  <c r="K906" i="3"/>
  <c r="H906" i="3"/>
  <c r="J906" i="3" s="1"/>
  <c r="G906" i="3"/>
  <c r="F906" i="3"/>
  <c r="D906" i="3" a="1"/>
  <c r="D906" i="3" s="1"/>
  <c r="C906" i="3" a="1"/>
  <c r="C906" i="3"/>
  <c r="B906" i="3" a="1"/>
  <c r="B906" i="3"/>
  <c r="M906" i="3" s="1" a="1"/>
  <c r="M906" i="3" s="1"/>
  <c r="N905" i="3" a="1"/>
  <c r="N905" i="3"/>
  <c r="L905" i="3"/>
  <c r="K905" i="3"/>
  <c r="H905" i="3"/>
  <c r="J905" i="3" s="1"/>
  <c r="G905" i="3"/>
  <c r="F905" i="3"/>
  <c r="D905" i="3" a="1"/>
  <c r="D905" i="3"/>
  <c r="C905" i="3" a="1"/>
  <c r="C905" i="3" s="1"/>
  <c r="B905" i="3" a="1"/>
  <c r="B905" i="3"/>
  <c r="M905" i="3" s="1" a="1"/>
  <c r="M905" i="3" s="1"/>
  <c r="N904" i="3" a="1"/>
  <c r="N904" i="3"/>
  <c r="L904" i="3"/>
  <c r="K904" i="3"/>
  <c r="I904" i="3"/>
  <c r="H904" i="3"/>
  <c r="J904" i="3" s="1"/>
  <c r="G904" i="3"/>
  <c r="F904" i="3"/>
  <c r="D904" i="3" a="1"/>
  <c r="D904" i="3" s="1"/>
  <c r="C904" i="3" a="1"/>
  <c r="C904" i="3" s="1"/>
  <c r="B904" i="3" a="1"/>
  <c r="B904" i="3" s="1"/>
  <c r="M904" i="3" s="1" a="1"/>
  <c r="M904" i="3" s="1"/>
  <c r="N903" i="3" a="1"/>
  <c r="N903" i="3" s="1"/>
  <c r="L903" i="3"/>
  <c r="K903" i="3"/>
  <c r="H903" i="3"/>
  <c r="J903" i="3" s="1"/>
  <c r="G903" i="3"/>
  <c r="F903" i="3"/>
  <c r="D903" i="3" a="1"/>
  <c r="D903" i="3"/>
  <c r="C903" i="3" a="1"/>
  <c r="C903" i="3"/>
  <c r="B903" i="3" a="1"/>
  <c r="B903" i="3" s="1"/>
  <c r="M903" i="3" s="1" a="1"/>
  <c r="M903" i="3" s="1"/>
  <c r="N902" i="3" a="1"/>
  <c r="N902" i="3"/>
  <c r="L902" i="3"/>
  <c r="K902" i="3"/>
  <c r="I902" i="3"/>
  <c r="H902" i="3"/>
  <c r="J902" i="3" s="1"/>
  <c r="G902" i="3"/>
  <c r="F902" i="3"/>
  <c r="D902" i="3" a="1"/>
  <c r="D902" i="3" s="1"/>
  <c r="C902" i="3" a="1"/>
  <c r="C902" i="3" s="1"/>
  <c r="B902" i="3" a="1"/>
  <c r="B902" i="3" s="1"/>
  <c r="M902" i="3" s="1" a="1"/>
  <c r="M902" i="3" s="1"/>
  <c r="N901" i="3" a="1"/>
  <c r="N901" i="3" s="1"/>
  <c r="L901" i="3"/>
  <c r="K901" i="3"/>
  <c r="J901" i="3"/>
  <c r="H901" i="3"/>
  <c r="G901" i="3"/>
  <c r="F901" i="3"/>
  <c r="D901" i="3" a="1"/>
  <c r="D901" i="3" s="1"/>
  <c r="C901" i="3" a="1"/>
  <c r="C901" i="3" s="1"/>
  <c r="B901" i="3" a="1"/>
  <c r="B901" i="3" s="1"/>
  <c r="M901" i="3" s="1" a="1"/>
  <c r="M901" i="3" s="1"/>
  <c r="N900" i="3" a="1"/>
  <c r="N900" i="3" s="1"/>
  <c r="L900" i="3"/>
  <c r="K900" i="3"/>
  <c r="H900" i="3"/>
  <c r="J900" i="3" s="1"/>
  <c r="G900" i="3"/>
  <c r="F900" i="3"/>
  <c r="D900" i="3" a="1"/>
  <c r="D900" i="3"/>
  <c r="C900" i="3" a="1"/>
  <c r="C900" i="3"/>
  <c r="B900" i="3" a="1"/>
  <c r="B900" i="3"/>
  <c r="M900" i="3" s="1" a="1"/>
  <c r="M900" i="3" s="1"/>
  <c r="N899" i="3" a="1"/>
  <c r="N899" i="3"/>
  <c r="L899" i="3"/>
  <c r="K899" i="3"/>
  <c r="I899" i="3"/>
  <c r="H899" i="3"/>
  <c r="J899" i="3" s="1"/>
  <c r="G899" i="3"/>
  <c r="F899" i="3"/>
  <c r="D899" i="3" a="1"/>
  <c r="D899" i="3" s="1"/>
  <c r="C899" i="3" a="1"/>
  <c r="C899" i="3" s="1"/>
  <c r="B899" i="3" a="1"/>
  <c r="B899" i="3" s="1"/>
  <c r="M899" i="3" s="1" a="1"/>
  <c r="M899" i="3" s="1"/>
  <c r="N898" i="3" a="1"/>
  <c r="N898" i="3" s="1"/>
  <c r="M898" i="3" a="1"/>
  <c r="M898" i="3" s="1"/>
  <c r="L898" i="3"/>
  <c r="K898" i="3"/>
  <c r="J898" i="3"/>
  <c r="H898" i="3"/>
  <c r="I898" i="3" s="1"/>
  <c r="G898" i="3"/>
  <c r="F898" i="3"/>
  <c r="D898" i="3" a="1"/>
  <c r="D898" i="3"/>
  <c r="C898" i="3" a="1"/>
  <c r="C898" i="3"/>
  <c r="B898" i="3" a="1"/>
  <c r="B898" i="3"/>
  <c r="N897" i="3" a="1"/>
  <c r="N897" i="3"/>
  <c r="M897" i="3"/>
  <c r="L897" i="3"/>
  <c r="K897" i="3"/>
  <c r="H897" i="3"/>
  <c r="J897" i="3" s="1"/>
  <c r="G897" i="3"/>
  <c r="F897" i="3"/>
  <c r="D897" i="3" a="1"/>
  <c r="D897" i="3"/>
  <c r="C897" i="3" a="1"/>
  <c r="C897" i="3"/>
  <c r="B897" i="3" a="1"/>
  <c r="B897" i="3"/>
  <c r="M897" i="3" s="1" a="1"/>
  <c r="N896" i="3" a="1"/>
  <c r="N896" i="3"/>
  <c r="M896" i="3"/>
  <c r="L896" i="3"/>
  <c r="K896" i="3"/>
  <c r="J896" i="3"/>
  <c r="I896" i="3"/>
  <c r="H896" i="3"/>
  <c r="G896" i="3"/>
  <c r="F896" i="3"/>
  <c r="D896" i="3" a="1"/>
  <c r="D896" i="3" s="1"/>
  <c r="C896" i="3" a="1"/>
  <c r="C896" i="3" s="1"/>
  <c r="B896" i="3" a="1"/>
  <c r="B896" i="3" s="1"/>
  <c r="M896" i="3" s="1" a="1"/>
  <c r="N895" i="3" a="1"/>
  <c r="N895" i="3" s="1"/>
  <c r="M895" i="3" a="1"/>
  <c r="M895" i="3" s="1"/>
  <c r="L895" i="3"/>
  <c r="K895" i="3"/>
  <c r="J895" i="3"/>
  <c r="I895" i="3"/>
  <c r="H895" i="3"/>
  <c r="G895" i="3"/>
  <c r="F895" i="3"/>
  <c r="D895" i="3" a="1"/>
  <c r="D895" i="3"/>
  <c r="C895" i="3" a="1"/>
  <c r="C895" i="3"/>
  <c r="B895" i="3" a="1"/>
  <c r="B895" i="3"/>
  <c r="N894" i="3" a="1"/>
  <c r="N894" i="3"/>
  <c r="L894" i="3"/>
  <c r="K894" i="3"/>
  <c r="I894" i="3"/>
  <c r="H894" i="3"/>
  <c r="J894" i="3" s="1"/>
  <c r="G894" i="3"/>
  <c r="F894" i="3"/>
  <c r="D894" i="3" a="1"/>
  <c r="D894" i="3" s="1"/>
  <c r="C894" i="3" a="1"/>
  <c r="C894" i="3" s="1"/>
  <c r="B894" i="3" a="1"/>
  <c r="B894" i="3" s="1"/>
  <c r="M894" i="3" s="1" a="1"/>
  <c r="M894" i="3" s="1"/>
  <c r="N893" i="3" a="1"/>
  <c r="N893" i="3" s="1"/>
  <c r="L893" i="3"/>
  <c r="K893" i="3"/>
  <c r="J893" i="3"/>
  <c r="H893" i="3"/>
  <c r="G893" i="3"/>
  <c r="F893" i="3"/>
  <c r="D893" i="3" a="1"/>
  <c r="D893" i="3" s="1"/>
  <c r="C893" i="3" a="1"/>
  <c r="C893" i="3" s="1"/>
  <c r="B893" i="3" a="1"/>
  <c r="B893" i="3" s="1"/>
  <c r="M893" i="3" s="1" a="1"/>
  <c r="M893" i="3" s="1"/>
  <c r="N892" i="3" a="1"/>
  <c r="N892" i="3" s="1"/>
  <c r="L892" i="3"/>
  <c r="K892" i="3"/>
  <c r="H892" i="3"/>
  <c r="G892" i="3"/>
  <c r="F892" i="3"/>
  <c r="D892" i="3" a="1"/>
  <c r="D892" i="3" s="1"/>
  <c r="C892" i="3" a="1"/>
  <c r="C892" i="3"/>
  <c r="B892" i="3" a="1"/>
  <c r="B892" i="3"/>
  <c r="M892" i="3" s="1" a="1"/>
  <c r="M892" i="3" s="1"/>
  <c r="N891" i="3" a="1"/>
  <c r="N891" i="3"/>
  <c r="L891" i="3"/>
  <c r="K891" i="3"/>
  <c r="I891" i="3"/>
  <c r="H891" i="3"/>
  <c r="J891" i="3" s="1"/>
  <c r="G891" i="3"/>
  <c r="F891" i="3"/>
  <c r="D891" i="3" a="1"/>
  <c r="D891" i="3" s="1"/>
  <c r="C891" i="3" a="1"/>
  <c r="C891" i="3" s="1"/>
  <c r="B891" i="3" a="1"/>
  <c r="B891" i="3" s="1"/>
  <c r="M891" i="3" s="1" a="1"/>
  <c r="M891" i="3" s="1"/>
  <c r="N890" i="3" a="1"/>
  <c r="N890" i="3" s="1"/>
  <c r="L890" i="3"/>
  <c r="K890" i="3"/>
  <c r="J890" i="3"/>
  <c r="H890" i="3"/>
  <c r="I890" i="3" s="1"/>
  <c r="G890" i="3"/>
  <c r="F890" i="3"/>
  <c r="D890" i="3" a="1"/>
  <c r="D890" i="3"/>
  <c r="C890" i="3" a="1"/>
  <c r="C890" i="3" s="1"/>
  <c r="B890" i="3" a="1"/>
  <c r="B890" i="3"/>
  <c r="M890" i="3" s="1" a="1"/>
  <c r="M890" i="3" s="1"/>
  <c r="N889" i="3" a="1"/>
  <c r="N889" i="3"/>
  <c r="L889" i="3"/>
  <c r="K889" i="3"/>
  <c r="H889" i="3"/>
  <c r="J889" i="3" s="1"/>
  <c r="G889" i="3"/>
  <c r="F889" i="3"/>
  <c r="D889" i="3" a="1"/>
  <c r="D889" i="3"/>
  <c r="C889" i="3" a="1"/>
  <c r="C889" i="3"/>
  <c r="B889" i="3" a="1"/>
  <c r="B889" i="3" s="1"/>
  <c r="M889" i="3" s="1" a="1"/>
  <c r="M889" i="3" s="1"/>
  <c r="N888" i="3" a="1"/>
  <c r="N888" i="3"/>
  <c r="M888" i="3"/>
  <c r="L888" i="3"/>
  <c r="K888" i="3"/>
  <c r="J888" i="3"/>
  <c r="I888" i="3"/>
  <c r="H888" i="3"/>
  <c r="G888" i="3"/>
  <c r="F888" i="3"/>
  <c r="D888" i="3" a="1"/>
  <c r="D888" i="3" s="1"/>
  <c r="C888" i="3" a="1"/>
  <c r="C888" i="3" s="1"/>
  <c r="B888" i="3" a="1"/>
  <c r="B888" i="3"/>
  <c r="M888" i="3" s="1" a="1"/>
  <c r="N887" i="3" a="1"/>
  <c r="N887" i="3" s="1"/>
  <c r="L887" i="3"/>
  <c r="K887" i="3"/>
  <c r="J887" i="3"/>
  <c r="H887" i="3"/>
  <c r="I887" i="3" s="1"/>
  <c r="G887" i="3"/>
  <c r="F887" i="3"/>
  <c r="D887" i="3" a="1"/>
  <c r="D887" i="3"/>
  <c r="C887" i="3" a="1"/>
  <c r="C887" i="3"/>
  <c r="B887" i="3" a="1"/>
  <c r="B887" i="3"/>
  <c r="M887" i="3" s="1" a="1"/>
  <c r="M887" i="3" s="1"/>
  <c r="N886" i="3" a="1"/>
  <c r="N886" i="3" s="1"/>
  <c r="L886" i="3"/>
  <c r="K886" i="3"/>
  <c r="J886" i="3"/>
  <c r="I886" i="3"/>
  <c r="H886" i="3"/>
  <c r="G886" i="3"/>
  <c r="F886" i="3"/>
  <c r="D886" i="3" a="1"/>
  <c r="D886" i="3" s="1"/>
  <c r="C886" i="3" a="1"/>
  <c r="C886" i="3" s="1"/>
  <c r="B886" i="3" a="1"/>
  <c r="B886" i="3" s="1"/>
  <c r="M886" i="3" s="1" a="1"/>
  <c r="M886" i="3" s="1"/>
  <c r="N885" i="3" a="1"/>
  <c r="N885" i="3" s="1"/>
  <c r="L885" i="3"/>
  <c r="K885" i="3"/>
  <c r="J885" i="3"/>
  <c r="H885" i="3"/>
  <c r="G885" i="3"/>
  <c r="F885" i="3"/>
  <c r="D885" i="3" a="1"/>
  <c r="D885" i="3" s="1"/>
  <c r="C885" i="3" a="1"/>
  <c r="C885" i="3" s="1"/>
  <c r="B885" i="3" a="1"/>
  <c r="B885" i="3" s="1"/>
  <c r="M885" i="3" s="1" a="1"/>
  <c r="M885" i="3" s="1"/>
  <c r="N884" i="3" a="1"/>
  <c r="N884" i="3" s="1"/>
  <c r="M884" i="3" a="1"/>
  <c r="M884" i="3"/>
  <c r="L884" i="3"/>
  <c r="K884" i="3"/>
  <c r="H884" i="3"/>
  <c r="I884" i="3" s="1"/>
  <c r="G884" i="3"/>
  <c r="F884" i="3"/>
  <c r="D884" i="3" a="1"/>
  <c r="D884" i="3"/>
  <c r="C884" i="3" a="1"/>
  <c r="C884" i="3"/>
  <c r="B884" i="3" a="1"/>
  <c r="B884" i="3"/>
  <c r="N883" i="3" a="1"/>
  <c r="N883" i="3"/>
  <c r="L883" i="3"/>
  <c r="K883" i="3"/>
  <c r="J883" i="3"/>
  <c r="I883" i="3"/>
  <c r="H883" i="3"/>
  <c r="G883" i="3"/>
  <c r="F883" i="3"/>
  <c r="D883" i="3" a="1"/>
  <c r="D883" i="3" s="1"/>
  <c r="C883" i="3" a="1"/>
  <c r="C883" i="3" s="1"/>
  <c r="B883" i="3" a="1"/>
  <c r="B883" i="3" s="1"/>
  <c r="M883" i="3" s="1" a="1"/>
  <c r="M883" i="3" s="1"/>
  <c r="N882" i="3" a="1"/>
  <c r="N882" i="3" s="1"/>
  <c r="M882" i="3" a="1"/>
  <c r="M882" i="3" s="1"/>
  <c r="L882" i="3"/>
  <c r="K882" i="3"/>
  <c r="H882" i="3"/>
  <c r="G882" i="3"/>
  <c r="F882" i="3"/>
  <c r="D882" i="3" a="1"/>
  <c r="D882" i="3"/>
  <c r="C882" i="3" a="1"/>
  <c r="C882" i="3"/>
  <c r="B882" i="3" a="1"/>
  <c r="B882" i="3"/>
  <c r="N881" i="3" a="1"/>
  <c r="N881" i="3"/>
  <c r="M881" i="3" a="1"/>
  <c r="M881" i="3"/>
  <c r="L881" i="3"/>
  <c r="K881" i="3"/>
  <c r="J881" i="3"/>
  <c r="H881" i="3"/>
  <c r="G881" i="3"/>
  <c r="F881" i="3"/>
  <c r="D881" i="3" a="1"/>
  <c r="D881" i="3"/>
  <c r="C881" i="3" a="1"/>
  <c r="C881" i="3"/>
  <c r="B881" i="3" a="1"/>
  <c r="B881" i="3"/>
  <c r="N880" i="3" a="1"/>
  <c r="N880" i="3"/>
  <c r="L880" i="3"/>
  <c r="K880" i="3"/>
  <c r="I880" i="3"/>
  <c r="H880" i="3"/>
  <c r="J880" i="3" s="1"/>
  <c r="G880" i="3"/>
  <c r="F880" i="3"/>
  <c r="D880" i="3" a="1"/>
  <c r="D880" i="3" s="1"/>
  <c r="C880" i="3" a="1"/>
  <c r="C880" i="3" s="1"/>
  <c r="B880" i="3" a="1"/>
  <c r="B880" i="3" s="1"/>
  <c r="M880" i="3" s="1" a="1"/>
  <c r="M880" i="3" s="1"/>
  <c r="N879" i="3" a="1"/>
  <c r="N879" i="3" s="1"/>
  <c r="L879" i="3"/>
  <c r="K879" i="3"/>
  <c r="J879" i="3"/>
  <c r="H879" i="3"/>
  <c r="I879" i="3" s="1"/>
  <c r="G879" i="3"/>
  <c r="F879" i="3"/>
  <c r="D879" i="3" a="1"/>
  <c r="D879" i="3"/>
  <c r="C879" i="3" a="1"/>
  <c r="C879" i="3"/>
  <c r="B879" i="3" a="1"/>
  <c r="B879" i="3"/>
  <c r="M879" i="3" s="1" a="1"/>
  <c r="M879" i="3" s="1"/>
  <c r="N878" i="3" a="1"/>
  <c r="N878" i="3"/>
  <c r="M878" i="3"/>
  <c r="L878" i="3"/>
  <c r="K878" i="3"/>
  <c r="J878" i="3"/>
  <c r="I878" i="3"/>
  <c r="H878" i="3"/>
  <c r="G878" i="3"/>
  <c r="F878" i="3"/>
  <c r="D878" i="3" a="1"/>
  <c r="D878" i="3" s="1"/>
  <c r="C878" i="3" a="1"/>
  <c r="C878" i="3" s="1"/>
  <c r="B878" i="3" a="1"/>
  <c r="B878" i="3" s="1"/>
  <c r="M878" i="3" s="1" a="1"/>
  <c r="N877" i="3" a="1"/>
  <c r="N877" i="3" s="1"/>
  <c r="L877" i="3"/>
  <c r="K877" i="3"/>
  <c r="J877" i="3"/>
  <c r="H877" i="3"/>
  <c r="G877" i="3"/>
  <c r="F877" i="3"/>
  <c r="D877" i="3" a="1"/>
  <c r="D877" i="3" s="1"/>
  <c r="C877" i="3" a="1"/>
  <c r="C877" i="3" s="1"/>
  <c r="B877" i="3" a="1"/>
  <c r="B877" i="3" s="1"/>
  <c r="M877" i="3" s="1" a="1"/>
  <c r="M877" i="3" s="1"/>
  <c r="N876" i="3" a="1"/>
  <c r="N876" i="3" s="1"/>
  <c r="M876" i="3" a="1"/>
  <c r="M876" i="3" s="1"/>
  <c r="L876" i="3"/>
  <c r="K876" i="3"/>
  <c r="J876" i="3"/>
  <c r="H876" i="3"/>
  <c r="I876" i="3" s="1"/>
  <c r="G876" i="3"/>
  <c r="F876" i="3"/>
  <c r="D876" i="3" a="1"/>
  <c r="D876" i="3"/>
  <c r="C876" i="3" a="1"/>
  <c r="C876" i="3" s="1"/>
  <c r="B876" i="3" a="1"/>
  <c r="B876" i="3"/>
  <c r="N875" i="3" a="1"/>
  <c r="N875" i="3"/>
  <c r="L875" i="3"/>
  <c r="K875" i="3"/>
  <c r="I875" i="3"/>
  <c r="H875" i="3"/>
  <c r="J875" i="3" s="1"/>
  <c r="G875" i="3"/>
  <c r="F875" i="3"/>
  <c r="D875" i="3" a="1"/>
  <c r="D875" i="3" s="1"/>
  <c r="C875" i="3" a="1"/>
  <c r="C875" i="3" s="1"/>
  <c r="B875" i="3" a="1"/>
  <c r="B875" i="3" s="1"/>
  <c r="M875" i="3" s="1" a="1"/>
  <c r="M875" i="3" s="1"/>
  <c r="N874" i="3" a="1"/>
  <c r="N874" i="3" s="1"/>
  <c r="L874" i="3"/>
  <c r="K874" i="3"/>
  <c r="H874" i="3"/>
  <c r="G874" i="3"/>
  <c r="F874" i="3"/>
  <c r="D874" i="3" a="1"/>
  <c r="D874" i="3"/>
  <c r="C874" i="3" a="1"/>
  <c r="C874" i="3"/>
  <c r="B874" i="3" a="1"/>
  <c r="B874" i="3" s="1"/>
  <c r="M874" i="3" s="1" a="1"/>
  <c r="M874" i="3" s="1"/>
  <c r="N873" i="3" a="1"/>
  <c r="N873" i="3"/>
  <c r="L873" i="3"/>
  <c r="K873" i="3"/>
  <c r="J873" i="3"/>
  <c r="I873" i="3"/>
  <c r="H873" i="3"/>
  <c r="G873" i="3"/>
  <c r="F873" i="3"/>
  <c r="D873" i="3" a="1"/>
  <c r="D873" i="3" s="1"/>
  <c r="C873" i="3" a="1"/>
  <c r="C873" i="3" s="1"/>
  <c r="B873" i="3" a="1"/>
  <c r="B873" i="3" s="1"/>
  <c r="M873" i="3" s="1" a="1"/>
  <c r="M873" i="3" s="1"/>
  <c r="N872" i="3" a="1"/>
  <c r="N872" i="3" s="1"/>
  <c r="L872" i="3"/>
  <c r="K872" i="3"/>
  <c r="J872" i="3"/>
  <c r="H872" i="3"/>
  <c r="I872" i="3" s="1"/>
  <c r="G872" i="3"/>
  <c r="F872" i="3"/>
  <c r="D872" i="3" a="1"/>
  <c r="D872" i="3"/>
  <c r="C872" i="3" a="1"/>
  <c r="C872" i="3"/>
  <c r="B872" i="3" a="1"/>
  <c r="B872" i="3"/>
  <c r="M872" i="3" s="1" a="1"/>
  <c r="M872" i="3" s="1"/>
  <c r="N871" i="3" a="1"/>
  <c r="N871" i="3" s="1"/>
  <c r="L871" i="3"/>
  <c r="K871" i="3"/>
  <c r="J871" i="3"/>
  <c r="I871" i="3"/>
  <c r="H871" i="3"/>
  <c r="G871" i="3"/>
  <c r="F871" i="3"/>
  <c r="D871" i="3" a="1"/>
  <c r="D871" i="3" s="1"/>
  <c r="C871" i="3" a="1"/>
  <c r="C871" i="3" s="1"/>
  <c r="B871" i="3" a="1"/>
  <c r="B871" i="3" s="1"/>
  <c r="M871" i="3" s="1" a="1"/>
  <c r="M871" i="3" s="1"/>
  <c r="N870" i="3" a="1"/>
  <c r="N870" i="3"/>
  <c r="L870" i="3"/>
  <c r="K870" i="3"/>
  <c r="J870" i="3"/>
  <c r="H870" i="3"/>
  <c r="G870" i="3"/>
  <c r="F870" i="3"/>
  <c r="D870" i="3" a="1"/>
  <c r="D870" i="3" s="1"/>
  <c r="C870" i="3" a="1"/>
  <c r="C870" i="3" s="1"/>
  <c r="B870" i="3" a="1"/>
  <c r="B870" i="3" s="1"/>
  <c r="M870" i="3" s="1" a="1"/>
  <c r="M870" i="3" s="1"/>
  <c r="N869" i="3" a="1"/>
  <c r="N869" i="3" s="1"/>
  <c r="M869" i="3" a="1"/>
  <c r="M869" i="3"/>
  <c r="L869" i="3"/>
  <c r="K869" i="3"/>
  <c r="H869" i="3"/>
  <c r="I869" i="3" s="1"/>
  <c r="G869" i="3"/>
  <c r="F869" i="3"/>
  <c r="D869" i="3" a="1"/>
  <c r="D869" i="3"/>
  <c r="C869" i="3" a="1"/>
  <c r="C869" i="3"/>
  <c r="B869" i="3" a="1"/>
  <c r="B869" i="3"/>
  <c r="N868" i="3" a="1"/>
  <c r="N868" i="3"/>
  <c r="L868" i="3"/>
  <c r="K868" i="3"/>
  <c r="J868" i="3"/>
  <c r="I868" i="3"/>
  <c r="H868" i="3"/>
  <c r="G868" i="3"/>
  <c r="F868" i="3"/>
  <c r="D868" i="3" a="1"/>
  <c r="D868" i="3" s="1"/>
  <c r="C868" i="3" a="1"/>
  <c r="C868" i="3" s="1"/>
  <c r="B868" i="3" a="1"/>
  <c r="B868" i="3" s="1"/>
  <c r="M868" i="3" s="1" a="1"/>
  <c r="M868" i="3" s="1"/>
  <c r="N867" i="3" a="1"/>
  <c r="N867" i="3" s="1"/>
  <c r="L867" i="3"/>
  <c r="K867" i="3"/>
  <c r="H867" i="3"/>
  <c r="G867" i="3"/>
  <c r="F867" i="3"/>
  <c r="D867" i="3" a="1"/>
  <c r="D867" i="3"/>
  <c r="C867" i="3" a="1"/>
  <c r="C867" i="3"/>
  <c r="B867" i="3" a="1"/>
  <c r="B867" i="3"/>
  <c r="M867" i="3" s="1" a="1"/>
  <c r="M867" i="3" s="1"/>
  <c r="N866" i="3" a="1"/>
  <c r="N866" i="3"/>
  <c r="M866" i="3" a="1"/>
  <c r="M866" i="3"/>
  <c r="L866" i="3"/>
  <c r="K866" i="3"/>
  <c r="J866" i="3"/>
  <c r="H866" i="3"/>
  <c r="G866" i="3"/>
  <c r="F866" i="3"/>
  <c r="D866" i="3" a="1"/>
  <c r="D866" i="3"/>
  <c r="C866" i="3" a="1"/>
  <c r="C866" i="3"/>
  <c r="B866" i="3" a="1"/>
  <c r="B866" i="3"/>
  <c r="N865" i="3" a="1"/>
  <c r="N865" i="3"/>
  <c r="L865" i="3"/>
  <c r="K865" i="3"/>
  <c r="H865" i="3"/>
  <c r="J865" i="3" s="1"/>
  <c r="G865" i="3"/>
  <c r="F865" i="3"/>
  <c r="D865" i="3" a="1"/>
  <c r="D865" i="3" s="1"/>
  <c r="C865" i="3" a="1"/>
  <c r="C865" i="3" s="1"/>
  <c r="B865" i="3" a="1"/>
  <c r="B865" i="3" s="1"/>
  <c r="M865" i="3" s="1" a="1"/>
  <c r="M865" i="3" s="1"/>
  <c r="N864" i="3" a="1"/>
  <c r="N864" i="3" s="1"/>
  <c r="M864" i="3" a="1"/>
  <c r="M864" i="3" s="1"/>
  <c r="L864" i="3"/>
  <c r="K864" i="3"/>
  <c r="H864" i="3"/>
  <c r="I864" i="3" s="1"/>
  <c r="G864" i="3"/>
  <c r="F864" i="3"/>
  <c r="D864" i="3" a="1"/>
  <c r="D864" i="3"/>
  <c r="C864" i="3" a="1"/>
  <c r="C864" i="3"/>
  <c r="B864" i="3" a="1"/>
  <c r="B864" i="3"/>
  <c r="N863" i="3" a="1"/>
  <c r="N863" i="3"/>
  <c r="L863" i="3"/>
  <c r="K863" i="3"/>
  <c r="J863" i="3"/>
  <c r="I863" i="3"/>
  <c r="H863" i="3"/>
  <c r="G863" i="3"/>
  <c r="F863" i="3"/>
  <c r="D863" i="3" a="1"/>
  <c r="D863" i="3" s="1"/>
  <c r="C863" i="3" a="1"/>
  <c r="C863" i="3" s="1"/>
  <c r="B863" i="3" a="1"/>
  <c r="B863" i="3" s="1"/>
  <c r="M863" i="3" s="1" a="1"/>
  <c r="M863" i="3" s="1"/>
  <c r="N862" i="3" a="1"/>
  <c r="N862" i="3" s="1"/>
  <c r="L862" i="3"/>
  <c r="K862" i="3"/>
  <c r="J862" i="3"/>
  <c r="H862" i="3"/>
  <c r="G862" i="3"/>
  <c r="F862" i="3"/>
  <c r="D862" i="3" a="1"/>
  <c r="D862" i="3"/>
  <c r="C862" i="3" a="1"/>
  <c r="C862" i="3" s="1"/>
  <c r="B862" i="3" a="1"/>
  <c r="B862" i="3" s="1"/>
  <c r="M862" i="3" s="1" a="1"/>
  <c r="M862" i="3" s="1"/>
  <c r="N861" i="3" a="1"/>
  <c r="N861" i="3" s="1"/>
  <c r="L861" i="3"/>
  <c r="K861" i="3"/>
  <c r="H861" i="3"/>
  <c r="I861" i="3" s="1"/>
  <c r="G861" i="3"/>
  <c r="F861" i="3"/>
  <c r="D861" i="3" a="1"/>
  <c r="D861" i="3"/>
  <c r="C861" i="3" a="1"/>
  <c r="C861" i="3" s="1"/>
  <c r="B861" i="3" a="1"/>
  <c r="B861" i="3"/>
  <c r="M861" i="3" s="1" a="1"/>
  <c r="M861" i="3" s="1"/>
  <c r="N860" i="3" a="1"/>
  <c r="N860" i="3"/>
  <c r="M860" i="3"/>
  <c r="L860" i="3"/>
  <c r="K860" i="3"/>
  <c r="I860" i="3"/>
  <c r="H860" i="3"/>
  <c r="J860" i="3" s="1"/>
  <c r="G860" i="3"/>
  <c r="F860" i="3"/>
  <c r="D860" i="3" a="1"/>
  <c r="D860" i="3" s="1"/>
  <c r="C860" i="3" a="1"/>
  <c r="C860" i="3" s="1"/>
  <c r="B860" i="3" a="1"/>
  <c r="B860" i="3" s="1"/>
  <c r="M860" i="3" s="1" a="1"/>
  <c r="N859" i="3" a="1"/>
  <c r="N859" i="3" s="1"/>
  <c r="M859" i="3" a="1"/>
  <c r="M859" i="3" s="1"/>
  <c r="L859" i="3"/>
  <c r="K859" i="3"/>
  <c r="H859" i="3"/>
  <c r="G859" i="3"/>
  <c r="F859" i="3"/>
  <c r="D859" i="3" a="1"/>
  <c r="D859" i="3"/>
  <c r="C859" i="3" a="1"/>
  <c r="C859" i="3"/>
  <c r="B859" i="3" a="1"/>
  <c r="B859" i="3"/>
  <c r="N858" i="3" a="1"/>
  <c r="N858" i="3"/>
  <c r="L858" i="3"/>
  <c r="K858" i="3"/>
  <c r="H858" i="3"/>
  <c r="J858" i="3" s="1"/>
  <c r="G858" i="3"/>
  <c r="F858" i="3"/>
  <c r="D858" i="3" a="1"/>
  <c r="D858" i="3"/>
  <c r="C858" i="3" a="1"/>
  <c r="C858" i="3"/>
  <c r="B858" i="3" a="1"/>
  <c r="B858" i="3"/>
  <c r="M858" i="3" s="1" a="1"/>
  <c r="M858" i="3" s="1"/>
  <c r="N857" i="3" a="1"/>
  <c r="N857" i="3"/>
  <c r="L857" i="3"/>
  <c r="K857" i="3"/>
  <c r="J857" i="3"/>
  <c r="I857" i="3"/>
  <c r="H857" i="3"/>
  <c r="G857" i="3"/>
  <c r="F857" i="3"/>
  <c r="D857" i="3" a="1"/>
  <c r="D857" i="3" s="1"/>
  <c r="C857" i="3" a="1"/>
  <c r="C857" i="3" s="1"/>
  <c r="B857" i="3" a="1"/>
  <c r="B857" i="3" s="1"/>
  <c r="M857" i="3" s="1" a="1"/>
  <c r="M857" i="3" s="1"/>
  <c r="N856" i="3" a="1"/>
  <c r="N856" i="3"/>
  <c r="M856" i="3" a="1"/>
  <c r="M856" i="3" s="1"/>
  <c r="L856" i="3"/>
  <c r="K856" i="3"/>
  <c r="H856" i="3"/>
  <c r="I856" i="3" s="1"/>
  <c r="G856" i="3"/>
  <c r="F856" i="3"/>
  <c r="D856" i="3" a="1"/>
  <c r="D856" i="3"/>
  <c r="C856" i="3" a="1"/>
  <c r="C856" i="3"/>
  <c r="B856" i="3" a="1"/>
  <c r="B856" i="3"/>
  <c r="N855" i="3" a="1"/>
  <c r="N855" i="3"/>
  <c r="M855" i="3" a="1"/>
  <c r="M855" i="3" s="1"/>
  <c r="L855" i="3"/>
  <c r="K855" i="3"/>
  <c r="I855" i="3"/>
  <c r="H855" i="3"/>
  <c r="J855" i="3" s="1"/>
  <c r="G855" i="3"/>
  <c r="F855" i="3"/>
  <c r="D855" i="3" a="1"/>
  <c r="D855" i="3" s="1"/>
  <c r="C855" i="3" a="1"/>
  <c r="C855" i="3" s="1"/>
  <c r="B855" i="3" a="1"/>
  <c r="B855" i="3"/>
  <c r="N854" i="3" a="1"/>
  <c r="N854" i="3" s="1"/>
  <c r="M854" i="3" a="1"/>
  <c r="M854" i="3" s="1"/>
  <c r="L854" i="3"/>
  <c r="K854" i="3"/>
  <c r="J854" i="3"/>
  <c r="H854" i="3"/>
  <c r="G854" i="3"/>
  <c r="F854" i="3"/>
  <c r="D854" i="3" a="1"/>
  <c r="D854" i="3" s="1"/>
  <c r="C854" i="3" a="1"/>
  <c r="C854" i="3" s="1"/>
  <c r="B854" i="3" a="1"/>
  <c r="B854" i="3" s="1"/>
  <c r="N853" i="3" a="1"/>
  <c r="N853" i="3"/>
  <c r="M853" i="3" a="1"/>
  <c r="M853" i="3" s="1"/>
  <c r="L853" i="3"/>
  <c r="K853" i="3"/>
  <c r="H853" i="3"/>
  <c r="I853" i="3" s="1"/>
  <c r="G853" i="3"/>
  <c r="F853" i="3"/>
  <c r="D853" i="3" a="1"/>
  <c r="D853" i="3"/>
  <c r="C853" i="3" a="1"/>
  <c r="C853" i="3"/>
  <c r="B853" i="3" a="1"/>
  <c r="B853" i="3"/>
  <c r="N852" i="3" a="1"/>
  <c r="N852" i="3"/>
  <c r="M852" i="3" a="1"/>
  <c r="M852" i="3"/>
  <c r="L852" i="3"/>
  <c r="K852" i="3"/>
  <c r="J852" i="3"/>
  <c r="I852" i="3"/>
  <c r="H852" i="3"/>
  <c r="G852" i="3"/>
  <c r="F852" i="3"/>
  <c r="D852" i="3" a="1"/>
  <c r="D852" i="3"/>
  <c r="C852" i="3" a="1"/>
  <c r="C852" i="3" s="1"/>
  <c r="B852" i="3" a="1"/>
  <c r="B852" i="3" s="1"/>
  <c r="N851" i="3" a="1"/>
  <c r="N851" i="3" s="1"/>
  <c r="M851" i="3" a="1"/>
  <c r="M851" i="3"/>
  <c r="L851" i="3"/>
  <c r="K851" i="3"/>
  <c r="H851" i="3"/>
  <c r="J851" i="3" s="1"/>
  <c r="G851" i="3"/>
  <c r="F851" i="3"/>
  <c r="D851" i="3" a="1"/>
  <c r="D851" i="3"/>
  <c r="C851" i="3" a="1"/>
  <c r="C851" i="3" s="1"/>
  <c r="B851" i="3" a="1"/>
  <c r="B851" i="3"/>
  <c r="N850" i="3" a="1"/>
  <c r="N850" i="3"/>
  <c r="M850" i="3"/>
  <c r="L850" i="3"/>
  <c r="K850" i="3"/>
  <c r="H850" i="3"/>
  <c r="J850" i="3" s="1"/>
  <c r="G850" i="3"/>
  <c r="F850" i="3"/>
  <c r="D850" i="3" a="1"/>
  <c r="D850" i="3"/>
  <c r="C850" i="3" a="1"/>
  <c r="C850" i="3"/>
  <c r="B850" i="3" a="1"/>
  <c r="B850" i="3"/>
  <c r="M850" i="3" s="1" a="1"/>
  <c r="N849" i="3" a="1"/>
  <c r="N849" i="3"/>
  <c r="M849" i="3"/>
  <c r="L849" i="3"/>
  <c r="K849" i="3"/>
  <c r="J849" i="3"/>
  <c r="I849" i="3"/>
  <c r="H849" i="3"/>
  <c r="G849" i="3"/>
  <c r="F849" i="3"/>
  <c r="D849" i="3" a="1"/>
  <c r="D849" i="3" s="1"/>
  <c r="C849" i="3" a="1"/>
  <c r="C849" i="3" s="1"/>
  <c r="B849" i="3" a="1"/>
  <c r="B849" i="3"/>
  <c r="M849" i="3" s="1" a="1"/>
  <c r="N848" i="3" a="1"/>
  <c r="N848" i="3" s="1"/>
  <c r="L848" i="3"/>
  <c r="K848" i="3"/>
  <c r="J848" i="3"/>
  <c r="I848" i="3"/>
  <c r="H848" i="3"/>
  <c r="G848" i="3"/>
  <c r="F848" i="3"/>
  <c r="D848" i="3" a="1"/>
  <c r="D848" i="3" s="1"/>
  <c r="C848" i="3" a="1"/>
  <c r="C848" i="3"/>
  <c r="B848" i="3" a="1"/>
  <c r="B848" i="3"/>
  <c r="M848" i="3" s="1" a="1"/>
  <c r="M848" i="3" s="1"/>
  <c r="N847" i="3" a="1"/>
  <c r="N847" i="3" s="1"/>
  <c r="L847" i="3"/>
  <c r="K847" i="3"/>
  <c r="H847" i="3"/>
  <c r="J847" i="3" s="1"/>
  <c r="G847" i="3"/>
  <c r="F847" i="3"/>
  <c r="D847" i="3" a="1"/>
  <c r="D847" i="3" s="1"/>
  <c r="C847" i="3" a="1"/>
  <c r="C847" i="3" s="1"/>
  <c r="B847" i="3" a="1"/>
  <c r="B847" i="3" s="1"/>
  <c r="M847" i="3" s="1" a="1"/>
  <c r="M847" i="3" s="1"/>
  <c r="N846" i="3" a="1"/>
  <c r="N846" i="3"/>
  <c r="L846" i="3"/>
  <c r="K846" i="3"/>
  <c r="J846" i="3"/>
  <c r="H846" i="3"/>
  <c r="G846" i="3"/>
  <c r="F846" i="3"/>
  <c r="D846" i="3" a="1"/>
  <c r="D846" i="3" s="1"/>
  <c r="C846" i="3" a="1"/>
  <c r="C846" i="3"/>
  <c r="B846" i="3" a="1"/>
  <c r="B846" i="3" s="1"/>
  <c r="M846" i="3" s="1" a="1"/>
  <c r="M846" i="3" s="1"/>
  <c r="N845" i="3" a="1"/>
  <c r="N845" i="3" s="1"/>
  <c r="M845" i="3" a="1"/>
  <c r="M845" i="3" s="1"/>
  <c r="L845" i="3"/>
  <c r="K845" i="3"/>
  <c r="H845" i="3"/>
  <c r="I845" i="3" s="1"/>
  <c r="G845" i="3"/>
  <c r="F845" i="3"/>
  <c r="D845" i="3" a="1"/>
  <c r="D845" i="3" s="1"/>
  <c r="C845" i="3" a="1"/>
  <c r="C845" i="3"/>
  <c r="B845" i="3" a="1"/>
  <c r="B845" i="3"/>
  <c r="N844" i="3" a="1"/>
  <c r="N844" i="3"/>
  <c r="M844" i="3"/>
  <c r="L844" i="3"/>
  <c r="K844" i="3"/>
  <c r="J844" i="3"/>
  <c r="I844" i="3"/>
  <c r="H844" i="3"/>
  <c r="G844" i="3"/>
  <c r="F844" i="3"/>
  <c r="D844" i="3" a="1"/>
  <c r="D844" i="3" s="1"/>
  <c r="C844" i="3" a="1"/>
  <c r="C844" i="3" s="1"/>
  <c r="B844" i="3" a="1"/>
  <c r="B844" i="3"/>
  <c r="M844" i="3" s="1" a="1"/>
  <c r="N843" i="3" a="1"/>
  <c r="N843" i="3" s="1"/>
  <c r="L843" i="3"/>
  <c r="K843" i="3"/>
  <c r="H843" i="3"/>
  <c r="I843" i="3" s="1"/>
  <c r="G843" i="3"/>
  <c r="F843" i="3"/>
  <c r="D843" i="3" a="1"/>
  <c r="D843" i="3"/>
  <c r="C843" i="3" a="1"/>
  <c r="C843" i="3"/>
  <c r="B843" i="3" a="1"/>
  <c r="B843" i="3" s="1"/>
  <c r="M843" i="3" s="1" a="1"/>
  <c r="M843" i="3" s="1"/>
  <c r="N842" i="3" a="1"/>
  <c r="N842" i="3" s="1"/>
  <c r="L842" i="3"/>
  <c r="K842" i="3"/>
  <c r="J842" i="3"/>
  <c r="H842" i="3"/>
  <c r="G842" i="3"/>
  <c r="F842" i="3"/>
  <c r="D842" i="3" a="1"/>
  <c r="D842" i="3"/>
  <c r="C842" i="3" a="1"/>
  <c r="C842" i="3"/>
  <c r="B842" i="3" a="1"/>
  <c r="B842" i="3" s="1"/>
  <c r="M842" i="3" s="1" a="1"/>
  <c r="M842" i="3" s="1"/>
  <c r="N841" i="3" a="1"/>
  <c r="N841" i="3" s="1"/>
  <c r="L841" i="3"/>
  <c r="K841" i="3"/>
  <c r="H841" i="3"/>
  <c r="J841" i="3" s="1"/>
  <c r="G841" i="3"/>
  <c r="F841" i="3"/>
  <c r="D841" i="3" a="1"/>
  <c r="D841" i="3" s="1"/>
  <c r="C841" i="3" a="1"/>
  <c r="C841" i="3" s="1"/>
  <c r="B841" i="3" a="1"/>
  <c r="B841" i="3" s="1"/>
  <c r="M841" i="3" s="1" a="1"/>
  <c r="M841" i="3" s="1"/>
  <c r="N840" i="3" a="1"/>
  <c r="N840" i="3"/>
  <c r="L840" i="3"/>
  <c r="K840" i="3"/>
  <c r="H840" i="3"/>
  <c r="I840" i="3" s="1"/>
  <c r="G840" i="3"/>
  <c r="F840" i="3"/>
  <c r="D840" i="3" a="1"/>
  <c r="D840" i="3"/>
  <c r="C840" i="3" a="1"/>
  <c r="C840" i="3"/>
  <c r="B840" i="3" a="1"/>
  <c r="B840" i="3"/>
  <c r="M840" i="3" s="1" a="1"/>
  <c r="M840" i="3" s="1"/>
  <c r="N839" i="3" a="1"/>
  <c r="N839" i="3" s="1"/>
  <c r="L839" i="3"/>
  <c r="K839" i="3"/>
  <c r="J839" i="3"/>
  <c r="I839" i="3"/>
  <c r="H839" i="3"/>
  <c r="G839" i="3"/>
  <c r="F839" i="3"/>
  <c r="D839" i="3" a="1"/>
  <c r="D839" i="3" s="1"/>
  <c r="C839" i="3" a="1"/>
  <c r="C839" i="3" s="1"/>
  <c r="B839" i="3" a="1"/>
  <c r="B839" i="3" s="1"/>
  <c r="M839" i="3" s="1" a="1"/>
  <c r="M839" i="3" s="1"/>
  <c r="N838" i="3" a="1"/>
  <c r="N838" i="3" s="1"/>
  <c r="L838" i="3"/>
  <c r="K838" i="3"/>
  <c r="J838" i="3"/>
  <c r="H838" i="3"/>
  <c r="G838" i="3"/>
  <c r="F838" i="3"/>
  <c r="D838" i="3" a="1"/>
  <c r="D838" i="3" s="1"/>
  <c r="C838" i="3" a="1"/>
  <c r="C838" i="3" s="1"/>
  <c r="B838" i="3" a="1"/>
  <c r="B838" i="3" s="1"/>
  <c r="M838" i="3" s="1" a="1"/>
  <c r="M838" i="3" s="1"/>
  <c r="N837" i="3" a="1"/>
  <c r="N837" i="3" s="1"/>
  <c r="L837" i="3"/>
  <c r="K837" i="3"/>
  <c r="H837" i="3"/>
  <c r="J837" i="3" s="1"/>
  <c r="G837" i="3"/>
  <c r="F837" i="3"/>
  <c r="D837" i="3" a="1"/>
  <c r="D837" i="3"/>
  <c r="C837" i="3" a="1"/>
  <c r="C837" i="3" s="1"/>
  <c r="B837" i="3" a="1"/>
  <c r="B837" i="3"/>
  <c r="M837" i="3" s="1" a="1"/>
  <c r="M837" i="3" s="1"/>
  <c r="N836" i="3" a="1"/>
  <c r="N836" i="3"/>
  <c r="M836" i="3"/>
  <c r="L836" i="3"/>
  <c r="K836" i="3"/>
  <c r="J836" i="3"/>
  <c r="I836" i="3"/>
  <c r="H836" i="3"/>
  <c r="G836" i="3"/>
  <c r="F836" i="3"/>
  <c r="D836" i="3" a="1"/>
  <c r="D836" i="3" s="1"/>
  <c r="C836" i="3" a="1"/>
  <c r="C836" i="3" s="1"/>
  <c r="B836" i="3" a="1"/>
  <c r="B836" i="3" s="1"/>
  <c r="M836" i="3" s="1" a="1"/>
  <c r="N835" i="3" a="1"/>
  <c r="N835" i="3" s="1"/>
  <c r="L835" i="3"/>
  <c r="K835" i="3"/>
  <c r="I835" i="3"/>
  <c r="H835" i="3"/>
  <c r="J835" i="3" s="1"/>
  <c r="G835" i="3"/>
  <c r="F835" i="3"/>
  <c r="D835" i="3" a="1"/>
  <c r="D835" i="3"/>
  <c r="C835" i="3" a="1"/>
  <c r="C835" i="3"/>
  <c r="B835" i="3" a="1"/>
  <c r="B835" i="3"/>
  <c r="M835" i="3" s="1" a="1"/>
  <c r="M835" i="3" s="1"/>
  <c r="N834" i="3" a="1"/>
  <c r="N834" i="3"/>
  <c r="L834" i="3"/>
  <c r="K834" i="3"/>
  <c r="J834" i="3"/>
  <c r="H834" i="3"/>
  <c r="I834" i="3" s="1"/>
  <c r="G834" i="3"/>
  <c r="F834" i="3"/>
  <c r="D834" i="3" a="1"/>
  <c r="D834" i="3"/>
  <c r="C834" i="3" a="1"/>
  <c r="C834" i="3" s="1"/>
  <c r="B834" i="3" a="1"/>
  <c r="B834" i="3" s="1"/>
  <c r="M834" i="3" s="1" a="1"/>
  <c r="M834" i="3" s="1"/>
  <c r="N833" i="3" a="1"/>
  <c r="N833" i="3"/>
  <c r="M833" i="3" a="1"/>
  <c r="M833" i="3" s="1"/>
  <c r="L833" i="3"/>
  <c r="K833" i="3"/>
  <c r="J833" i="3"/>
  <c r="I833" i="3"/>
  <c r="H833" i="3"/>
  <c r="G833" i="3"/>
  <c r="F833" i="3"/>
  <c r="D833" i="3" a="1"/>
  <c r="D833" i="3"/>
  <c r="C833" i="3" a="1"/>
  <c r="C833" i="3" s="1"/>
  <c r="B833" i="3" a="1"/>
  <c r="B833" i="3"/>
  <c r="N832" i="3" a="1"/>
  <c r="N832" i="3" s="1"/>
  <c r="L832" i="3"/>
  <c r="K832" i="3"/>
  <c r="H832" i="3"/>
  <c r="J832" i="3" s="1"/>
  <c r="G832" i="3"/>
  <c r="F832" i="3"/>
  <c r="D832" i="3" a="1"/>
  <c r="D832" i="3" s="1"/>
  <c r="C832" i="3" a="1"/>
  <c r="C832" i="3"/>
  <c r="B832" i="3" a="1"/>
  <c r="B832" i="3" s="1"/>
  <c r="M832" i="3" s="1" a="1"/>
  <c r="M832" i="3" s="1"/>
  <c r="N831" i="3" a="1"/>
  <c r="N831" i="3"/>
  <c r="M831" i="3" a="1"/>
  <c r="M831" i="3" s="1"/>
  <c r="L831" i="3"/>
  <c r="K831" i="3"/>
  <c r="J831" i="3"/>
  <c r="H831" i="3"/>
  <c r="G831" i="3"/>
  <c r="F831" i="3"/>
  <c r="D831" i="3" a="1"/>
  <c r="D831" i="3" s="1"/>
  <c r="C831" i="3" a="1"/>
  <c r="C831" i="3"/>
  <c r="B831" i="3" a="1"/>
  <c r="B831" i="3"/>
  <c r="N830" i="3" a="1"/>
  <c r="N830" i="3" s="1"/>
  <c r="L830" i="3"/>
  <c r="K830" i="3"/>
  <c r="J830" i="3"/>
  <c r="H830" i="3"/>
  <c r="I830" i="3" s="1"/>
  <c r="G830" i="3"/>
  <c r="F830" i="3"/>
  <c r="D830" i="3" a="1"/>
  <c r="D830" i="3" s="1"/>
  <c r="C830" i="3" a="1"/>
  <c r="C830" i="3"/>
  <c r="B830" i="3" a="1"/>
  <c r="B830" i="3" s="1"/>
  <c r="M830" i="3" s="1" a="1"/>
  <c r="M830" i="3" s="1"/>
  <c r="N829" i="3" a="1"/>
  <c r="N829" i="3" s="1"/>
  <c r="L829" i="3"/>
  <c r="K829" i="3"/>
  <c r="J829" i="3"/>
  <c r="I829" i="3"/>
  <c r="H829" i="3"/>
  <c r="G829" i="3"/>
  <c r="F829" i="3"/>
  <c r="D829" i="3" a="1"/>
  <c r="D829" i="3"/>
  <c r="C829" i="3" a="1"/>
  <c r="C829" i="3" s="1"/>
  <c r="B829" i="3" a="1"/>
  <c r="B829" i="3"/>
  <c r="M829" i="3" s="1" a="1"/>
  <c r="M829" i="3" s="1"/>
  <c r="N828" i="3" a="1"/>
  <c r="N828" i="3" s="1"/>
  <c r="M828" i="3" a="1"/>
  <c r="M828" i="3" s="1"/>
  <c r="L828" i="3"/>
  <c r="K828" i="3"/>
  <c r="J828" i="3"/>
  <c r="H828" i="3"/>
  <c r="I828" i="3" s="1"/>
  <c r="G828" i="3"/>
  <c r="F828" i="3"/>
  <c r="D828" i="3" a="1"/>
  <c r="D828" i="3"/>
  <c r="C828" i="3" a="1"/>
  <c r="C828" i="3"/>
  <c r="B828" i="3" a="1"/>
  <c r="B828" i="3"/>
  <c r="N827" i="3" a="1"/>
  <c r="N827" i="3" s="1"/>
  <c r="L827" i="3"/>
  <c r="K827" i="3"/>
  <c r="J827" i="3"/>
  <c r="H827" i="3"/>
  <c r="G827" i="3"/>
  <c r="F827" i="3"/>
  <c r="D827" i="3" a="1"/>
  <c r="D827" i="3"/>
  <c r="C827" i="3" a="1"/>
  <c r="C827" i="3"/>
  <c r="B827" i="3" a="1"/>
  <c r="B827" i="3"/>
  <c r="M827" i="3" s="1" a="1"/>
  <c r="M827" i="3" s="1"/>
  <c r="N826" i="3" a="1"/>
  <c r="N826" i="3" s="1"/>
  <c r="M826" i="3" a="1"/>
  <c r="M826" i="3" s="1"/>
  <c r="L826" i="3"/>
  <c r="K826" i="3"/>
  <c r="H826" i="3"/>
  <c r="J826" i="3" s="1"/>
  <c r="G826" i="3"/>
  <c r="F826" i="3"/>
  <c r="D826" i="3" a="1"/>
  <c r="D826" i="3" s="1"/>
  <c r="C826" i="3" a="1"/>
  <c r="C826" i="3" s="1"/>
  <c r="B826" i="3" a="1"/>
  <c r="B826" i="3"/>
  <c r="N825" i="3" a="1"/>
  <c r="N825" i="3"/>
  <c r="L825" i="3"/>
  <c r="K825" i="3"/>
  <c r="I825" i="3"/>
  <c r="H825" i="3"/>
  <c r="J825" i="3" s="1"/>
  <c r="G825" i="3"/>
  <c r="F825" i="3"/>
  <c r="D825" i="3" a="1"/>
  <c r="D825" i="3" s="1"/>
  <c r="C825" i="3" a="1"/>
  <c r="C825" i="3"/>
  <c r="B825" i="3" a="1"/>
  <c r="B825" i="3" s="1"/>
  <c r="M825" i="3" s="1" a="1"/>
  <c r="M825" i="3" s="1"/>
  <c r="N824" i="3" a="1"/>
  <c r="N824" i="3"/>
  <c r="M824" i="3" a="1"/>
  <c r="M824" i="3" s="1"/>
  <c r="L824" i="3"/>
  <c r="K824" i="3"/>
  <c r="H824" i="3"/>
  <c r="J824" i="3" s="1"/>
  <c r="G824" i="3"/>
  <c r="F824" i="3"/>
  <c r="D824" i="3" a="1"/>
  <c r="D824" i="3" s="1"/>
  <c r="C824" i="3" a="1"/>
  <c r="C824" i="3" s="1"/>
  <c r="B824" i="3" a="1"/>
  <c r="B824" i="3"/>
  <c r="N823" i="3" a="1"/>
  <c r="N823" i="3" s="1"/>
  <c r="L823" i="3"/>
  <c r="K823" i="3"/>
  <c r="H823" i="3"/>
  <c r="J823" i="3" s="1"/>
  <c r="G823" i="3"/>
  <c r="F823" i="3"/>
  <c r="D823" i="3" a="1"/>
  <c r="D823" i="3" s="1"/>
  <c r="C823" i="3" a="1"/>
  <c r="C823" i="3"/>
  <c r="B823" i="3" a="1"/>
  <c r="B823" i="3" s="1"/>
  <c r="M823" i="3" s="1" a="1"/>
  <c r="M823" i="3" s="1"/>
  <c r="N822" i="3" a="1"/>
  <c r="N822" i="3"/>
  <c r="L822" i="3"/>
  <c r="K822" i="3"/>
  <c r="J822" i="3"/>
  <c r="I822" i="3"/>
  <c r="H822" i="3"/>
  <c r="G822" i="3"/>
  <c r="F822" i="3"/>
  <c r="D822" i="3" a="1"/>
  <c r="D822" i="3" s="1"/>
  <c r="C822" i="3" a="1"/>
  <c r="C822" i="3" s="1"/>
  <c r="B822" i="3" a="1"/>
  <c r="B822" i="3"/>
  <c r="M822" i="3" s="1" a="1"/>
  <c r="M822" i="3" s="1"/>
  <c r="N821" i="3" a="1"/>
  <c r="N821" i="3"/>
  <c r="L821" i="3"/>
  <c r="K821" i="3"/>
  <c r="H821" i="3"/>
  <c r="J821" i="3" s="1"/>
  <c r="G821" i="3"/>
  <c r="F821" i="3"/>
  <c r="D821" i="3" a="1"/>
  <c r="D821" i="3" s="1"/>
  <c r="C821" i="3" a="1"/>
  <c r="C821" i="3"/>
  <c r="B821" i="3" a="1"/>
  <c r="B821" i="3"/>
  <c r="M821" i="3" s="1" a="1"/>
  <c r="M821" i="3" s="1"/>
  <c r="N820" i="3" a="1"/>
  <c r="N820" i="3" s="1"/>
  <c r="M820" i="3" a="1"/>
  <c r="M820" i="3" s="1"/>
  <c r="L820" i="3"/>
  <c r="K820" i="3"/>
  <c r="J820" i="3"/>
  <c r="H820" i="3"/>
  <c r="I820" i="3" s="1"/>
  <c r="G820" i="3"/>
  <c r="F820" i="3"/>
  <c r="D820" i="3" a="1"/>
  <c r="D820" i="3" s="1"/>
  <c r="C820" i="3" a="1"/>
  <c r="C820" i="3" s="1"/>
  <c r="B820" i="3" a="1"/>
  <c r="B820" i="3"/>
  <c r="N819" i="3" a="1"/>
  <c r="N819" i="3"/>
  <c r="M819" i="3"/>
  <c r="L819" i="3"/>
  <c r="K819" i="3"/>
  <c r="H819" i="3"/>
  <c r="J819" i="3" s="1"/>
  <c r="G819" i="3"/>
  <c r="F819" i="3"/>
  <c r="D819" i="3" a="1"/>
  <c r="D819" i="3"/>
  <c r="C819" i="3" a="1"/>
  <c r="C819" i="3" s="1"/>
  <c r="B819" i="3" a="1"/>
  <c r="B819" i="3"/>
  <c r="M819" i="3" s="1" a="1"/>
  <c r="N818" i="3" a="1"/>
  <c r="N818" i="3" s="1"/>
  <c r="L818" i="3"/>
  <c r="K818" i="3"/>
  <c r="J818" i="3"/>
  <c r="H818" i="3"/>
  <c r="I818" i="3" s="1"/>
  <c r="G818" i="3"/>
  <c r="F818" i="3"/>
  <c r="D818" i="3" a="1"/>
  <c r="D818" i="3"/>
  <c r="C818" i="3" a="1"/>
  <c r="C818" i="3"/>
  <c r="B818" i="3" a="1"/>
  <c r="B818" i="3" s="1"/>
  <c r="M818" i="3" s="1" a="1"/>
  <c r="M818" i="3" s="1"/>
  <c r="N817" i="3" a="1"/>
  <c r="N817" i="3" s="1"/>
  <c r="L817" i="3"/>
  <c r="K817" i="3"/>
  <c r="J817" i="3"/>
  <c r="I817" i="3"/>
  <c r="H817" i="3"/>
  <c r="G817" i="3"/>
  <c r="F817" i="3"/>
  <c r="D817" i="3" a="1"/>
  <c r="D817" i="3" s="1"/>
  <c r="C817" i="3" a="1"/>
  <c r="C817" i="3"/>
  <c r="B817" i="3" a="1"/>
  <c r="B817" i="3" s="1"/>
  <c r="M817" i="3" s="1" a="1"/>
  <c r="M817" i="3" s="1"/>
  <c r="N816" i="3" a="1"/>
  <c r="N816" i="3"/>
  <c r="L816" i="3"/>
  <c r="K816" i="3"/>
  <c r="H816" i="3"/>
  <c r="J816" i="3" s="1"/>
  <c r="G816" i="3"/>
  <c r="F816" i="3"/>
  <c r="D816" i="3" a="1"/>
  <c r="D816" i="3"/>
  <c r="C816" i="3" a="1"/>
  <c r="C816" i="3" s="1"/>
  <c r="B816" i="3" a="1"/>
  <c r="B816" i="3"/>
  <c r="M816" i="3" s="1" a="1"/>
  <c r="M816" i="3" s="1"/>
  <c r="N815" i="3" a="1"/>
  <c r="N815" i="3" s="1"/>
  <c r="L815" i="3"/>
  <c r="K815" i="3"/>
  <c r="J815" i="3"/>
  <c r="H815" i="3"/>
  <c r="G815" i="3"/>
  <c r="F815" i="3"/>
  <c r="D815" i="3" a="1"/>
  <c r="D815" i="3" s="1"/>
  <c r="C815" i="3" a="1"/>
  <c r="C815" i="3"/>
  <c r="B815" i="3" a="1"/>
  <c r="B815" i="3" s="1"/>
  <c r="M815" i="3" s="1" a="1"/>
  <c r="M815" i="3" s="1"/>
  <c r="N814" i="3" a="1"/>
  <c r="N814" i="3"/>
  <c r="L814" i="3"/>
  <c r="K814" i="3"/>
  <c r="H814" i="3"/>
  <c r="J814" i="3" s="1"/>
  <c r="G814" i="3"/>
  <c r="F814" i="3"/>
  <c r="D814" i="3" a="1"/>
  <c r="D814" i="3"/>
  <c r="C814" i="3" a="1"/>
  <c r="C814" i="3"/>
  <c r="B814" i="3" a="1"/>
  <c r="B814" i="3" s="1"/>
  <c r="M814" i="3" s="1" a="1"/>
  <c r="M814" i="3" s="1"/>
  <c r="N813" i="3" a="1"/>
  <c r="N813" i="3"/>
  <c r="L813" i="3"/>
  <c r="K813" i="3"/>
  <c r="J813" i="3"/>
  <c r="I813" i="3"/>
  <c r="H813" i="3"/>
  <c r="G813" i="3"/>
  <c r="F813" i="3"/>
  <c r="D813" i="3" a="1"/>
  <c r="D813" i="3"/>
  <c r="C813" i="3" a="1"/>
  <c r="C813" i="3" s="1"/>
  <c r="B813" i="3" a="1"/>
  <c r="B813" i="3"/>
  <c r="M813" i="3" s="1" a="1"/>
  <c r="M813" i="3" s="1"/>
  <c r="N812" i="3" a="1"/>
  <c r="N812" i="3" s="1"/>
  <c r="M812" i="3" a="1"/>
  <c r="M812" i="3"/>
  <c r="L812" i="3"/>
  <c r="K812" i="3"/>
  <c r="I812" i="3"/>
  <c r="H812" i="3"/>
  <c r="J812" i="3" s="1"/>
  <c r="G812" i="3"/>
  <c r="F812" i="3"/>
  <c r="D812" i="3" a="1"/>
  <c r="D812" i="3"/>
  <c r="C812" i="3" a="1"/>
  <c r="C812" i="3"/>
  <c r="B812" i="3" a="1"/>
  <c r="B812" i="3"/>
  <c r="N811" i="3" a="1"/>
  <c r="N811" i="3" s="1"/>
  <c r="L811" i="3"/>
  <c r="K811" i="3"/>
  <c r="J811" i="3"/>
  <c r="H811" i="3"/>
  <c r="G811" i="3"/>
  <c r="F811" i="3"/>
  <c r="D811" i="3" a="1"/>
  <c r="D811" i="3"/>
  <c r="C811" i="3" a="1"/>
  <c r="C811" i="3"/>
  <c r="B811" i="3" a="1"/>
  <c r="B811" i="3" s="1"/>
  <c r="M811" i="3" s="1" a="1"/>
  <c r="M811" i="3" s="1"/>
  <c r="N810" i="3" a="1"/>
  <c r="N810" i="3"/>
  <c r="M810" i="3" a="1"/>
  <c r="M810" i="3" s="1"/>
  <c r="L810" i="3"/>
  <c r="K810" i="3"/>
  <c r="J810" i="3"/>
  <c r="I810" i="3"/>
  <c r="H810" i="3"/>
  <c r="G810" i="3"/>
  <c r="F810" i="3"/>
  <c r="D810" i="3" a="1"/>
  <c r="D810" i="3" s="1"/>
  <c r="C810" i="3" a="1"/>
  <c r="C810" i="3" s="1"/>
  <c r="B810" i="3" a="1"/>
  <c r="B810" i="3"/>
  <c r="N809" i="3" a="1"/>
  <c r="N809" i="3" s="1"/>
  <c r="L809" i="3"/>
  <c r="K809" i="3"/>
  <c r="H809" i="3"/>
  <c r="J809" i="3" s="1"/>
  <c r="G809" i="3"/>
  <c r="F809" i="3"/>
  <c r="D809" i="3" a="1"/>
  <c r="D809" i="3"/>
  <c r="C809" i="3" a="1"/>
  <c r="C809" i="3" s="1"/>
  <c r="B809" i="3" a="1"/>
  <c r="B809" i="3"/>
  <c r="M809" i="3" s="1" a="1"/>
  <c r="M809" i="3" s="1"/>
  <c r="N808" i="3" a="1"/>
  <c r="N808" i="3"/>
  <c r="M808" i="3" a="1"/>
  <c r="M808" i="3" s="1"/>
  <c r="L808" i="3"/>
  <c r="K808" i="3"/>
  <c r="J808" i="3"/>
  <c r="H808" i="3"/>
  <c r="I808" i="3" s="1"/>
  <c r="G808" i="3"/>
  <c r="F808" i="3"/>
  <c r="D808" i="3" a="1"/>
  <c r="D808" i="3" s="1"/>
  <c r="C808" i="3" a="1"/>
  <c r="C808" i="3" s="1"/>
  <c r="B808" i="3" a="1"/>
  <c r="B808" i="3" s="1"/>
  <c r="N807" i="3" a="1"/>
  <c r="N807" i="3" s="1"/>
  <c r="L807" i="3"/>
  <c r="K807" i="3"/>
  <c r="H807" i="3"/>
  <c r="J807" i="3" s="1"/>
  <c r="G807" i="3"/>
  <c r="F807" i="3"/>
  <c r="D807" i="3" a="1"/>
  <c r="D807" i="3" s="1"/>
  <c r="C807" i="3" a="1"/>
  <c r="C807" i="3" s="1"/>
  <c r="B807" i="3" a="1"/>
  <c r="B807" i="3"/>
  <c r="M807" i="3" s="1" a="1"/>
  <c r="M807" i="3" s="1"/>
  <c r="N806" i="3" a="1"/>
  <c r="N806" i="3" s="1"/>
  <c r="L806" i="3"/>
  <c r="K806" i="3"/>
  <c r="J806" i="3"/>
  <c r="I806" i="3"/>
  <c r="H806" i="3"/>
  <c r="G806" i="3"/>
  <c r="F806" i="3"/>
  <c r="D806" i="3" a="1"/>
  <c r="D806" i="3" s="1"/>
  <c r="C806" i="3" a="1"/>
  <c r="C806" i="3" s="1"/>
  <c r="B806" i="3" a="1"/>
  <c r="B806" i="3" s="1"/>
  <c r="M806" i="3" s="1" a="1"/>
  <c r="M806" i="3" s="1"/>
  <c r="N805" i="3" a="1"/>
  <c r="N805" i="3"/>
  <c r="L805" i="3"/>
  <c r="K805" i="3"/>
  <c r="H805" i="3"/>
  <c r="J805" i="3" s="1"/>
  <c r="G805" i="3"/>
  <c r="F805" i="3"/>
  <c r="D805" i="3" a="1"/>
  <c r="D805" i="3"/>
  <c r="C805" i="3" a="1"/>
  <c r="C805" i="3" s="1"/>
  <c r="B805" i="3" a="1"/>
  <c r="B805" i="3" s="1"/>
  <c r="M805" i="3" s="1" a="1"/>
  <c r="M805" i="3" s="1"/>
  <c r="N804" i="3" a="1"/>
  <c r="N804" i="3" s="1"/>
  <c r="L804" i="3"/>
  <c r="K804" i="3"/>
  <c r="I804" i="3"/>
  <c r="H804" i="3"/>
  <c r="J804" i="3" s="1"/>
  <c r="G804" i="3"/>
  <c r="F804" i="3"/>
  <c r="D804" i="3" a="1"/>
  <c r="D804" i="3" s="1"/>
  <c r="C804" i="3" a="1"/>
  <c r="C804" i="3"/>
  <c r="B804" i="3" a="1"/>
  <c r="B804" i="3" s="1"/>
  <c r="M804" i="3" s="1" a="1"/>
  <c r="M804" i="3" s="1"/>
  <c r="N803" i="3" a="1"/>
  <c r="N803" i="3" s="1"/>
  <c r="M803" i="3" a="1"/>
  <c r="M803" i="3" s="1"/>
  <c r="L803" i="3"/>
  <c r="K803" i="3"/>
  <c r="J803" i="3"/>
  <c r="H803" i="3"/>
  <c r="G803" i="3"/>
  <c r="F803" i="3"/>
  <c r="D803" i="3" a="1"/>
  <c r="D803" i="3"/>
  <c r="C803" i="3" a="1"/>
  <c r="C803" i="3" s="1"/>
  <c r="B803" i="3" a="1"/>
  <c r="B803" i="3"/>
  <c r="N802" i="3" a="1"/>
  <c r="N802" i="3" s="1"/>
  <c r="L802" i="3"/>
  <c r="K802" i="3"/>
  <c r="H802" i="3"/>
  <c r="J802" i="3" s="1"/>
  <c r="G802" i="3"/>
  <c r="F802" i="3"/>
  <c r="D802" i="3" a="1"/>
  <c r="D802" i="3" s="1"/>
  <c r="C802" i="3" a="1"/>
  <c r="C802" i="3"/>
  <c r="B802" i="3" a="1"/>
  <c r="B802" i="3" s="1"/>
  <c r="M802" i="3" s="1" a="1"/>
  <c r="M802" i="3" s="1"/>
  <c r="N801" i="3" a="1"/>
  <c r="N801" i="3"/>
  <c r="L801" i="3"/>
  <c r="K801" i="3"/>
  <c r="J801" i="3"/>
  <c r="H801" i="3"/>
  <c r="I801" i="3" s="1"/>
  <c r="G801" i="3"/>
  <c r="F801" i="3"/>
  <c r="D801" i="3" a="1"/>
  <c r="D801" i="3"/>
  <c r="C801" i="3" a="1"/>
  <c r="C801" i="3"/>
  <c r="B801" i="3" a="1"/>
  <c r="B801" i="3"/>
  <c r="M801" i="3" s="1" a="1"/>
  <c r="M801" i="3" s="1"/>
  <c r="N800" i="3" a="1"/>
  <c r="N800" i="3"/>
  <c r="L800" i="3"/>
  <c r="K800" i="3"/>
  <c r="J800" i="3"/>
  <c r="I800" i="3"/>
  <c r="H800" i="3"/>
  <c r="G800" i="3"/>
  <c r="F800" i="3"/>
  <c r="D800" i="3" a="1"/>
  <c r="D800" i="3" s="1"/>
  <c r="C800" i="3" a="1"/>
  <c r="C800" i="3" s="1"/>
  <c r="B800" i="3" a="1"/>
  <c r="B800" i="3"/>
  <c r="M800" i="3" s="1" a="1"/>
  <c r="M800" i="3" s="1"/>
  <c r="N799" i="3" a="1"/>
  <c r="N799" i="3" s="1"/>
  <c r="L799" i="3"/>
  <c r="K799" i="3"/>
  <c r="J799" i="3"/>
  <c r="H799" i="3"/>
  <c r="G799" i="3"/>
  <c r="F799" i="3"/>
  <c r="D799" i="3" a="1"/>
  <c r="D799" i="3"/>
  <c r="C799" i="3" a="1"/>
  <c r="C799" i="3" s="1"/>
  <c r="B799" i="3" a="1"/>
  <c r="B799" i="3" s="1"/>
  <c r="M799" i="3" s="1" a="1"/>
  <c r="M799" i="3" s="1"/>
  <c r="N798" i="3" a="1"/>
  <c r="N798" i="3"/>
  <c r="M798" i="3" a="1"/>
  <c r="M798" i="3" s="1"/>
  <c r="L798" i="3"/>
  <c r="K798" i="3"/>
  <c r="J798" i="3"/>
  <c r="H798" i="3"/>
  <c r="I798" i="3" s="1"/>
  <c r="G798" i="3"/>
  <c r="F798" i="3"/>
  <c r="D798" i="3" a="1"/>
  <c r="D798" i="3"/>
  <c r="C798" i="3" a="1"/>
  <c r="C798" i="3" s="1"/>
  <c r="B798" i="3" a="1"/>
  <c r="B798" i="3"/>
  <c r="N797" i="3" a="1"/>
  <c r="N797" i="3"/>
  <c r="L797" i="3"/>
  <c r="K797" i="3"/>
  <c r="J797" i="3"/>
  <c r="I797" i="3"/>
  <c r="H797" i="3"/>
  <c r="G797" i="3"/>
  <c r="F797" i="3"/>
  <c r="D797" i="3" a="1"/>
  <c r="D797" i="3" s="1"/>
  <c r="C797" i="3" a="1"/>
  <c r="C797" i="3" s="1"/>
  <c r="B797" i="3" a="1"/>
  <c r="B797" i="3" s="1"/>
  <c r="M797" i="3" s="1" a="1"/>
  <c r="M797" i="3" s="1"/>
  <c r="N796" i="3" a="1"/>
  <c r="N796" i="3" s="1"/>
  <c r="L796" i="3"/>
  <c r="K796" i="3"/>
  <c r="H796" i="3"/>
  <c r="J796" i="3" s="1"/>
  <c r="G796" i="3"/>
  <c r="F796" i="3"/>
  <c r="D796" i="3" a="1"/>
  <c r="D796" i="3"/>
  <c r="C796" i="3" a="1"/>
  <c r="C796" i="3"/>
  <c r="B796" i="3" a="1"/>
  <c r="B796" i="3" s="1"/>
  <c r="M796" i="3" s="1" a="1"/>
  <c r="M796" i="3" s="1"/>
  <c r="N795" i="3" a="1"/>
  <c r="N795" i="3"/>
  <c r="L795" i="3"/>
  <c r="K795" i="3"/>
  <c r="H795" i="3"/>
  <c r="J795" i="3" s="1"/>
  <c r="G795" i="3"/>
  <c r="F795" i="3"/>
  <c r="D795" i="3" a="1"/>
  <c r="D795" i="3" s="1"/>
  <c r="C795" i="3" a="1"/>
  <c r="C795" i="3" s="1"/>
  <c r="B795" i="3" a="1"/>
  <c r="B795" i="3" s="1"/>
  <c r="M795" i="3" s="1" a="1"/>
  <c r="M795" i="3" s="1"/>
  <c r="N794" i="3" a="1"/>
  <c r="N794" i="3" s="1"/>
  <c r="M794" i="3" a="1"/>
  <c r="M794" i="3" s="1"/>
  <c r="L794" i="3"/>
  <c r="K794" i="3"/>
  <c r="J794" i="3"/>
  <c r="H794" i="3"/>
  <c r="I794" i="3" s="1"/>
  <c r="G794" i="3"/>
  <c r="F794" i="3"/>
  <c r="D794" i="3" a="1"/>
  <c r="D794" i="3"/>
  <c r="C794" i="3" a="1"/>
  <c r="C794" i="3"/>
  <c r="B794" i="3" a="1"/>
  <c r="B794" i="3"/>
  <c r="N793" i="3" a="1"/>
  <c r="N793" i="3" s="1"/>
  <c r="L793" i="3"/>
  <c r="K793" i="3"/>
  <c r="J793" i="3"/>
  <c r="I793" i="3"/>
  <c r="H793" i="3"/>
  <c r="G793" i="3"/>
  <c r="F793" i="3"/>
  <c r="D793" i="3" a="1"/>
  <c r="D793" i="3" s="1"/>
  <c r="C793" i="3" a="1"/>
  <c r="C793" i="3" s="1"/>
  <c r="B793" i="3" a="1"/>
  <c r="B793" i="3" s="1"/>
  <c r="M793" i="3" s="1" a="1"/>
  <c r="M793" i="3" s="1"/>
  <c r="N792" i="3" a="1"/>
  <c r="N792" i="3" s="1"/>
  <c r="L792" i="3"/>
  <c r="K792" i="3"/>
  <c r="H792" i="3"/>
  <c r="J792" i="3" s="1"/>
  <c r="G792" i="3"/>
  <c r="F792" i="3"/>
  <c r="D792" i="3" a="1"/>
  <c r="D792" i="3"/>
  <c r="C792" i="3" a="1"/>
  <c r="C792" i="3" s="1"/>
  <c r="B792" i="3" a="1"/>
  <c r="B792" i="3" s="1"/>
  <c r="M792" i="3" s="1" a="1"/>
  <c r="M792" i="3" s="1"/>
  <c r="N791" i="3" a="1"/>
  <c r="N791" i="3" s="1"/>
  <c r="L791" i="3"/>
  <c r="K791" i="3"/>
  <c r="J791" i="3"/>
  <c r="H791" i="3"/>
  <c r="I791" i="3" s="1"/>
  <c r="G791" i="3"/>
  <c r="F791" i="3"/>
  <c r="D791" i="3" a="1"/>
  <c r="D791" i="3"/>
  <c r="C791" i="3" a="1"/>
  <c r="C791" i="3"/>
  <c r="B791" i="3" a="1"/>
  <c r="B791" i="3"/>
  <c r="M791" i="3" s="1" a="1"/>
  <c r="M791" i="3" s="1"/>
  <c r="N790" i="3" a="1"/>
  <c r="N790" i="3"/>
  <c r="L790" i="3"/>
  <c r="K790" i="3"/>
  <c r="I790" i="3"/>
  <c r="H790" i="3"/>
  <c r="J790" i="3" s="1"/>
  <c r="G790" i="3"/>
  <c r="F790" i="3"/>
  <c r="D790" i="3" a="1"/>
  <c r="D790" i="3" s="1"/>
  <c r="C790" i="3" a="1"/>
  <c r="C790" i="3"/>
  <c r="B790" i="3" a="1"/>
  <c r="B790" i="3" s="1"/>
  <c r="M790" i="3" s="1" a="1"/>
  <c r="M790" i="3" s="1"/>
  <c r="N789" i="3" a="1"/>
  <c r="N789" i="3" s="1"/>
  <c r="M789" i="3" a="1"/>
  <c r="M789" i="3" s="1"/>
  <c r="L789" i="3"/>
  <c r="K789" i="3"/>
  <c r="H789" i="3"/>
  <c r="J789" i="3" s="1"/>
  <c r="G789" i="3"/>
  <c r="F789" i="3"/>
  <c r="D789" i="3" a="1"/>
  <c r="D789" i="3"/>
  <c r="C789" i="3" a="1"/>
  <c r="C789" i="3"/>
  <c r="B789" i="3" a="1"/>
  <c r="B789" i="3"/>
  <c r="N788" i="3" a="1"/>
  <c r="N788" i="3"/>
  <c r="M788" i="3" a="1"/>
  <c r="M788" i="3"/>
  <c r="L788" i="3"/>
  <c r="K788" i="3"/>
  <c r="H788" i="3"/>
  <c r="J788" i="3" s="1"/>
  <c r="G788" i="3"/>
  <c r="F788" i="3"/>
  <c r="D788" i="3" a="1"/>
  <c r="D788" i="3"/>
  <c r="C788" i="3" a="1"/>
  <c r="C788" i="3"/>
  <c r="B788" i="3" a="1"/>
  <c r="B788" i="3"/>
  <c r="N787" i="3" a="1"/>
  <c r="N787" i="3"/>
  <c r="L787" i="3"/>
  <c r="K787" i="3"/>
  <c r="I787" i="3"/>
  <c r="H787" i="3"/>
  <c r="J787" i="3" s="1"/>
  <c r="G787" i="3"/>
  <c r="F787" i="3"/>
  <c r="D787" i="3" a="1"/>
  <c r="D787" i="3" s="1"/>
  <c r="C787" i="3" a="1"/>
  <c r="C787" i="3"/>
  <c r="B787" i="3" a="1"/>
  <c r="B787" i="3" s="1"/>
  <c r="M787" i="3" s="1" a="1"/>
  <c r="M787" i="3" s="1"/>
  <c r="N786" i="3" a="1"/>
  <c r="N786" i="3"/>
  <c r="L786" i="3"/>
  <c r="K786" i="3"/>
  <c r="J786" i="3"/>
  <c r="H786" i="3"/>
  <c r="I786" i="3" s="1"/>
  <c r="G786" i="3"/>
  <c r="F786" i="3"/>
  <c r="D786" i="3" a="1"/>
  <c r="D786" i="3"/>
  <c r="C786" i="3" a="1"/>
  <c r="C786" i="3"/>
  <c r="B786" i="3" a="1"/>
  <c r="B786" i="3"/>
  <c r="M786" i="3" s="1" a="1"/>
  <c r="M786" i="3" s="1"/>
  <c r="N785" i="3" a="1"/>
  <c r="N785" i="3"/>
  <c r="L785" i="3"/>
  <c r="K785" i="3"/>
  <c r="J785" i="3"/>
  <c r="I785" i="3"/>
  <c r="H785" i="3"/>
  <c r="G785" i="3"/>
  <c r="F785" i="3"/>
  <c r="D785" i="3" a="1"/>
  <c r="D785" i="3" s="1"/>
  <c r="C785" i="3" a="1"/>
  <c r="C785" i="3" s="1"/>
  <c r="B785" i="3" a="1"/>
  <c r="B785" i="3"/>
  <c r="M785" i="3" s="1" a="1"/>
  <c r="M785" i="3" s="1"/>
  <c r="N784" i="3" a="1"/>
  <c r="N784" i="3" s="1"/>
  <c r="L784" i="3"/>
  <c r="K784" i="3"/>
  <c r="J784" i="3"/>
  <c r="H784" i="3"/>
  <c r="G784" i="3"/>
  <c r="F784" i="3"/>
  <c r="D784" i="3" a="1"/>
  <c r="D784" i="3" s="1"/>
  <c r="C784" i="3" a="1"/>
  <c r="C784" i="3" s="1"/>
  <c r="B784" i="3" a="1"/>
  <c r="B784" i="3" s="1"/>
  <c r="M784" i="3" s="1" a="1"/>
  <c r="M784" i="3" s="1"/>
  <c r="N783" i="3" a="1"/>
  <c r="N783" i="3"/>
  <c r="M783" i="3" a="1"/>
  <c r="M783" i="3" s="1"/>
  <c r="L783" i="3"/>
  <c r="K783" i="3"/>
  <c r="J783" i="3"/>
  <c r="H783" i="3"/>
  <c r="I783" i="3" s="1"/>
  <c r="G783" i="3"/>
  <c r="F783" i="3"/>
  <c r="D783" i="3" a="1"/>
  <c r="D783" i="3"/>
  <c r="C783" i="3" a="1"/>
  <c r="C783" i="3"/>
  <c r="B783" i="3" a="1"/>
  <c r="B783" i="3"/>
  <c r="N782" i="3" a="1"/>
  <c r="N782" i="3"/>
  <c r="L782" i="3"/>
  <c r="K782" i="3"/>
  <c r="J782" i="3"/>
  <c r="I782" i="3"/>
  <c r="H782" i="3"/>
  <c r="G782" i="3"/>
  <c r="F782" i="3"/>
  <c r="D782" i="3" a="1"/>
  <c r="D782" i="3" s="1"/>
  <c r="C782" i="3" a="1"/>
  <c r="C782" i="3" s="1"/>
  <c r="B782" i="3" a="1"/>
  <c r="B782" i="3" s="1"/>
  <c r="M782" i="3" s="1" a="1"/>
  <c r="M782" i="3" s="1"/>
  <c r="N781" i="3" a="1"/>
  <c r="N781" i="3" s="1"/>
  <c r="L781" i="3"/>
  <c r="K781" i="3"/>
  <c r="I781" i="3"/>
  <c r="H781" i="3"/>
  <c r="J781" i="3" s="1"/>
  <c r="G781" i="3"/>
  <c r="F781" i="3"/>
  <c r="D781" i="3" a="1"/>
  <c r="D781" i="3"/>
  <c r="C781" i="3" a="1"/>
  <c r="C781" i="3"/>
  <c r="B781" i="3" a="1"/>
  <c r="B781" i="3"/>
  <c r="M781" i="3" s="1" a="1"/>
  <c r="M781" i="3" s="1"/>
  <c r="N780" i="3" a="1"/>
  <c r="N780" i="3"/>
  <c r="L780" i="3"/>
  <c r="K780" i="3"/>
  <c r="H780" i="3"/>
  <c r="J780" i="3" s="1"/>
  <c r="G780" i="3"/>
  <c r="F780" i="3"/>
  <c r="D780" i="3" a="1"/>
  <c r="D780" i="3"/>
  <c r="C780" i="3" a="1"/>
  <c r="C780" i="3"/>
  <c r="B780" i="3" a="1"/>
  <c r="B780" i="3"/>
  <c r="M780" i="3" s="1" a="1"/>
  <c r="M780" i="3" s="1"/>
  <c r="N779" i="3" a="1"/>
  <c r="N779" i="3"/>
  <c r="L779" i="3"/>
  <c r="K779" i="3"/>
  <c r="J779" i="3"/>
  <c r="I779" i="3"/>
  <c r="H779" i="3"/>
  <c r="G779" i="3"/>
  <c r="F779" i="3"/>
  <c r="D779" i="3" a="1"/>
  <c r="D779" i="3" s="1"/>
  <c r="C779" i="3" a="1"/>
  <c r="C779" i="3" s="1"/>
  <c r="B779" i="3" a="1"/>
  <c r="B779" i="3" s="1"/>
  <c r="M779" i="3" s="1" a="1"/>
  <c r="M779" i="3" s="1"/>
  <c r="N778" i="3" a="1"/>
  <c r="N778" i="3" s="1"/>
  <c r="L778" i="3"/>
  <c r="K778" i="3"/>
  <c r="H778" i="3"/>
  <c r="J778" i="3" s="1"/>
  <c r="G778" i="3"/>
  <c r="F778" i="3"/>
  <c r="D778" i="3" a="1"/>
  <c r="D778" i="3" s="1"/>
  <c r="C778" i="3" a="1"/>
  <c r="C778" i="3"/>
  <c r="B778" i="3" a="1"/>
  <c r="B778" i="3"/>
  <c r="M778" i="3" s="1" a="1"/>
  <c r="M778" i="3" s="1"/>
  <c r="N777" i="3" a="1"/>
  <c r="N777" i="3"/>
  <c r="L777" i="3"/>
  <c r="K777" i="3"/>
  <c r="H777" i="3"/>
  <c r="J777" i="3" s="1"/>
  <c r="G777" i="3"/>
  <c r="F777" i="3"/>
  <c r="D777" i="3" a="1"/>
  <c r="D777" i="3"/>
  <c r="C777" i="3" a="1"/>
  <c r="C777" i="3" s="1"/>
  <c r="B777" i="3" a="1"/>
  <c r="B777" i="3" s="1"/>
  <c r="M777" i="3" s="1" a="1"/>
  <c r="M777" i="3" s="1"/>
  <c r="N776" i="3" a="1"/>
  <c r="N776" i="3" s="1"/>
  <c r="L776" i="3"/>
  <c r="K776" i="3"/>
  <c r="J776" i="3"/>
  <c r="H776" i="3"/>
  <c r="G776" i="3"/>
  <c r="F776" i="3"/>
  <c r="D776" i="3" a="1"/>
  <c r="D776" i="3" s="1"/>
  <c r="C776" i="3" a="1"/>
  <c r="C776" i="3"/>
  <c r="B776" i="3" a="1"/>
  <c r="B776" i="3" s="1"/>
  <c r="M776" i="3" s="1" a="1"/>
  <c r="M776" i="3" s="1"/>
  <c r="N775" i="3" a="1"/>
  <c r="N775" i="3" s="1"/>
  <c r="L775" i="3"/>
  <c r="K775" i="3"/>
  <c r="H775" i="3"/>
  <c r="J775" i="3" s="1"/>
  <c r="G775" i="3"/>
  <c r="F775" i="3"/>
  <c r="D775" i="3" a="1"/>
  <c r="D775" i="3"/>
  <c r="C775" i="3" a="1"/>
  <c r="C775" i="3"/>
  <c r="B775" i="3" a="1"/>
  <c r="B775" i="3" s="1"/>
  <c r="M775" i="3" s="1" a="1"/>
  <c r="M775" i="3" s="1"/>
  <c r="N774" i="3" a="1"/>
  <c r="N774" i="3"/>
  <c r="L774" i="3"/>
  <c r="K774" i="3"/>
  <c r="J774" i="3"/>
  <c r="I774" i="3"/>
  <c r="H774" i="3"/>
  <c r="G774" i="3"/>
  <c r="F774" i="3"/>
  <c r="D774" i="3" a="1"/>
  <c r="D774" i="3"/>
  <c r="C774" i="3" a="1"/>
  <c r="C774" i="3" s="1"/>
  <c r="B774" i="3" a="1"/>
  <c r="B774" i="3"/>
  <c r="M774" i="3" s="1" a="1"/>
  <c r="M774" i="3" s="1"/>
  <c r="N773" i="3" a="1"/>
  <c r="N773" i="3" s="1"/>
  <c r="M773" i="3" a="1"/>
  <c r="M773" i="3" s="1"/>
  <c r="L773" i="3"/>
  <c r="K773" i="3"/>
  <c r="J773" i="3"/>
  <c r="H773" i="3"/>
  <c r="I773" i="3" s="1"/>
  <c r="G773" i="3"/>
  <c r="F773" i="3"/>
  <c r="D773" i="3" a="1"/>
  <c r="D773" i="3"/>
  <c r="C773" i="3" a="1"/>
  <c r="C773" i="3"/>
  <c r="B773" i="3" a="1"/>
  <c r="B773" i="3"/>
  <c r="N772" i="3" a="1"/>
  <c r="N772" i="3" s="1"/>
  <c r="L772" i="3"/>
  <c r="K772" i="3"/>
  <c r="H772" i="3"/>
  <c r="J772" i="3" s="1"/>
  <c r="G772" i="3"/>
  <c r="F772" i="3"/>
  <c r="D772" i="3" a="1"/>
  <c r="D772" i="3"/>
  <c r="C772" i="3" a="1"/>
  <c r="C772" i="3"/>
  <c r="B772" i="3" a="1"/>
  <c r="B772" i="3"/>
  <c r="M772" i="3" s="1" a="1"/>
  <c r="M772" i="3" s="1"/>
  <c r="N771" i="3" a="1"/>
  <c r="N771" i="3"/>
  <c r="L771" i="3"/>
  <c r="K771" i="3"/>
  <c r="J771" i="3"/>
  <c r="I771" i="3"/>
  <c r="H771" i="3"/>
  <c r="G771" i="3"/>
  <c r="F771" i="3"/>
  <c r="D771" i="3" a="1"/>
  <c r="D771" i="3" s="1"/>
  <c r="C771" i="3" a="1"/>
  <c r="C771" i="3" s="1"/>
  <c r="B771" i="3" a="1"/>
  <c r="B771" i="3"/>
  <c r="M771" i="3" s="1" a="1"/>
  <c r="M771" i="3" s="1"/>
  <c r="N770" i="3" a="1"/>
  <c r="N770" i="3" s="1"/>
  <c r="L770" i="3"/>
  <c r="K770" i="3"/>
  <c r="H770" i="3"/>
  <c r="J770" i="3" s="1"/>
  <c r="G770" i="3"/>
  <c r="F770" i="3"/>
  <c r="D770" i="3" a="1"/>
  <c r="D770" i="3"/>
  <c r="C770" i="3" a="1"/>
  <c r="C770" i="3"/>
  <c r="B770" i="3" a="1"/>
  <c r="B770" i="3"/>
  <c r="M770" i="3" s="1" a="1"/>
  <c r="M770" i="3" s="1"/>
  <c r="N769" i="3" a="1"/>
  <c r="N769" i="3"/>
  <c r="L769" i="3"/>
  <c r="K769" i="3"/>
  <c r="I769" i="3"/>
  <c r="H769" i="3"/>
  <c r="J769" i="3" s="1"/>
  <c r="G769" i="3"/>
  <c r="F769" i="3"/>
  <c r="D769" i="3" a="1"/>
  <c r="D769" i="3" s="1"/>
  <c r="C769" i="3" a="1"/>
  <c r="C769" i="3" s="1"/>
  <c r="B769" i="3" a="1"/>
  <c r="B769" i="3" s="1"/>
  <c r="M769" i="3" s="1" a="1"/>
  <c r="M769" i="3" s="1"/>
  <c r="N768" i="3" a="1"/>
  <c r="N768" i="3"/>
  <c r="L768" i="3"/>
  <c r="K768" i="3"/>
  <c r="J768" i="3"/>
  <c r="H768" i="3"/>
  <c r="G768" i="3"/>
  <c r="F768" i="3"/>
  <c r="D768" i="3" a="1"/>
  <c r="D768" i="3" s="1"/>
  <c r="C768" i="3" a="1"/>
  <c r="C768" i="3" s="1"/>
  <c r="B768" i="3" a="1"/>
  <c r="B768" i="3" s="1"/>
  <c r="M768" i="3" s="1" a="1"/>
  <c r="M768" i="3" s="1"/>
  <c r="N767" i="3" a="1"/>
  <c r="N767" i="3" s="1"/>
  <c r="L767" i="3"/>
  <c r="K767" i="3"/>
  <c r="I767" i="3"/>
  <c r="H767" i="3"/>
  <c r="J767" i="3" s="1"/>
  <c r="G767" i="3"/>
  <c r="F767" i="3"/>
  <c r="D767" i="3" a="1"/>
  <c r="D767" i="3"/>
  <c r="C767" i="3" a="1"/>
  <c r="C767" i="3"/>
  <c r="B767" i="3" a="1"/>
  <c r="B767" i="3"/>
  <c r="M767" i="3" s="1" a="1"/>
  <c r="M767" i="3" s="1"/>
  <c r="N766" i="3" a="1"/>
  <c r="N766" i="3"/>
  <c r="L766" i="3"/>
  <c r="K766" i="3"/>
  <c r="H766" i="3"/>
  <c r="J766" i="3" s="1"/>
  <c r="G766" i="3"/>
  <c r="F766" i="3"/>
  <c r="D766" i="3" a="1"/>
  <c r="D766" i="3" s="1"/>
  <c r="C766" i="3" a="1"/>
  <c r="C766" i="3" s="1"/>
  <c r="B766" i="3" a="1"/>
  <c r="B766" i="3" s="1"/>
  <c r="M766" i="3" s="1" a="1"/>
  <c r="M766" i="3" s="1"/>
  <c r="N765" i="3" a="1"/>
  <c r="N765" i="3" s="1"/>
  <c r="M765" i="3" a="1"/>
  <c r="M765" i="3" s="1"/>
  <c r="L765" i="3"/>
  <c r="K765" i="3"/>
  <c r="J765" i="3"/>
  <c r="H765" i="3"/>
  <c r="I765" i="3" s="1"/>
  <c r="G765" i="3"/>
  <c r="F765" i="3"/>
  <c r="D765" i="3" a="1"/>
  <c r="D765" i="3"/>
  <c r="C765" i="3" a="1"/>
  <c r="C765" i="3"/>
  <c r="B765" i="3" a="1"/>
  <c r="B765" i="3"/>
  <c r="N764" i="3" a="1"/>
  <c r="N764" i="3"/>
  <c r="L764" i="3"/>
  <c r="K764" i="3"/>
  <c r="H764" i="3"/>
  <c r="J764" i="3" s="1"/>
  <c r="G764" i="3"/>
  <c r="F764" i="3"/>
  <c r="D764" i="3" a="1"/>
  <c r="D764" i="3" s="1"/>
  <c r="C764" i="3" a="1"/>
  <c r="C764" i="3"/>
  <c r="B764" i="3" a="1"/>
  <c r="B764" i="3"/>
  <c r="M764" i="3" s="1" a="1"/>
  <c r="M764" i="3" s="1"/>
  <c r="N763" i="3" a="1"/>
  <c r="N763" i="3"/>
  <c r="L763" i="3"/>
  <c r="K763" i="3"/>
  <c r="H763" i="3"/>
  <c r="J763" i="3" s="1"/>
  <c r="G763" i="3"/>
  <c r="F763" i="3"/>
  <c r="D763" i="3" a="1"/>
  <c r="D763" i="3"/>
  <c r="C763" i="3" a="1"/>
  <c r="C763" i="3" s="1"/>
  <c r="B763" i="3" a="1"/>
  <c r="B763" i="3" s="1"/>
  <c r="M763" i="3" s="1" a="1"/>
  <c r="M763" i="3" s="1"/>
  <c r="N762" i="3" a="1"/>
  <c r="N762" i="3" s="1"/>
  <c r="M762" i="3" a="1"/>
  <c r="M762" i="3" s="1"/>
  <c r="L762" i="3"/>
  <c r="K762" i="3"/>
  <c r="J762" i="3"/>
  <c r="H762" i="3"/>
  <c r="I762" i="3" s="1"/>
  <c r="G762" i="3"/>
  <c r="F762" i="3"/>
  <c r="D762" i="3" a="1"/>
  <c r="D762" i="3"/>
  <c r="C762" i="3" a="1"/>
  <c r="C762" i="3" s="1"/>
  <c r="B762" i="3" a="1"/>
  <c r="B762" i="3"/>
  <c r="N761" i="3" a="1"/>
  <c r="N761" i="3"/>
  <c r="L761" i="3"/>
  <c r="K761" i="3"/>
  <c r="J761" i="3"/>
  <c r="I761" i="3"/>
  <c r="H761" i="3"/>
  <c r="G761" i="3"/>
  <c r="F761" i="3"/>
  <c r="D761" i="3" a="1"/>
  <c r="D761" i="3" s="1"/>
  <c r="C761" i="3" a="1"/>
  <c r="C761" i="3"/>
  <c r="B761" i="3" a="1"/>
  <c r="B761" i="3" s="1"/>
  <c r="M761" i="3" s="1" a="1"/>
  <c r="M761" i="3" s="1"/>
  <c r="N760" i="3" a="1"/>
  <c r="N760" i="3" s="1"/>
  <c r="M760" i="3" a="1"/>
  <c r="M760" i="3" s="1"/>
  <c r="L760" i="3"/>
  <c r="K760" i="3"/>
  <c r="J760" i="3"/>
  <c r="H760" i="3"/>
  <c r="G760" i="3"/>
  <c r="F760" i="3"/>
  <c r="D760" i="3" a="1"/>
  <c r="D760" i="3"/>
  <c r="C760" i="3" a="1"/>
  <c r="C760" i="3" s="1"/>
  <c r="B760" i="3" a="1"/>
  <c r="B760" i="3"/>
  <c r="N759" i="3" a="1"/>
  <c r="N759" i="3" s="1"/>
  <c r="M759" i="3" a="1"/>
  <c r="M759" i="3" s="1"/>
  <c r="L759" i="3"/>
  <c r="K759" i="3"/>
  <c r="J759" i="3"/>
  <c r="H759" i="3"/>
  <c r="I759" i="3" s="1"/>
  <c r="G759" i="3"/>
  <c r="F759" i="3"/>
  <c r="D759" i="3" a="1"/>
  <c r="D759" i="3"/>
  <c r="C759" i="3" a="1"/>
  <c r="C759" i="3"/>
  <c r="B759" i="3" a="1"/>
  <c r="B759" i="3"/>
  <c r="N758" i="3" a="1"/>
  <c r="N758" i="3" s="1"/>
  <c r="L758" i="3"/>
  <c r="K758" i="3"/>
  <c r="I758" i="3"/>
  <c r="H758" i="3"/>
  <c r="J758" i="3" s="1"/>
  <c r="G758" i="3"/>
  <c r="F758" i="3"/>
  <c r="D758" i="3" a="1"/>
  <c r="D758" i="3" s="1"/>
  <c r="C758" i="3" a="1"/>
  <c r="C758" i="3"/>
  <c r="B758" i="3" a="1"/>
  <c r="B758" i="3" s="1"/>
  <c r="M758" i="3" s="1" a="1"/>
  <c r="M758" i="3" s="1"/>
  <c r="N757" i="3" a="1"/>
  <c r="N757" i="3"/>
  <c r="L757" i="3"/>
  <c r="K757" i="3"/>
  <c r="J757" i="3"/>
  <c r="H757" i="3"/>
  <c r="I757" i="3" s="1"/>
  <c r="G757" i="3"/>
  <c r="F757" i="3"/>
  <c r="D757" i="3" a="1"/>
  <c r="D757" i="3"/>
  <c r="C757" i="3" a="1"/>
  <c r="C757" i="3"/>
  <c r="B757" i="3" a="1"/>
  <c r="B757" i="3"/>
  <c r="M757" i="3" s="1" a="1"/>
  <c r="M757" i="3" s="1"/>
  <c r="N756" i="3" a="1"/>
  <c r="N756" i="3"/>
  <c r="M756" i="3" a="1"/>
  <c r="M756" i="3" s="1"/>
  <c r="L756" i="3"/>
  <c r="K756" i="3"/>
  <c r="J756" i="3"/>
  <c r="I756" i="3"/>
  <c r="H756" i="3"/>
  <c r="G756" i="3"/>
  <c r="F756" i="3"/>
  <c r="D756" i="3" a="1"/>
  <c r="D756" i="3" s="1"/>
  <c r="C756" i="3" a="1"/>
  <c r="C756" i="3" s="1"/>
  <c r="B756" i="3" a="1"/>
  <c r="B756" i="3"/>
  <c r="N755" i="3" a="1"/>
  <c r="N755" i="3" s="1"/>
  <c r="L755" i="3"/>
  <c r="K755" i="3"/>
  <c r="H755" i="3"/>
  <c r="J755" i="3" s="1"/>
  <c r="G755" i="3"/>
  <c r="F755" i="3"/>
  <c r="D755" i="3" a="1"/>
  <c r="D755" i="3"/>
  <c r="C755" i="3" a="1"/>
  <c r="C755" i="3"/>
  <c r="B755" i="3" a="1"/>
  <c r="B755" i="3"/>
  <c r="M755" i="3" s="1" a="1"/>
  <c r="M755" i="3" s="1"/>
  <c r="N754" i="3" a="1"/>
  <c r="N754" i="3"/>
  <c r="L754" i="3"/>
  <c r="K754" i="3"/>
  <c r="I754" i="3"/>
  <c r="H754" i="3"/>
  <c r="J754" i="3" s="1"/>
  <c r="G754" i="3"/>
  <c r="F754" i="3"/>
  <c r="D754" i="3" a="1"/>
  <c r="D754" i="3" s="1"/>
  <c r="C754" i="3" a="1"/>
  <c r="C754" i="3" s="1"/>
  <c r="B754" i="3" a="1"/>
  <c r="B754" i="3" s="1"/>
  <c r="M754" i="3" s="1" a="1"/>
  <c r="M754" i="3" s="1"/>
  <c r="N753" i="3" a="1"/>
  <c r="N753" i="3"/>
  <c r="L753" i="3"/>
  <c r="K753" i="3"/>
  <c r="J753" i="3"/>
  <c r="H753" i="3"/>
  <c r="G753" i="3"/>
  <c r="F753" i="3"/>
  <c r="D753" i="3" a="1"/>
  <c r="D753" i="3" s="1"/>
  <c r="C753" i="3" a="1"/>
  <c r="C753" i="3" s="1"/>
  <c r="B753" i="3" a="1"/>
  <c r="B753" i="3" s="1"/>
  <c r="M753" i="3" s="1" a="1"/>
  <c r="M753" i="3" s="1"/>
  <c r="N752" i="3" a="1"/>
  <c r="N752" i="3" s="1"/>
  <c r="L752" i="3"/>
  <c r="K752" i="3"/>
  <c r="I752" i="3"/>
  <c r="H752" i="3"/>
  <c r="J752" i="3" s="1"/>
  <c r="G752" i="3"/>
  <c r="F752" i="3"/>
  <c r="D752" i="3" a="1"/>
  <c r="D752" i="3"/>
  <c r="C752" i="3" a="1"/>
  <c r="C752" i="3"/>
  <c r="B752" i="3" a="1"/>
  <c r="B752" i="3"/>
  <c r="M752" i="3" s="1" a="1"/>
  <c r="M752" i="3" s="1"/>
  <c r="N751" i="3" a="1"/>
  <c r="N751" i="3"/>
  <c r="L751" i="3"/>
  <c r="K751" i="3"/>
  <c r="H751" i="3"/>
  <c r="J751" i="3" s="1"/>
  <c r="G751" i="3"/>
  <c r="F751" i="3"/>
  <c r="D751" i="3" a="1"/>
  <c r="D751" i="3" s="1"/>
  <c r="C751" i="3" a="1"/>
  <c r="C751" i="3" s="1"/>
  <c r="B751" i="3" a="1"/>
  <c r="B751" i="3" s="1"/>
  <c r="M751" i="3" s="1" a="1"/>
  <c r="M751" i="3" s="1"/>
  <c r="N750" i="3" a="1"/>
  <c r="N750" i="3" s="1"/>
  <c r="M750" i="3" a="1"/>
  <c r="M750" i="3" s="1"/>
  <c r="L750" i="3"/>
  <c r="K750" i="3"/>
  <c r="J750" i="3"/>
  <c r="H750" i="3"/>
  <c r="I750" i="3" s="1"/>
  <c r="G750" i="3"/>
  <c r="F750" i="3"/>
  <c r="D750" i="3" a="1"/>
  <c r="D750" i="3"/>
  <c r="C750" i="3" a="1"/>
  <c r="C750" i="3"/>
  <c r="B750" i="3" a="1"/>
  <c r="B750" i="3"/>
  <c r="N749" i="3" a="1"/>
  <c r="N749" i="3"/>
  <c r="L749" i="3"/>
  <c r="K749" i="3"/>
  <c r="H749" i="3"/>
  <c r="J749" i="3" s="1"/>
  <c r="G749" i="3"/>
  <c r="F749" i="3"/>
  <c r="D749" i="3" a="1"/>
  <c r="D749" i="3" s="1"/>
  <c r="C749" i="3" a="1"/>
  <c r="C749" i="3"/>
  <c r="B749" i="3" a="1"/>
  <c r="B749" i="3"/>
  <c r="M749" i="3" s="1" a="1"/>
  <c r="M749" i="3" s="1"/>
  <c r="N748" i="3" a="1"/>
  <c r="N748" i="3"/>
  <c r="L748" i="3"/>
  <c r="K748" i="3"/>
  <c r="H748" i="3"/>
  <c r="J748" i="3" s="1"/>
  <c r="G748" i="3"/>
  <c r="F748" i="3"/>
  <c r="D748" i="3" a="1"/>
  <c r="D748" i="3"/>
  <c r="C748" i="3" a="1"/>
  <c r="C748" i="3" s="1"/>
  <c r="B748" i="3" a="1"/>
  <c r="B748" i="3" s="1"/>
  <c r="M748" i="3" s="1" a="1"/>
  <c r="M748" i="3" s="1"/>
  <c r="N747" i="3" a="1"/>
  <c r="N747" i="3" s="1"/>
  <c r="M747" i="3" a="1"/>
  <c r="M747" i="3" s="1"/>
  <c r="L747" i="3"/>
  <c r="K747" i="3"/>
  <c r="J747" i="3"/>
  <c r="H747" i="3"/>
  <c r="I747" i="3" s="1"/>
  <c r="G747" i="3"/>
  <c r="F747" i="3"/>
  <c r="D747" i="3" a="1"/>
  <c r="D747" i="3"/>
  <c r="C747" i="3" a="1"/>
  <c r="C747" i="3" s="1"/>
  <c r="B747" i="3" a="1"/>
  <c r="B747" i="3"/>
  <c r="N746" i="3" a="1"/>
  <c r="N746" i="3"/>
  <c r="L746" i="3"/>
  <c r="K746" i="3"/>
  <c r="J746" i="3"/>
  <c r="I746" i="3"/>
  <c r="H746" i="3"/>
  <c r="G746" i="3"/>
  <c r="F746" i="3"/>
  <c r="D746" i="3" a="1"/>
  <c r="D746" i="3" s="1"/>
  <c r="C746" i="3" a="1"/>
  <c r="C746" i="3"/>
  <c r="B746" i="3" a="1"/>
  <c r="B746" i="3" s="1"/>
  <c r="M746" i="3" s="1" a="1"/>
  <c r="M746" i="3" s="1"/>
  <c r="N745" i="3" a="1"/>
  <c r="N745" i="3" s="1"/>
  <c r="M745" i="3" a="1"/>
  <c r="M745" i="3" s="1"/>
  <c r="L745" i="3"/>
  <c r="K745" i="3"/>
  <c r="J745" i="3"/>
  <c r="H745" i="3"/>
  <c r="G745" i="3"/>
  <c r="F745" i="3"/>
  <c r="D745" i="3" a="1"/>
  <c r="D745" i="3"/>
  <c r="C745" i="3" a="1"/>
  <c r="C745" i="3" s="1"/>
  <c r="B745" i="3" a="1"/>
  <c r="B745" i="3"/>
  <c r="N744" i="3" a="1"/>
  <c r="N744" i="3" s="1"/>
  <c r="M744" i="3" a="1"/>
  <c r="M744" i="3" s="1"/>
  <c r="L744" i="3"/>
  <c r="K744" i="3"/>
  <c r="J744" i="3"/>
  <c r="H744" i="3"/>
  <c r="I744" i="3" s="1"/>
  <c r="G744" i="3"/>
  <c r="F744" i="3"/>
  <c r="D744" i="3" a="1"/>
  <c r="D744" i="3"/>
  <c r="C744" i="3" a="1"/>
  <c r="C744" i="3"/>
  <c r="B744" i="3" a="1"/>
  <c r="B744" i="3"/>
  <c r="N743" i="3" a="1"/>
  <c r="N743" i="3" s="1"/>
  <c r="L743" i="3"/>
  <c r="K743" i="3"/>
  <c r="I743" i="3"/>
  <c r="H743" i="3"/>
  <c r="J743" i="3" s="1"/>
  <c r="G743" i="3"/>
  <c r="F743" i="3"/>
  <c r="D743" i="3" a="1"/>
  <c r="D743" i="3" s="1"/>
  <c r="C743" i="3" a="1"/>
  <c r="C743" i="3"/>
  <c r="B743" i="3" a="1"/>
  <c r="B743" i="3" s="1"/>
  <c r="M743" i="3" s="1" a="1"/>
  <c r="M743" i="3" s="1"/>
  <c r="N742" i="3" a="1"/>
  <c r="N742" i="3"/>
  <c r="L742" i="3"/>
  <c r="K742" i="3"/>
  <c r="J742" i="3"/>
  <c r="H742" i="3"/>
  <c r="I742" i="3" s="1"/>
  <c r="G742" i="3"/>
  <c r="F742" i="3"/>
  <c r="D742" i="3" a="1"/>
  <c r="D742" i="3"/>
  <c r="C742" i="3" a="1"/>
  <c r="C742" i="3"/>
  <c r="B742" i="3" a="1"/>
  <c r="B742" i="3"/>
  <c r="M742" i="3" s="1" a="1"/>
  <c r="M742" i="3" s="1"/>
  <c r="N741" i="3" a="1"/>
  <c r="N741" i="3"/>
  <c r="M741" i="3" a="1"/>
  <c r="M741" i="3" s="1"/>
  <c r="L741" i="3"/>
  <c r="K741" i="3"/>
  <c r="H741" i="3"/>
  <c r="J741" i="3" s="1"/>
  <c r="G741" i="3"/>
  <c r="F741" i="3"/>
  <c r="D741" i="3" a="1"/>
  <c r="D741" i="3"/>
  <c r="C741" i="3" a="1"/>
  <c r="C741" i="3"/>
  <c r="B741" i="3" a="1"/>
  <c r="B741" i="3"/>
  <c r="N740" i="3" a="1"/>
  <c r="N740" i="3"/>
  <c r="L740" i="3"/>
  <c r="K740" i="3"/>
  <c r="I740" i="3"/>
  <c r="H740" i="3"/>
  <c r="J740" i="3" s="1"/>
  <c r="G740" i="3"/>
  <c r="F740" i="3"/>
  <c r="D740" i="3" a="1"/>
  <c r="D740" i="3" s="1"/>
  <c r="C740" i="3" a="1"/>
  <c r="C740" i="3" s="1"/>
  <c r="B740" i="3" a="1"/>
  <c r="B740" i="3" s="1"/>
  <c r="M740" i="3" s="1" a="1"/>
  <c r="M740" i="3" s="1"/>
  <c r="N739" i="3" a="1"/>
  <c r="N739" i="3"/>
  <c r="M739" i="3" a="1"/>
  <c r="M739" i="3" s="1"/>
  <c r="L739" i="3"/>
  <c r="K739" i="3"/>
  <c r="J739" i="3"/>
  <c r="H739" i="3"/>
  <c r="I739" i="3" s="1"/>
  <c r="G739" i="3"/>
  <c r="F739" i="3"/>
  <c r="D739" i="3" a="1"/>
  <c r="D739" i="3"/>
  <c r="C739" i="3" a="1"/>
  <c r="C739" i="3"/>
  <c r="B739" i="3" a="1"/>
  <c r="B739" i="3"/>
  <c r="N738" i="3" a="1"/>
  <c r="N738" i="3"/>
  <c r="L738" i="3"/>
  <c r="K738" i="3"/>
  <c r="J738" i="3"/>
  <c r="I738" i="3"/>
  <c r="H738" i="3"/>
  <c r="G738" i="3"/>
  <c r="F738" i="3"/>
  <c r="D738" i="3" a="1"/>
  <c r="D738" i="3" s="1"/>
  <c r="C738" i="3" a="1"/>
  <c r="C738" i="3" s="1"/>
  <c r="B738" i="3" a="1"/>
  <c r="B738" i="3" s="1"/>
  <c r="M738" i="3" s="1" a="1"/>
  <c r="M738" i="3" s="1"/>
  <c r="N737" i="3" a="1"/>
  <c r="N737" i="3" s="1"/>
  <c r="L737" i="3"/>
  <c r="K737" i="3"/>
  <c r="H737" i="3"/>
  <c r="J737" i="3" s="1"/>
  <c r="G737" i="3"/>
  <c r="F737" i="3"/>
  <c r="D737" i="3" a="1"/>
  <c r="D737" i="3" s="1"/>
  <c r="C737" i="3" a="1"/>
  <c r="C737" i="3" s="1"/>
  <c r="B737" i="3" a="1"/>
  <c r="B737" i="3" s="1"/>
  <c r="M737" i="3" s="1" a="1"/>
  <c r="M737" i="3" s="1"/>
  <c r="N736" i="3" a="1"/>
  <c r="N736" i="3" s="1"/>
  <c r="M736" i="3" a="1"/>
  <c r="M736" i="3" s="1"/>
  <c r="L736" i="3"/>
  <c r="K736" i="3"/>
  <c r="J736" i="3"/>
  <c r="H736" i="3"/>
  <c r="I736" i="3" s="1"/>
  <c r="G736" i="3"/>
  <c r="F736" i="3"/>
  <c r="D736" i="3" a="1"/>
  <c r="D736" i="3"/>
  <c r="C736" i="3" a="1"/>
  <c r="C736" i="3"/>
  <c r="B736" i="3" a="1"/>
  <c r="B736" i="3"/>
  <c r="N735" i="3" a="1"/>
  <c r="N735" i="3"/>
  <c r="L735" i="3"/>
  <c r="K735" i="3"/>
  <c r="J735" i="3"/>
  <c r="I735" i="3"/>
  <c r="H735" i="3"/>
  <c r="G735" i="3"/>
  <c r="F735" i="3"/>
  <c r="D735" i="3" a="1"/>
  <c r="D735" i="3" s="1"/>
  <c r="C735" i="3" a="1"/>
  <c r="C735" i="3" s="1"/>
  <c r="B735" i="3" a="1"/>
  <c r="B735" i="3" s="1"/>
  <c r="M735" i="3" s="1" a="1"/>
  <c r="M735" i="3" s="1"/>
  <c r="N734" i="3" a="1"/>
  <c r="N734" i="3" s="1"/>
  <c r="L734" i="3"/>
  <c r="K734" i="3"/>
  <c r="H734" i="3"/>
  <c r="G734" i="3"/>
  <c r="F734" i="3"/>
  <c r="D734" i="3" a="1"/>
  <c r="D734" i="3" s="1"/>
  <c r="C734" i="3" a="1"/>
  <c r="C734" i="3"/>
  <c r="B734" i="3" a="1"/>
  <c r="B734" i="3"/>
  <c r="M734" i="3" s="1" a="1"/>
  <c r="M734" i="3" s="1"/>
  <c r="N733" i="3" a="1"/>
  <c r="N733" i="3"/>
  <c r="L733" i="3"/>
  <c r="K733" i="3"/>
  <c r="H733" i="3"/>
  <c r="J733" i="3" s="1"/>
  <c r="G733" i="3"/>
  <c r="F733" i="3"/>
  <c r="D733" i="3" a="1"/>
  <c r="D733" i="3"/>
  <c r="C733" i="3" a="1"/>
  <c r="C733" i="3" s="1"/>
  <c r="B733" i="3" a="1"/>
  <c r="B733" i="3"/>
  <c r="M733" i="3" s="1" a="1"/>
  <c r="M733" i="3" s="1"/>
  <c r="N732" i="3" a="1"/>
  <c r="N732" i="3"/>
  <c r="L732" i="3"/>
  <c r="K732" i="3"/>
  <c r="I732" i="3"/>
  <c r="H732" i="3"/>
  <c r="J732" i="3" s="1"/>
  <c r="G732" i="3"/>
  <c r="F732" i="3"/>
  <c r="D732" i="3" a="1"/>
  <c r="D732" i="3" s="1"/>
  <c r="C732" i="3" a="1"/>
  <c r="C732" i="3"/>
  <c r="B732" i="3" a="1"/>
  <c r="B732" i="3" s="1"/>
  <c r="M732" i="3" s="1" a="1"/>
  <c r="M732" i="3" s="1"/>
  <c r="N731" i="3" a="1"/>
  <c r="N731" i="3" s="1"/>
  <c r="M731" i="3" a="1"/>
  <c r="M731" i="3" s="1"/>
  <c r="L731" i="3"/>
  <c r="K731" i="3"/>
  <c r="H731" i="3"/>
  <c r="J731" i="3" s="1"/>
  <c r="G731" i="3"/>
  <c r="F731" i="3"/>
  <c r="D731" i="3" a="1"/>
  <c r="D731" i="3"/>
  <c r="C731" i="3" a="1"/>
  <c r="C731" i="3"/>
  <c r="B731" i="3" a="1"/>
  <c r="B731" i="3" s="1"/>
  <c r="N730" i="3" a="1"/>
  <c r="N730" i="3"/>
  <c r="L730" i="3"/>
  <c r="K730" i="3"/>
  <c r="J730" i="3"/>
  <c r="I730" i="3"/>
  <c r="H730" i="3"/>
  <c r="G730" i="3"/>
  <c r="F730" i="3"/>
  <c r="D730" i="3" a="1"/>
  <c r="D730" i="3"/>
  <c r="C730" i="3" a="1"/>
  <c r="C730" i="3" s="1"/>
  <c r="B730" i="3" a="1"/>
  <c r="B730" i="3"/>
  <c r="M730" i="3" s="1" a="1"/>
  <c r="M730" i="3" s="1"/>
  <c r="N729" i="3" a="1"/>
  <c r="N729" i="3" s="1"/>
  <c r="L729" i="3"/>
  <c r="K729" i="3"/>
  <c r="J729" i="3"/>
  <c r="H729" i="3"/>
  <c r="G729" i="3"/>
  <c r="F729" i="3"/>
  <c r="D729" i="3" a="1"/>
  <c r="D729" i="3" s="1"/>
  <c r="C729" i="3" a="1"/>
  <c r="C729" i="3"/>
  <c r="B729" i="3" a="1"/>
  <c r="B729" i="3" s="1"/>
  <c r="M729" i="3" s="1" a="1"/>
  <c r="M729" i="3" s="1"/>
  <c r="N728" i="3" a="1"/>
  <c r="N728" i="3"/>
  <c r="L728" i="3"/>
  <c r="K728" i="3"/>
  <c r="J728" i="3"/>
  <c r="H728" i="3"/>
  <c r="I728" i="3" s="1"/>
  <c r="G728" i="3"/>
  <c r="F728" i="3"/>
  <c r="D728" i="3" a="1"/>
  <c r="D728" i="3"/>
  <c r="C728" i="3" a="1"/>
  <c r="C728" i="3"/>
  <c r="B728" i="3" a="1"/>
  <c r="B728" i="3"/>
  <c r="M728" i="3" s="1" a="1"/>
  <c r="M728" i="3" s="1"/>
  <c r="N727" i="3" a="1"/>
  <c r="N727" i="3"/>
  <c r="M727" i="3" a="1"/>
  <c r="M727" i="3" s="1"/>
  <c r="L727" i="3"/>
  <c r="K727" i="3"/>
  <c r="J727" i="3"/>
  <c r="I727" i="3"/>
  <c r="H727" i="3"/>
  <c r="G727" i="3"/>
  <c r="F727" i="3"/>
  <c r="D727" i="3" a="1"/>
  <c r="D727" i="3" s="1"/>
  <c r="C727" i="3" a="1"/>
  <c r="C727" i="3" s="1"/>
  <c r="B727" i="3" a="1"/>
  <c r="B727" i="3"/>
  <c r="N726" i="3" a="1"/>
  <c r="N726" i="3" s="1"/>
  <c r="L726" i="3"/>
  <c r="K726" i="3"/>
  <c r="H726" i="3"/>
  <c r="G726" i="3"/>
  <c r="F726" i="3"/>
  <c r="D726" i="3" a="1"/>
  <c r="D726" i="3"/>
  <c r="C726" i="3" a="1"/>
  <c r="C726" i="3"/>
  <c r="B726" i="3" a="1"/>
  <c r="B726" i="3"/>
  <c r="M726" i="3" s="1" a="1"/>
  <c r="M726" i="3" s="1"/>
  <c r="N725" i="3" a="1"/>
  <c r="N725" i="3"/>
  <c r="L725" i="3"/>
  <c r="K725" i="3"/>
  <c r="H725" i="3"/>
  <c r="J725" i="3" s="1"/>
  <c r="G725" i="3"/>
  <c r="F725" i="3"/>
  <c r="D725" i="3" a="1"/>
  <c r="D725" i="3"/>
  <c r="C725" i="3" a="1"/>
  <c r="C725" i="3"/>
  <c r="B725" i="3" a="1"/>
  <c r="B725" i="3"/>
  <c r="M725" i="3" s="1" a="1"/>
  <c r="M725" i="3" s="1"/>
  <c r="N724" i="3" a="1"/>
  <c r="N724" i="3"/>
  <c r="M724" i="3"/>
  <c r="L724" i="3"/>
  <c r="K724" i="3"/>
  <c r="J724" i="3"/>
  <c r="I724" i="3"/>
  <c r="H724" i="3"/>
  <c r="G724" i="3"/>
  <c r="F724" i="3"/>
  <c r="D724" i="3" a="1"/>
  <c r="D724" i="3" s="1"/>
  <c r="C724" i="3" a="1"/>
  <c r="C724" i="3" s="1"/>
  <c r="B724" i="3" a="1"/>
  <c r="B724" i="3" s="1"/>
  <c r="M724" i="3" s="1" a="1"/>
  <c r="N723" i="3" a="1"/>
  <c r="N723" i="3" s="1"/>
  <c r="L723" i="3"/>
  <c r="K723" i="3"/>
  <c r="I723" i="3"/>
  <c r="H723" i="3"/>
  <c r="J723" i="3" s="1"/>
  <c r="G723" i="3"/>
  <c r="F723" i="3"/>
  <c r="D723" i="3" a="1"/>
  <c r="D723" i="3"/>
  <c r="C723" i="3" a="1"/>
  <c r="C723" i="3"/>
  <c r="B723" i="3" a="1"/>
  <c r="B723" i="3"/>
  <c r="M723" i="3" s="1" a="1"/>
  <c r="M723" i="3" s="1"/>
  <c r="N722" i="3" a="1"/>
  <c r="N722" i="3"/>
  <c r="L722" i="3"/>
  <c r="K722" i="3"/>
  <c r="H722" i="3"/>
  <c r="G722" i="3"/>
  <c r="F722" i="3"/>
  <c r="D722" i="3" a="1"/>
  <c r="D722" i="3" s="1"/>
  <c r="C722" i="3" a="1"/>
  <c r="C722" i="3" s="1"/>
  <c r="B722" i="3" a="1"/>
  <c r="B722" i="3" s="1"/>
  <c r="M722" i="3" s="1" a="1"/>
  <c r="M722" i="3" s="1"/>
  <c r="N721" i="3" a="1"/>
  <c r="N721" i="3" s="1"/>
  <c r="M721" i="3" a="1"/>
  <c r="M721" i="3" s="1"/>
  <c r="L721" i="3"/>
  <c r="K721" i="3"/>
  <c r="J721" i="3"/>
  <c r="H721" i="3"/>
  <c r="G721" i="3"/>
  <c r="F721" i="3"/>
  <c r="D721" i="3" a="1"/>
  <c r="D721" i="3" s="1"/>
  <c r="C721" i="3" a="1"/>
  <c r="C721" i="3" s="1"/>
  <c r="B721" i="3" a="1"/>
  <c r="B721" i="3" s="1"/>
  <c r="N720" i="3" a="1"/>
  <c r="N720" i="3" s="1"/>
  <c r="L720" i="3"/>
  <c r="K720" i="3"/>
  <c r="H720" i="3"/>
  <c r="J720" i="3" s="1"/>
  <c r="G720" i="3"/>
  <c r="F720" i="3"/>
  <c r="D720" i="3" a="1"/>
  <c r="D720" i="3" s="1"/>
  <c r="C720" i="3" a="1"/>
  <c r="C720" i="3"/>
  <c r="B720" i="3" a="1"/>
  <c r="B720" i="3"/>
  <c r="M720" i="3" s="1" a="1"/>
  <c r="M720" i="3" s="1"/>
  <c r="N719" i="3" a="1"/>
  <c r="N719" i="3"/>
  <c r="L719" i="3"/>
  <c r="K719" i="3"/>
  <c r="H719" i="3"/>
  <c r="G719" i="3"/>
  <c r="F719" i="3"/>
  <c r="D719" i="3" a="1"/>
  <c r="D719" i="3"/>
  <c r="C719" i="3" a="1"/>
  <c r="C719" i="3" s="1"/>
  <c r="B719" i="3" a="1"/>
  <c r="B719" i="3" s="1"/>
  <c r="M719" i="3" s="1" a="1"/>
  <c r="M719" i="3" s="1"/>
  <c r="N718" i="3" a="1"/>
  <c r="N718" i="3" s="1"/>
  <c r="L718" i="3"/>
  <c r="K718" i="3"/>
  <c r="J718" i="3"/>
  <c r="H718" i="3"/>
  <c r="I718" i="3" s="1"/>
  <c r="G718" i="3"/>
  <c r="F718" i="3"/>
  <c r="D718" i="3" a="1"/>
  <c r="D718" i="3"/>
  <c r="C718" i="3" a="1"/>
  <c r="C718" i="3" s="1"/>
  <c r="B718" i="3" a="1"/>
  <c r="B718" i="3"/>
  <c r="M718" i="3" s="1" a="1"/>
  <c r="M718" i="3" s="1"/>
  <c r="N717" i="3" a="1"/>
  <c r="N717" i="3"/>
  <c r="L717" i="3"/>
  <c r="K717" i="3"/>
  <c r="J717" i="3"/>
  <c r="I717" i="3"/>
  <c r="H717" i="3"/>
  <c r="G717" i="3"/>
  <c r="F717" i="3"/>
  <c r="D717" i="3" a="1"/>
  <c r="D717" i="3" s="1"/>
  <c r="C717" i="3" a="1"/>
  <c r="C717" i="3"/>
  <c r="B717" i="3" a="1"/>
  <c r="B717" i="3" s="1"/>
  <c r="M717" i="3" s="1" a="1"/>
  <c r="M717" i="3" s="1"/>
  <c r="N716" i="3" a="1"/>
  <c r="N716" i="3" s="1"/>
  <c r="L716" i="3"/>
  <c r="K716" i="3"/>
  <c r="H716" i="3"/>
  <c r="G716" i="3"/>
  <c r="F716" i="3"/>
  <c r="D716" i="3" a="1"/>
  <c r="D716" i="3" s="1"/>
  <c r="C716" i="3" a="1"/>
  <c r="C716" i="3"/>
  <c r="B716" i="3" a="1"/>
  <c r="B716" i="3" s="1"/>
  <c r="M716" i="3" s="1" a="1"/>
  <c r="M716" i="3" s="1"/>
  <c r="N715" i="3" a="1"/>
  <c r="N715" i="3"/>
  <c r="M715" i="3"/>
  <c r="L715" i="3"/>
  <c r="K715" i="3"/>
  <c r="J715" i="3"/>
  <c r="I715" i="3"/>
  <c r="H715" i="3"/>
  <c r="G715" i="3"/>
  <c r="F715" i="3"/>
  <c r="D715" i="3" a="1"/>
  <c r="D715" i="3"/>
  <c r="C715" i="3" a="1"/>
  <c r="C715" i="3" s="1"/>
  <c r="B715" i="3" a="1"/>
  <c r="B715" i="3"/>
  <c r="M715" i="3" s="1" a="1"/>
  <c r="N714" i="3" a="1"/>
  <c r="N714" i="3" s="1"/>
  <c r="L714" i="3"/>
  <c r="K714" i="3"/>
  <c r="J714" i="3"/>
  <c r="H714" i="3"/>
  <c r="G714" i="3"/>
  <c r="F714" i="3"/>
  <c r="D714" i="3" a="1"/>
  <c r="D714" i="3" s="1"/>
  <c r="C714" i="3" a="1"/>
  <c r="C714" i="3"/>
  <c r="B714" i="3" a="1"/>
  <c r="B714" i="3" s="1"/>
  <c r="M714" i="3" s="1" a="1"/>
  <c r="M714" i="3" s="1"/>
  <c r="N713" i="3" a="1"/>
  <c r="N713" i="3"/>
  <c r="L713" i="3"/>
  <c r="K713" i="3"/>
  <c r="J713" i="3"/>
  <c r="H713" i="3"/>
  <c r="I713" i="3" s="1"/>
  <c r="G713" i="3"/>
  <c r="F713" i="3"/>
  <c r="D713" i="3" a="1"/>
  <c r="D713" i="3"/>
  <c r="C713" i="3" a="1"/>
  <c r="C713" i="3"/>
  <c r="B713" i="3" a="1"/>
  <c r="B713" i="3" s="1"/>
  <c r="M713" i="3" s="1" a="1"/>
  <c r="M713" i="3" s="1"/>
  <c r="N712" i="3" a="1"/>
  <c r="N712" i="3"/>
  <c r="L712" i="3"/>
  <c r="K712" i="3"/>
  <c r="J712" i="3"/>
  <c r="I712" i="3"/>
  <c r="H712" i="3"/>
  <c r="G712" i="3"/>
  <c r="F712" i="3"/>
  <c r="D712" i="3" a="1"/>
  <c r="D712" i="3" s="1"/>
  <c r="C712" i="3" a="1"/>
  <c r="C712" i="3" s="1"/>
  <c r="B712" i="3" a="1"/>
  <c r="B712" i="3"/>
  <c r="M712" i="3" s="1" a="1"/>
  <c r="M712" i="3" s="1"/>
  <c r="N711" i="3" a="1"/>
  <c r="N711" i="3" s="1"/>
  <c r="M711" i="3"/>
  <c r="L711" i="3"/>
  <c r="K711" i="3"/>
  <c r="H711" i="3"/>
  <c r="G711" i="3"/>
  <c r="F711" i="3"/>
  <c r="D711" i="3" a="1"/>
  <c r="D711" i="3"/>
  <c r="C711" i="3" a="1"/>
  <c r="C711" i="3"/>
  <c r="B711" i="3" a="1"/>
  <c r="B711" i="3"/>
  <c r="M711" i="3" s="1" a="1"/>
  <c r="N710" i="3" a="1"/>
  <c r="N710" i="3" s="1"/>
  <c r="L710" i="3"/>
  <c r="K710" i="3"/>
  <c r="H710" i="3"/>
  <c r="J710" i="3" s="1"/>
  <c r="G710" i="3"/>
  <c r="F710" i="3"/>
  <c r="D710" i="3" a="1"/>
  <c r="D710" i="3"/>
  <c r="C710" i="3" a="1"/>
  <c r="C710" i="3"/>
  <c r="B710" i="3" a="1"/>
  <c r="B710" i="3"/>
  <c r="M710" i="3" s="1" a="1"/>
  <c r="M710" i="3" s="1"/>
  <c r="N709" i="3" a="1"/>
  <c r="N709" i="3"/>
  <c r="L709" i="3"/>
  <c r="K709" i="3"/>
  <c r="J709" i="3"/>
  <c r="I709" i="3"/>
  <c r="H709" i="3"/>
  <c r="G709" i="3"/>
  <c r="F709" i="3"/>
  <c r="D709" i="3" a="1"/>
  <c r="D709" i="3" s="1"/>
  <c r="C709" i="3" a="1"/>
  <c r="C709" i="3" s="1"/>
  <c r="B709" i="3" a="1"/>
  <c r="B709" i="3" s="1"/>
  <c r="M709" i="3" s="1" a="1"/>
  <c r="M709" i="3" s="1"/>
  <c r="N708" i="3" a="1"/>
  <c r="N708" i="3" s="1"/>
  <c r="L708" i="3"/>
  <c r="K708" i="3"/>
  <c r="H708" i="3"/>
  <c r="J708" i="3" s="1"/>
  <c r="G708" i="3"/>
  <c r="F708" i="3"/>
  <c r="D708" i="3" a="1"/>
  <c r="D708" i="3"/>
  <c r="C708" i="3" a="1"/>
  <c r="C708" i="3"/>
  <c r="B708" i="3" a="1"/>
  <c r="B708" i="3"/>
  <c r="M708" i="3" s="1" a="1"/>
  <c r="M708" i="3" s="1"/>
  <c r="N707" i="3" a="1"/>
  <c r="N707" i="3"/>
  <c r="L707" i="3"/>
  <c r="K707" i="3"/>
  <c r="H707" i="3"/>
  <c r="G707" i="3"/>
  <c r="F707" i="3"/>
  <c r="D707" i="3" a="1"/>
  <c r="D707" i="3" s="1"/>
  <c r="C707" i="3" a="1"/>
  <c r="C707" i="3" s="1"/>
  <c r="B707" i="3" a="1"/>
  <c r="B707" i="3" s="1"/>
  <c r="M707" i="3" s="1" a="1"/>
  <c r="M707" i="3" s="1"/>
  <c r="N706" i="3" a="1"/>
  <c r="N706" i="3" s="1"/>
  <c r="L706" i="3"/>
  <c r="K706" i="3"/>
  <c r="J706" i="3"/>
  <c r="H706" i="3"/>
  <c r="G706" i="3"/>
  <c r="F706" i="3"/>
  <c r="D706" i="3" a="1"/>
  <c r="D706" i="3" s="1"/>
  <c r="C706" i="3" a="1"/>
  <c r="C706" i="3" s="1"/>
  <c r="B706" i="3" a="1"/>
  <c r="B706" i="3" s="1"/>
  <c r="M706" i="3" s="1" a="1"/>
  <c r="M706" i="3" s="1"/>
  <c r="N705" i="3" a="1"/>
  <c r="N705" i="3" s="1"/>
  <c r="L705" i="3"/>
  <c r="K705" i="3"/>
  <c r="H705" i="3"/>
  <c r="J705" i="3" s="1"/>
  <c r="G705" i="3"/>
  <c r="F705" i="3"/>
  <c r="D705" i="3" a="1"/>
  <c r="D705" i="3"/>
  <c r="C705" i="3" a="1"/>
  <c r="C705" i="3"/>
  <c r="B705" i="3" a="1"/>
  <c r="B705" i="3"/>
  <c r="M705" i="3" s="1" a="1"/>
  <c r="M705" i="3" s="1"/>
  <c r="N704" i="3" a="1"/>
  <c r="N704" i="3"/>
  <c r="L704" i="3"/>
  <c r="K704" i="3"/>
  <c r="H704" i="3"/>
  <c r="G704" i="3"/>
  <c r="F704" i="3"/>
  <c r="D704" i="3" a="1"/>
  <c r="D704" i="3"/>
  <c r="C704" i="3" a="1"/>
  <c r="C704" i="3" s="1"/>
  <c r="B704" i="3" a="1"/>
  <c r="B704" i="3" s="1"/>
  <c r="M704" i="3" s="1" a="1"/>
  <c r="M704" i="3" s="1"/>
  <c r="N703" i="3" a="1"/>
  <c r="N703" i="3" s="1"/>
  <c r="L703" i="3"/>
  <c r="K703" i="3"/>
  <c r="J703" i="3"/>
  <c r="H703" i="3"/>
  <c r="I703" i="3" s="1"/>
  <c r="G703" i="3"/>
  <c r="F703" i="3"/>
  <c r="D703" i="3" a="1"/>
  <c r="D703" i="3"/>
  <c r="C703" i="3" a="1"/>
  <c r="C703" i="3"/>
  <c r="B703" i="3" a="1"/>
  <c r="B703" i="3"/>
  <c r="M703" i="3" s="1" a="1"/>
  <c r="M703" i="3" s="1"/>
  <c r="N702" i="3" a="1"/>
  <c r="N702" i="3"/>
  <c r="L702" i="3"/>
  <c r="K702" i="3"/>
  <c r="H702" i="3"/>
  <c r="J702" i="3" s="1"/>
  <c r="G702" i="3"/>
  <c r="F702" i="3"/>
  <c r="D702" i="3" a="1"/>
  <c r="D702" i="3" s="1"/>
  <c r="C702" i="3" a="1"/>
  <c r="C702" i="3"/>
  <c r="B702" i="3" a="1"/>
  <c r="B702" i="3"/>
  <c r="M702" i="3" s="1" a="1"/>
  <c r="M702" i="3" s="1"/>
  <c r="N701" i="3" a="1"/>
  <c r="N701" i="3"/>
  <c r="M701" i="3"/>
  <c r="L701" i="3"/>
  <c r="K701" i="3"/>
  <c r="J701" i="3"/>
  <c r="I701" i="3"/>
  <c r="H701" i="3"/>
  <c r="G701" i="3"/>
  <c r="F701" i="3"/>
  <c r="D701" i="3" a="1"/>
  <c r="D701" i="3"/>
  <c r="C701" i="3" a="1"/>
  <c r="C701" i="3" s="1"/>
  <c r="B701" i="3" a="1"/>
  <c r="B701" i="3"/>
  <c r="M701" i="3" s="1" a="1"/>
  <c r="N700" i="3" a="1"/>
  <c r="N700" i="3" s="1"/>
  <c r="M700" i="3" a="1"/>
  <c r="M700" i="3" s="1"/>
  <c r="L700" i="3"/>
  <c r="K700" i="3"/>
  <c r="J700" i="3"/>
  <c r="H700" i="3"/>
  <c r="I700" i="3" s="1"/>
  <c r="G700" i="3"/>
  <c r="F700" i="3"/>
  <c r="D700" i="3" a="1"/>
  <c r="D700" i="3"/>
  <c r="C700" i="3" a="1"/>
  <c r="C700" i="3" s="1"/>
  <c r="B700" i="3" a="1"/>
  <c r="B700" i="3"/>
  <c r="N699" i="3" a="1"/>
  <c r="N699" i="3"/>
  <c r="L699" i="3"/>
  <c r="K699" i="3"/>
  <c r="J699" i="3"/>
  <c r="I699" i="3"/>
  <c r="H699" i="3"/>
  <c r="G699" i="3"/>
  <c r="F699" i="3"/>
  <c r="D699" i="3" a="1"/>
  <c r="D699" i="3" s="1"/>
  <c r="C699" i="3" a="1"/>
  <c r="C699" i="3"/>
  <c r="B699" i="3" a="1"/>
  <c r="B699" i="3" s="1"/>
  <c r="M699" i="3" s="1" a="1"/>
  <c r="M699" i="3" s="1"/>
  <c r="N698" i="3" a="1"/>
  <c r="N698" i="3"/>
  <c r="L698" i="3"/>
  <c r="K698" i="3"/>
  <c r="J698" i="3"/>
  <c r="H698" i="3"/>
  <c r="G698" i="3"/>
  <c r="F698" i="3"/>
  <c r="D698" i="3" a="1"/>
  <c r="D698" i="3" s="1"/>
  <c r="C698" i="3" a="1"/>
  <c r="C698" i="3" s="1"/>
  <c r="B698" i="3" a="1"/>
  <c r="B698" i="3"/>
  <c r="M698" i="3" s="1" a="1"/>
  <c r="M698" i="3" s="1"/>
  <c r="N697" i="3" a="1"/>
  <c r="N697" i="3" s="1"/>
  <c r="L697" i="3"/>
  <c r="K697" i="3"/>
  <c r="H697" i="3"/>
  <c r="I697" i="3" s="1"/>
  <c r="G697" i="3"/>
  <c r="F697" i="3"/>
  <c r="D697" i="3" a="1"/>
  <c r="D697" i="3"/>
  <c r="C697" i="3" a="1"/>
  <c r="C697" i="3"/>
  <c r="B697" i="3" a="1"/>
  <c r="B697" i="3"/>
  <c r="M697" i="3" s="1" a="1"/>
  <c r="M697" i="3" s="1"/>
  <c r="N696" i="3" a="1"/>
  <c r="N696" i="3"/>
  <c r="L696" i="3"/>
  <c r="K696" i="3"/>
  <c r="I696" i="3"/>
  <c r="H696" i="3"/>
  <c r="J696" i="3" s="1"/>
  <c r="G696" i="3"/>
  <c r="F696" i="3"/>
  <c r="D696" i="3" a="1"/>
  <c r="D696" i="3" s="1"/>
  <c r="C696" i="3" a="1"/>
  <c r="C696" i="3" s="1"/>
  <c r="B696" i="3" a="1"/>
  <c r="B696" i="3" s="1"/>
  <c r="M696" i="3" s="1" a="1"/>
  <c r="M696" i="3" s="1"/>
  <c r="N695" i="3" a="1"/>
  <c r="N695" i="3"/>
  <c r="L695" i="3"/>
  <c r="K695" i="3"/>
  <c r="H695" i="3"/>
  <c r="I695" i="3" s="1"/>
  <c r="G695" i="3"/>
  <c r="F695" i="3"/>
  <c r="D695" i="3" a="1"/>
  <c r="D695" i="3"/>
  <c r="C695" i="3" a="1"/>
  <c r="C695" i="3"/>
  <c r="B695" i="3" a="1"/>
  <c r="B695" i="3"/>
  <c r="M695" i="3" s="1" a="1"/>
  <c r="M695" i="3" s="1"/>
  <c r="N694" i="3" a="1"/>
  <c r="N694" i="3"/>
  <c r="M694" i="3" a="1"/>
  <c r="M694" i="3" s="1"/>
  <c r="L694" i="3"/>
  <c r="K694" i="3"/>
  <c r="J694" i="3"/>
  <c r="H694" i="3"/>
  <c r="G694" i="3"/>
  <c r="F694" i="3"/>
  <c r="D694" i="3" a="1"/>
  <c r="D694" i="3"/>
  <c r="C694" i="3" a="1"/>
  <c r="C694" i="3"/>
  <c r="B694" i="3" a="1"/>
  <c r="B694" i="3"/>
  <c r="N693" i="3" a="1"/>
  <c r="N693" i="3"/>
  <c r="L693" i="3"/>
  <c r="K693" i="3"/>
  <c r="H693" i="3"/>
  <c r="G693" i="3"/>
  <c r="F693" i="3"/>
  <c r="D693" i="3" a="1"/>
  <c r="D693" i="3"/>
  <c r="C693" i="3" a="1"/>
  <c r="C693" i="3" s="1"/>
  <c r="B693" i="3" a="1"/>
  <c r="B693" i="3" s="1"/>
  <c r="M693" i="3" s="1" a="1"/>
  <c r="M693" i="3" s="1"/>
  <c r="N692" i="3" a="1"/>
  <c r="N692" i="3" s="1"/>
  <c r="M692" i="3" a="1"/>
  <c r="M692" i="3" s="1"/>
  <c r="L692" i="3"/>
  <c r="K692" i="3"/>
  <c r="J692" i="3"/>
  <c r="H692" i="3"/>
  <c r="I692" i="3" s="1"/>
  <c r="G692" i="3"/>
  <c r="F692" i="3"/>
  <c r="D692" i="3" a="1"/>
  <c r="D692" i="3"/>
  <c r="C692" i="3" a="1"/>
  <c r="C692" i="3"/>
  <c r="B692" i="3" a="1"/>
  <c r="B692" i="3"/>
  <c r="N691" i="3" a="1"/>
  <c r="N691" i="3"/>
  <c r="L691" i="3"/>
  <c r="K691" i="3"/>
  <c r="J691" i="3"/>
  <c r="I691" i="3"/>
  <c r="H691" i="3"/>
  <c r="G691" i="3"/>
  <c r="F691" i="3"/>
  <c r="D691" i="3" a="1"/>
  <c r="D691" i="3" s="1"/>
  <c r="C691" i="3" a="1"/>
  <c r="C691" i="3"/>
  <c r="B691" i="3" a="1"/>
  <c r="B691" i="3" s="1"/>
  <c r="M691" i="3" s="1" a="1"/>
  <c r="M691" i="3" s="1"/>
  <c r="N690" i="3" a="1"/>
  <c r="N690" i="3" s="1"/>
  <c r="L690" i="3"/>
  <c r="K690" i="3"/>
  <c r="H690" i="3"/>
  <c r="J690" i="3" s="1"/>
  <c r="G690" i="3"/>
  <c r="F690" i="3"/>
  <c r="D690" i="3" a="1"/>
  <c r="D690" i="3"/>
  <c r="C690" i="3" a="1"/>
  <c r="C690" i="3" s="1"/>
  <c r="B690" i="3" a="1"/>
  <c r="B690" i="3" s="1"/>
  <c r="M690" i="3" s="1" a="1"/>
  <c r="M690" i="3" s="1"/>
  <c r="N689" i="3" a="1"/>
  <c r="N689" i="3" s="1"/>
  <c r="M689" i="3" a="1"/>
  <c r="M689" i="3" s="1"/>
  <c r="L689" i="3"/>
  <c r="K689" i="3"/>
  <c r="J689" i="3"/>
  <c r="H689" i="3"/>
  <c r="I689" i="3" s="1"/>
  <c r="G689" i="3"/>
  <c r="F689" i="3"/>
  <c r="D689" i="3" a="1"/>
  <c r="D689" i="3"/>
  <c r="C689" i="3" a="1"/>
  <c r="C689" i="3"/>
  <c r="B689" i="3" a="1"/>
  <c r="B689" i="3"/>
  <c r="N688" i="3" a="1"/>
  <c r="N688" i="3"/>
  <c r="M688" i="3"/>
  <c r="L688" i="3"/>
  <c r="K688" i="3"/>
  <c r="I688" i="3"/>
  <c r="H688" i="3"/>
  <c r="J688" i="3" s="1"/>
  <c r="G688" i="3"/>
  <c r="F688" i="3"/>
  <c r="D688" i="3" a="1"/>
  <c r="D688" i="3" s="1"/>
  <c r="C688" i="3" a="1"/>
  <c r="C688" i="3"/>
  <c r="B688" i="3" a="1"/>
  <c r="B688" i="3" s="1"/>
  <c r="M688" i="3" s="1" a="1"/>
  <c r="N687" i="3" a="1"/>
  <c r="N687" i="3"/>
  <c r="L687" i="3"/>
  <c r="K687" i="3"/>
  <c r="H687" i="3"/>
  <c r="I687" i="3" s="1"/>
  <c r="G687" i="3"/>
  <c r="F687" i="3"/>
  <c r="D687" i="3" a="1"/>
  <c r="D687" i="3" s="1"/>
  <c r="C687" i="3" a="1"/>
  <c r="C687" i="3"/>
  <c r="B687" i="3" a="1"/>
  <c r="B687" i="3" s="1"/>
  <c r="M687" i="3" s="1" a="1"/>
  <c r="M687" i="3" s="1"/>
  <c r="N686" i="3" a="1"/>
  <c r="N686" i="3"/>
  <c r="M686" i="3" a="1"/>
  <c r="M686" i="3" s="1"/>
  <c r="L686" i="3"/>
  <c r="K686" i="3"/>
  <c r="H686" i="3"/>
  <c r="J686" i="3" s="1"/>
  <c r="G686" i="3"/>
  <c r="F686" i="3"/>
  <c r="D686" i="3" a="1"/>
  <c r="D686" i="3"/>
  <c r="C686" i="3" a="1"/>
  <c r="C686" i="3"/>
  <c r="B686" i="3" a="1"/>
  <c r="B686" i="3"/>
  <c r="N685" i="3" a="1"/>
  <c r="N685" i="3"/>
  <c r="L685" i="3"/>
  <c r="K685" i="3"/>
  <c r="J685" i="3"/>
  <c r="I685" i="3"/>
  <c r="H685" i="3"/>
  <c r="G685" i="3"/>
  <c r="F685" i="3"/>
  <c r="D685" i="3" a="1"/>
  <c r="D685" i="3" s="1"/>
  <c r="C685" i="3" a="1"/>
  <c r="C685" i="3"/>
  <c r="B685" i="3" a="1"/>
  <c r="B685" i="3" s="1"/>
  <c r="M685" i="3" s="1" a="1"/>
  <c r="M685" i="3" s="1"/>
  <c r="N684" i="3" a="1"/>
  <c r="N684" i="3"/>
  <c r="M684" i="3" a="1"/>
  <c r="M684" i="3" s="1"/>
  <c r="L684" i="3"/>
  <c r="K684" i="3"/>
  <c r="J684" i="3"/>
  <c r="H684" i="3"/>
  <c r="I684" i="3" s="1"/>
  <c r="G684" i="3"/>
  <c r="F684" i="3"/>
  <c r="D684" i="3" a="1"/>
  <c r="D684" i="3"/>
  <c r="C684" i="3" a="1"/>
  <c r="C684" i="3"/>
  <c r="B684" i="3" a="1"/>
  <c r="B684" i="3"/>
  <c r="N683" i="3" a="1"/>
  <c r="N683" i="3"/>
  <c r="M683" i="3" a="1"/>
  <c r="M683" i="3" s="1"/>
  <c r="L683" i="3"/>
  <c r="K683" i="3"/>
  <c r="J683" i="3"/>
  <c r="I683" i="3"/>
  <c r="H683" i="3"/>
  <c r="G683" i="3"/>
  <c r="F683" i="3"/>
  <c r="D683" i="3" a="1"/>
  <c r="D683" i="3" s="1"/>
  <c r="C683" i="3" a="1"/>
  <c r="C683" i="3" s="1"/>
  <c r="B683" i="3" a="1"/>
  <c r="B683" i="3"/>
  <c r="N682" i="3" a="1"/>
  <c r="N682" i="3" s="1"/>
  <c r="L682" i="3"/>
  <c r="K682" i="3"/>
  <c r="H682" i="3"/>
  <c r="J682" i="3" s="1"/>
  <c r="G682" i="3"/>
  <c r="F682" i="3"/>
  <c r="D682" i="3" a="1"/>
  <c r="D682" i="3" s="1"/>
  <c r="C682" i="3" a="1"/>
  <c r="C682" i="3" s="1"/>
  <c r="B682" i="3" a="1"/>
  <c r="B682" i="3" s="1"/>
  <c r="M682" i="3" s="1" a="1"/>
  <c r="M682" i="3" s="1"/>
  <c r="N681" i="3" a="1"/>
  <c r="N681" i="3" s="1"/>
  <c r="M681" i="3" a="1"/>
  <c r="M681" i="3" s="1"/>
  <c r="L681" i="3"/>
  <c r="K681" i="3"/>
  <c r="H681" i="3"/>
  <c r="I681" i="3" s="1"/>
  <c r="G681" i="3"/>
  <c r="F681" i="3"/>
  <c r="D681" i="3" a="1"/>
  <c r="D681" i="3"/>
  <c r="C681" i="3" a="1"/>
  <c r="C681" i="3"/>
  <c r="B681" i="3" a="1"/>
  <c r="B681" i="3"/>
  <c r="N680" i="3" a="1"/>
  <c r="N680" i="3"/>
  <c r="L680" i="3"/>
  <c r="K680" i="3"/>
  <c r="J680" i="3"/>
  <c r="I680" i="3"/>
  <c r="H680" i="3"/>
  <c r="G680" i="3"/>
  <c r="F680" i="3"/>
  <c r="D680" i="3" a="1"/>
  <c r="D680" i="3" s="1"/>
  <c r="C680" i="3" a="1"/>
  <c r="C680" i="3"/>
  <c r="B680" i="3" a="1"/>
  <c r="B680" i="3" s="1"/>
  <c r="M680" i="3" s="1" a="1"/>
  <c r="M680" i="3" s="1"/>
  <c r="N679" i="3" a="1"/>
  <c r="N679" i="3" s="1"/>
  <c r="L679" i="3"/>
  <c r="K679" i="3"/>
  <c r="I679" i="3"/>
  <c r="H679" i="3"/>
  <c r="J679" i="3" s="1"/>
  <c r="G679" i="3"/>
  <c r="F679" i="3"/>
  <c r="D679" i="3" a="1"/>
  <c r="D679" i="3" s="1"/>
  <c r="C679" i="3" a="1"/>
  <c r="C679" i="3"/>
  <c r="B679" i="3" a="1"/>
  <c r="B679" i="3" s="1"/>
  <c r="M679" i="3" s="1" a="1"/>
  <c r="M679" i="3" s="1"/>
  <c r="N678" i="3" a="1"/>
  <c r="N678" i="3"/>
  <c r="L678" i="3"/>
  <c r="K678" i="3"/>
  <c r="H678" i="3"/>
  <c r="G678" i="3"/>
  <c r="F678" i="3"/>
  <c r="D678" i="3" a="1"/>
  <c r="D678" i="3" s="1"/>
  <c r="C678" i="3" a="1"/>
  <c r="C678" i="3" s="1"/>
  <c r="B678" i="3" a="1"/>
  <c r="B678" i="3" s="1"/>
  <c r="M678" i="3" s="1" a="1"/>
  <c r="M678" i="3" s="1"/>
  <c r="N677" i="3" a="1"/>
  <c r="N677" i="3" s="1"/>
  <c r="L677" i="3"/>
  <c r="K677" i="3"/>
  <c r="J677" i="3"/>
  <c r="H677" i="3"/>
  <c r="I677" i="3" s="1"/>
  <c r="G677" i="3"/>
  <c r="F677" i="3"/>
  <c r="D677" i="3" a="1"/>
  <c r="D677" i="3"/>
  <c r="C677" i="3" a="1"/>
  <c r="C677" i="3" s="1"/>
  <c r="B677" i="3" a="1"/>
  <c r="B677" i="3" s="1"/>
  <c r="M677" i="3" s="1" a="1"/>
  <c r="M677" i="3" s="1"/>
  <c r="N676" i="3" a="1"/>
  <c r="N676" i="3" s="1"/>
  <c r="L676" i="3"/>
  <c r="K676" i="3"/>
  <c r="J676" i="3"/>
  <c r="I676" i="3"/>
  <c r="H676" i="3"/>
  <c r="G676" i="3"/>
  <c r="F676" i="3"/>
  <c r="D676" i="3" a="1"/>
  <c r="D676" i="3" s="1"/>
  <c r="C676" i="3" a="1"/>
  <c r="C676" i="3"/>
  <c r="B676" i="3" a="1"/>
  <c r="B676" i="3" s="1"/>
  <c r="M676" i="3" s="1" a="1"/>
  <c r="M676" i="3" s="1"/>
  <c r="N675" i="3" a="1"/>
  <c r="N675" i="3"/>
  <c r="L675" i="3"/>
  <c r="K675" i="3"/>
  <c r="J675" i="3"/>
  <c r="H675" i="3"/>
  <c r="G675" i="3"/>
  <c r="F675" i="3"/>
  <c r="D675" i="3" a="1"/>
  <c r="D675" i="3"/>
  <c r="C675" i="3" a="1"/>
  <c r="C675" i="3" s="1"/>
  <c r="B675" i="3" a="1"/>
  <c r="B675" i="3"/>
  <c r="M675" i="3" s="1" a="1"/>
  <c r="M675" i="3" s="1"/>
  <c r="N674" i="3" a="1"/>
  <c r="N674" i="3"/>
  <c r="L674" i="3"/>
  <c r="K674" i="3"/>
  <c r="H674" i="3"/>
  <c r="I674" i="3" s="1"/>
  <c r="G674" i="3"/>
  <c r="F674" i="3"/>
  <c r="D674" i="3" a="1"/>
  <c r="D674" i="3"/>
  <c r="C674" i="3" a="1"/>
  <c r="C674" i="3" s="1"/>
  <c r="B674" i="3" a="1"/>
  <c r="B674" i="3"/>
  <c r="M674" i="3" s="1" a="1"/>
  <c r="M674" i="3" s="1"/>
  <c r="N673" i="3" a="1"/>
  <c r="N673" i="3"/>
  <c r="M673" i="3" a="1"/>
  <c r="M673" i="3" s="1"/>
  <c r="L673" i="3"/>
  <c r="K673" i="3"/>
  <c r="I673" i="3"/>
  <c r="H673" i="3"/>
  <c r="J673" i="3" s="1"/>
  <c r="G673" i="3"/>
  <c r="F673" i="3"/>
  <c r="D673" i="3" a="1"/>
  <c r="D673" i="3" s="1"/>
  <c r="C673" i="3" a="1"/>
  <c r="C673" i="3"/>
  <c r="B673" i="3" a="1"/>
  <c r="B673" i="3" s="1"/>
  <c r="N672" i="3" a="1"/>
  <c r="N672" i="3" s="1"/>
  <c r="L672" i="3"/>
  <c r="K672" i="3"/>
  <c r="J672" i="3"/>
  <c r="H672" i="3"/>
  <c r="I672" i="3" s="1"/>
  <c r="G672" i="3"/>
  <c r="F672" i="3"/>
  <c r="D672" i="3" a="1"/>
  <c r="D672" i="3"/>
  <c r="C672" i="3" a="1"/>
  <c r="C672" i="3"/>
  <c r="B672" i="3" a="1"/>
  <c r="B672" i="3"/>
  <c r="M672" i="3" s="1" a="1"/>
  <c r="M672" i="3" s="1"/>
  <c r="N671" i="3" a="1"/>
  <c r="N671" i="3"/>
  <c r="M671" i="3" a="1"/>
  <c r="M671" i="3" s="1"/>
  <c r="L671" i="3"/>
  <c r="K671" i="3"/>
  <c r="H671" i="3"/>
  <c r="J671" i="3" s="1"/>
  <c r="G671" i="3"/>
  <c r="F671" i="3"/>
  <c r="D671" i="3" a="1"/>
  <c r="D671" i="3"/>
  <c r="C671" i="3" a="1"/>
  <c r="C671" i="3"/>
  <c r="B671" i="3" a="1"/>
  <c r="B671" i="3"/>
  <c r="N670" i="3" a="1"/>
  <c r="N670" i="3" s="1"/>
  <c r="L670" i="3"/>
  <c r="K670" i="3"/>
  <c r="H670" i="3"/>
  <c r="J670" i="3" s="1"/>
  <c r="G670" i="3"/>
  <c r="F670" i="3"/>
  <c r="D670" i="3" a="1"/>
  <c r="D670" i="3" s="1"/>
  <c r="C670" i="3" a="1"/>
  <c r="C670" i="3" s="1"/>
  <c r="B670" i="3" a="1"/>
  <c r="B670" i="3" s="1"/>
  <c r="M670" i="3" s="1" a="1"/>
  <c r="M670" i="3" s="1"/>
  <c r="N669" i="3" a="1"/>
  <c r="N669" i="3"/>
  <c r="L669" i="3"/>
  <c r="K669" i="3"/>
  <c r="J669" i="3"/>
  <c r="H669" i="3"/>
  <c r="I669" i="3" s="1"/>
  <c r="G669" i="3"/>
  <c r="F669" i="3"/>
  <c r="D669" i="3" a="1"/>
  <c r="D669" i="3"/>
  <c r="C669" i="3" a="1"/>
  <c r="C669" i="3"/>
  <c r="B669" i="3" a="1"/>
  <c r="B669" i="3" s="1"/>
  <c r="M669" i="3" s="1" a="1"/>
  <c r="M669" i="3" s="1"/>
  <c r="N668" i="3" a="1"/>
  <c r="N668" i="3"/>
  <c r="L668" i="3"/>
  <c r="K668" i="3"/>
  <c r="J668" i="3"/>
  <c r="I668" i="3"/>
  <c r="H668" i="3"/>
  <c r="G668" i="3"/>
  <c r="F668" i="3"/>
  <c r="D668" i="3" a="1"/>
  <c r="D668" i="3" s="1"/>
  <c r="C668" i="3" a="1"/>
  <c r="C668" i="3" s="1"/>
  <c r="B668" i="3" a="1"/>
  <c r="B668" i="3"/>
  <c r="M668" i="3" s="1" a="1"/>
  <c r="M668" i="3" s="1"/>
  <c r="N667" i="3" a="1"/>
  <c r="N667" i="3" s="1"/>
  <c r="M667" i="3"/>
  <c r="L667" i="3"/>
  <c r="K667" i="3"/>
  <c r="H667" i="3"/>
  <c r="J667" i="3" s="1"/>
  <c r="G667" i="3"/>
  <c r="F667" i="3"/>
  <c r="D667" i="3" a="1"/>
  <c r="D667" i="3"/>
  <c r="C667" i="3" a="1"/>
  <c r="C667" i="3" s="1"/>
  <c r="B667" i="3" a="1"/>
  <c r="B667" i="3" s="1"/>
  <c r="M667" i="3" s="1" a="1"/>
  <c r="N666" i="3" a="1"/>
  <c r="N666" i="3"/>
  <c r="L666" i="3"/>
  <c r="K666" i="3"/>
  <c r="H666" i="3"/>
  <c r="I666" i="3" s="1"/>
  <c r="G666" i="3"/>
  <c r="F666" i="3"/>
  <c r="D666" i="3" a="1"/>
  <c r="D666" i="3"/>
  <c r="C666" i="3" a="1"/>
  <c r="C666" i="3"/>
  <c r="B666" i="3" a="1"/>
  <c r="B666" i="3"/>
  <c r="M666" i="3" s="1" a="1"/>
  <c r="M666" i="3" s="1"/>
  <c r="N665" i="3" a="1"/>
  <c r="N665" i="3"/>
  <c r="L665" i="3"/>
  <c r="K665" i="3"/>
  <c r="J665" i="3"/>
  <c r="I665" i="3"/>
  <c r="H665" i="3"/>
  <c r="G665" i="3"/>
  <c r="F665" i="3"/>
  <c r="D665" i="3" a="1"/>
  <c r="D665" i="3" s="1"/>
  <c r="C665" i="3" a="1"/>
  <c r="C665" i="3"/>
  <c r="B665" i="3" a="1"/>
  <c r="B665" i="3" s="1"/>
  <c r="M665" i="3" s="1" a="1"/>
  <c r="M665" i="3" s="1"/>
  <c r="N664" i="3" a="1"/>
  <c r="N664" i="3"/>
  <c r="M664" i="3" a="1"/>
  <c r="M664" i="3" s="1"/>
  <c r="L664" i="3"/>
  <c r="K664" i="3"/>
  <c r="I664" i="3"/>
  <c r="H664" i="3"/>
  <c r="J664" i="3" s="1"/>
  <c r="G664" i="3"/>
  <c r="F664" i="3"/>
  <c r="D664" i="3" a="1"/>
  <c r="D664" i="3"/>
  <c r="C664" i="3" a="1"/>
  <c r="C664" i="3" s="1"/>
  <c r="B664" i="3" a="1"/>
  <c r="B664" i="3"/>
  <c r="N663" i="3" a="1"/>
  <c r="N663" i="3"/>
  <c r="L663" i="3"/>
  <c r="K663" i="3"/>
  <c r="H663" i="3"/>
  <c r="J663" i="3" s="1"/>
  <c r="G663" i="3"/>
  <c r="F663" i="3"/>
  <c r="D663" i="3" a="1"/>
  <c r="D663" i="3"/>
  <c r="C663" i="3" a="1"/>
  <c r="C663" i="3" s="1"/>
  <c r="B663" i="3" a="1"/>
  <c r="B663" i="3" s="1"/>
  <c r="M663" i="3" s="1" a="1"/>
  <c r="M663" i="3" s="1"/>
  <c r="N662" i="3" a="1"/>
  <c r="N662" i="3" s="1"/>
  <c r="L662" i="3"/>
  <c r="K662" i="3"/>
  <c r="J662" i="3"/>
  <c r="I662" i="3"/>
  <c r="H662" i="3"/>
  <c r="G662" i="3"/>
  <c r="F662" i="3"/>
  <c r="D662" i="3" a="1"/>
  <c r="D662" i="3" s="1"/>
  <c r="C662" i="3" a="1"/>
  <c r="C662" i="3" s="1"/>
  <c r="B662" i="3" a="1"/>
  <c r="B662" i="3" s="1"/>
  <c r="M662" i="3" s="1" a="1"/>
  <c r="M662" i="3" s="1"/>
  <c r="N661" i="3" a="1"/>
  <c r="N661" i="3" s="1"/>
  <c r="L661" i="3"/>
  <c r="K661" i="3"/>
  <c r="J661" i="3"/>
  <c r="H661" i="3"/>
  <c r="I661" i="3" s="1"/>
  <c r="G661" i="3"/>
  <c r="F661" i="3"/>
  <c r="D661" i="3" a="1"/>
  <c r="D661" i="3"/>
  <c r="C661" i="3" a="1"/>
  <c r="C661" i="3"/>
  <c r="B661" i="3" a="1"/>
  <c r="B661" i="3"/>
  <c r="M661" i="3" s="1" a="1"/>
  <c r="M661" i="3" s="1"/>
  <c r="N660" i="3" a="1"/>
  <c r="N660" i="3"/>
  <c r="L660" i="3"/>
  <c r="K660" i="3"/>
  <c r="I660" i="3"/>
  <c r="H660" i="3"/>
  <c r="J660" i="3" s="1"/>
  <c r="G660" i="3"/>
  <c r="F660" i="3"/>
  <c r="D660" i="3" a="1"/>
  <c r="D660" i="3"/>
  <c r="C660" i="3" a="1"/>
  <c r="C660" i="3" s="1"/>
  <c r="B660" i="3" a="1"/>
  <c r="B660" i="3" s="1"/>
  <c r="M660" i="3" s="1" a="1"/>
  <c r="M660" i="3" s="1"/>
  <c r="N659" i="3" a="1"/>
  <c r="N659" i="3"/>
  <c r="M659" i="3" a="1"/>
  <c r="M659" i="3"/>
  <c r="L659" i="3"/>
  <c r="K659" i="3"/>
  <c r="H659" i="3"/>
  <c r="J659" i="3" s="1"/>
  <c r="G659" i="3"/>
  <c r="F659" i="3"/>
  <c r="D659" i="3" a="1"/>
  <c r="D659" i="3" s="1"/>
  <c r="C659" i="3" a="1"/>
  <c r="C659" i="3"/>
  <c r="B659" i="3" a="1"/>
  <c r="B659" i="3" s="1"/>
  <c r="N658" i="3" a="1"/>
  <c r="N658" i="3"/>
  <c r="L658" i="3"/>
  <c r="K658" i="3"/>
  <c r="J658" i="3"/>
  <c r="I658" i="3"/>
  <c r="H658" i="3"/>
  <c r="G658" i="3"/>
  <c r="F658" i="3"/>
  <c r="D658" i="3" a="1"/>
  <c r="D658" i="3" s="1"/>
  <c r="C658" i="3" a="1"/>
  <c r="C658" i="3"/>
  <c r="B658" i="3" a="1"/>
  <c r="B658" i="3"/>
  <c r="M658" i="3" s="1" a="1"/>
  <c r="M658" i="3" s="1"/>
  <c r="N657" i="3" a="1"/>
  <c r="N657" i="3"/>
  <c r="L657" i="3"/>
  <c r="K657" i="3"/>
  <c r="H657" i="3"/>
  <c r="J657" i="3" s="1"/>
  <c r="G657" i="3"/>
  <c r="F657" i="3"/>
  <c r="D657" i="3" a="1"/>
  <c r="D657" i="3"/>
  <c r="C657" i="3" a="1"/>
  <c r="C657" i="3" s="1"/>
  <c r="B657" i="3" a="1"/>
  <c r="B657" i="3"/>
  <c r="M657" i="3" s="1" a="1"/>
  <c r="M657" i="3" s="1"/>
  <c r="N656" i="3" a="1"/>
  <c r="N656" i="3" s="1"/>
  <c r="M656" i="3" a="1"/>
  <c r="M656" i="3" s="1"/>
  <c r="L656" i="3"/>
  <c r="K656" i="3"/>
  <c r="J656" i="3"/>
  <c r="H656" i="3"/>
  <c r="I656" i="3" s="1"/>
  <c r="G656" i="3"/>
  <c r="F656" i="3"/>
  <c r="D656" i="3" a="1"/>
  <c r="D656" i="3" s="1"/>
  <c r="C656" i="3" a="1"/>
  <c r="C656" i="3" s="1"/>
  <c r="B656" i="3" a="1"/>
  <c r="B656" i="3"/>
  <c r="N655" i="3" a="1"/>
  <c r="N655" i="3" s="1"/>
  <c r="L655" i="3"/>
  <c r="K655" i="3"/>
  <c r="H655" i="3"/>
  <c r="J655" i="3" s="1"/>
  <c r="G655" i="3"/>
  <c r="F655" i="3"/>
  <c r="D655" i="3" a="1"/>
  <c r="D655" i="3"/>
  <c r="C655" i="3" a="1"/>
  <c r="C655" i="3"/>
  <c r="B655" i="3" a="1"/>
  <c r="B655" i="3" s="1"/>
  <c r="M655" i="3" s="1" a="1"/>
  <c r="M655" i="3" s="1"/>
  <c r="N654" i="3" a="1"/>
  <c r="N654" i="3"/>
  <c r="L654" i="3"/>
  <c r="K654" i="3"/>
  <c r="J654" i="3"/>
  <c r="I654" i="3"/>
  <c r="H654" i="3"/>
  <c r="G654" i="3"/>
  <c r="F654" i="3"/>
  <c r="D654" i="3" a="1"/>
  <c r="D654" i="3"/>
  <c r="C654" i="3" a="1"/>
  <c r="C654" i="3"/>
  <c r="B654" i="3" a="1"/>
  <c r="B654" i="3" s="1"/>
  <c r="M654" i="3" s="1" a="1"/>
  <c r="M654" i="3" s="1"/>
  <c r="N653" i="3" a="1"/>
  <c r="N653" i="3" s="1"/>
  <c r="L653" i="3"/>
  <c r="K653" i="3"/>
  <c r="H653" i="3"/>
  <c r="J653" i="3" s="1"/>
  <c r="G653" i="3"/>
  <c r="F653" i="3"/>
  <c r="D653" i="3" a="1"/>
  <c r="D653" i="3"/>
  <c r="C653" i="3" a="1"/>
  <c r="C653" i="3" s="1"/>
  <c r="B653" i="3" a="1"/>
  <c r="B653" i="3"/>
  <c r="M653" i="3" s="1" a="1"/>
  <c r="M653" i="3" s="1"/>
  <c r="N652" i="3" a="1"/>
  <c r="N652" i="3"/>
  <c r="M652" i="3"/>
  <c r="L652" i="3"/>
  <c r="K652" i="3"/>
  <c r="H652" i="3"/>
  <c r="J652" i="3" s="1"/>
  <c r="G652" i="3"/>
  <c r="F652" i="3"/>
  <c r="D652" i="3" a="1"/>
  <c r="D652" i="3" s="1"/>
  <c r="C652" i="3" a="1"/>
  <c r="C652" i="3" s="1"/>
  <c r="B652" i="3" a="1"/>
  <c r="B652" i="3"/>
  <c r="M652" i="3" s="1" a="1"/>
  <c r="N651" i="3" a="1"/>
  <c r="N651" i="3"/>
  <c r="L651" i="3"/>
  <c r="K651" i="3"/>
  <c r="J651" i="3"/>
  <c r="H651" i="3"/>
  <c r="G651" i="3"/>
  <c r="F651" i="3"/>
  <c r="D651" i="3" a="1"/>
  <c r="D651" i="3"/>
  <c r="C651" i="3" a="1"/>
  <c r="C651" i="3"/>
  <c r="B651" i="3" a="1"/>
  <c r="B651" i="3" s="1"/>
  <c r="M651" i="3" s="1" a="1"/>
  <c r="M651" i="3" s="1"/>
  <c r="N650" i="3" a="1"/>
  <c r="N650" i="3"/>
  <c r="L650" i="3"/>
  <c r="K650" i="3"/>
  <c r="J650" i="3"/>
  <c r="I650" i="3"/>
  <c r="H650" i="3"/>
  <c r="G650" i="3"/>
  <c r="F650" i="3"/>
  <c r="D650" i="3" a="1"/>
  <c r="D650" i="3"/>
  <c r="C650" i="3" a="1"/>
  <c r="C650" i="3" s="1"/>
  <c r="B650" i="3" a="1"/>
  <c r="B650" i="3" s="1"/>
  <c r="M650" i="3" s="1" a="1"/>
  <c r="M650" i="3" s="1"/>
  <c r="N649" i="3" a="1"/>
  <c r="N649" i="3" s="1"/>
  <c r="L649" i="3"/>
  <c r="K649" i="3"/>
  <c r="I649" i="3"/>
  <c r="H649" i="3"/>
  <c r="J649" i="3" s="1"/>
  <c r="G649" i="3"/>
  <c r="F649" i="3"/>
  <c r="D649" i="3" a="1"/>
  <c r="D649" i="3" s="1"/>
  <c r="C649" i="3" a="1"/>
  <c r="C649" i="3"/>
  <c r="B649" i="3" a="1"/>
  <c r="B649" i="3" s="1"/>
  <c r="M649" i="3" s="1" a="1"/>
  <c r="M649" i="3" s="1"/>
  <c r="N648" i="3" a="1"/>
  <c r="N648" i="3" s="1"/>
  <c r="L648" i="3"/>
  <c r="K648" i="3"/>
  <c r="H648" i="3"/>
  <c r="I648" i="3" s="1"/>
  <c r="G648" i="3"/>
  <c r="F648" i="3"/>
  <c r="D648" i="3" a="1"/>
  <c r="D648" i="3"/>
  <c r="C648" i="3" a="1"/>
  <c r="C648" i="3" s="1"/>
  <c r="B648" i="3" a="1"/>
  <c r="B648" i="3" s="1"/>
  <c r="M648" i="3" s="1" a="1"/>
  <c r="M648" i="3" s="1"/>
  <c r="N647" i="3" a="1"/>
  <c r="N647" i="3" s="1"/>
  <c r="L647" i="3"/>
  <c r="K647" i="3"/>
  <c r="H647" i="3"/>
  <c r="J647" i="3" s="1"/>
  <c r="G647" i="3"/>
  <c r="F647" i="3"/>
  <c r="D647" i="3" a="1"/>
  <c r="D647" i="3" s="1"/>
  <c r="C647" i="3" a="1"/>
  <c r="C647" i="3"/>
  <c r="B647" i="3" a="1"/>
  <c r="B647" i="3" s="1"/>
  <c r="M647" i="3" s="1" a="1"/>
  <c r="M647" i="3" s="1"/>
  <c r="N646" i="3" a="1"/>
  <c r="N646" i="3" s="1"/>
  <c r="L646" i="3"/>
  <c r="K646" i="3"/>
  <c r="J646" i="3"/>
  <c r="H646" i="3"/>
  <c r="I646" i="3" s="1"/>
  <c r="G646" i="3"/>
  <c r="F646" i="3"/>
  <c r="D646" i="3" a="1"/>
  <c r="D646" i="3"/>
  <c r="C646" i="3" a="1"/>
  <c r="C646" i="3" s="1"/>
  <c r="B646" i="3" a="1"/>
  <c r="B646" i="3" s="1"/>
  <c r="M646" i="3" s="1" a="1"/>
  <c r="M646" i="3" s="1"/>
  <c r="N645" i="3" a="1"/>
  <c r="N645" i="3" s="1"/>
  <c r="L645" i="3"/>
  <c r="K645" i="3"/>
  <c r="J645" i="3"/>
  <c r="H645" i="3"/>
  <c r="I645" i="3" s="1"/>
  <c r="G645" i="3"/>
  <c r="F645" i="3"/>
  <c r="D645" i="3" a="1"/>
  <c r="D645" i="3"/>
  <c r="C645" i="3" a="1"/>
  <c r="C645" i="3"/>
  <c r="B645" i="3" a="1"/>
  <c r="B645" i="3"/>
  <c r="M645" i="3" s="1" a="1"/>
  <c r="M645" i="3" s="1"/>
  <c r="N644" i="3" a="1"/>
  <c r="N644" i="3"/>
  <c r="L644" i="3"/>
  <c r="K644" i="3"/>
  <c r="I644" i="3"/>
  <c r="H644" i="3"/>
  <c r="J644" i="3" s="1"/>
  <c r="G644" i="3"/>
  <c r="F644" i="3"/>
  <c r="D644" i="3" a="1"/>
  <c r="D644" i="3" s="1"/>
  <c r="C644" i="3" a="1"/>
  <c r="C644" i="3" s="1"/>
  <c r="B644" i="3" a="1"/>
  <c r="B644" i="3"/>
  <c r="M644" i="3" s="1" a="1"/>
  <c r="M644" i="3" s="1"/>
  <c r="N643" i="3" a="1"/>
  <c r="N643" i="3"/>
  <c r="M643" i="3" a="1"/>
  <c r="M643" i="3" s="1"/>
  <c r="L643" i="3"/>
  <c r="K643" i="3"/>
  <c r="H643" i="3"/>
  <c r="J643" i="3" s="1"/>
  <c r="G643" i="3"/>
  <c r="F643" i="3"/>
  <c r="D643" i="3" a="1"/>
  <c r="D643" i="3" s="1"/>
  <c r="C643" i="3" a="1"/>
  <c r="C643" i="3" s="1"/>
  <c r="B643" i="3" a="1"/>
  <c r="B643" i="3"/>
  <c r="N642" i="3" a="1"/>
  <c r="N642" i="3"/>
  <c r="M642" i="3" a="1"/>
  <c r="M642" i="3" s="1"/>
  <c r="L642" i="3"/>
  <c r="K642" i="3"/>
  <c r="J642" i="3"/>
  <c r="H642" i="3"/>
  <c r="I642" i="3" s="1"/>
  <c r="G642" i="3"/>
  <c r="F642" i="3"/>
  <c r="D642" i="3" a="1"/>
  <c r="D642" i="3"/>
  <c r="C642" i="3" a="1"/>
  <c r="C642" i="3" s="1"/>
  <c r="B642" i="3" a="1"/>
  <c r="B642" i="3"/>
  <c r="N641" i="3" a="1"/>
  <c r="N641" i="3" s="1"/>
  <c r="L641" i="3"/>
  <c r="K641" i="3"/>
  <c r="J641" i="3"/>
  <c r="I641" i="3"/>
  <c r="H641" i="3"/>
  <c r="G641" i="3"/>
  <c r="F641" i="3"/>
  <c r="D641" i="3" a="1"/>
  <c r="D641" i="3" s="1"/>
  <c r="C641" i="3" a="1"/>
  <c r="C641" i="3" s="1"/>
  <c r="B641" i="3" a="1"/>
  <c r="B641" i="3" s="1"/>
  <c r="M641" i="3" s="1" a="1"/>
  <c r="M641" i="3" s="1"/>
  <c r="N640" i="3" a="1"/>
  <c r="N640" i="3"/>
  <c r="L640" i="3"/>
  <c r="K640" i="3"/>
  <c r="J640" i="3"/>
  <c r="I640" i="3"/>
  <c r="H640" i="3"/>
  <c r="G640" i="3"/>
  <c r="F640" i="3"/>
  <c r="D640" i="3" a="1"/>
  <c r="D640" i="3" s="1"/>
  <c r="C640" i="3" a="1"/>
  <c r="C640" i="3" s="1"/>
  <c r="B640" i="3" a="1"/>
  <c r="B640" i="3" s="1"/>
  <c r="M640" i="3" s="1" a="1"/>
  <c r="M640" i="3" s="1"/>
  <c r="N639" i="3" a="1"/>
  <c r="N639" i="3"/>
  <c r="L639" i="3"/>
  <c r="K639" i="3"/>
  <c r="H639" i="3"/>
  <c r="J639" i="3" s="1"/>
  <c r="G639" i="3"/>
  <c r="F639" i="3"/>
  <c r="D639" i="3" a="1"/>
  <c r="D639" i="3"/>
  <c r="C639" i="3" a="1"/>
  <c r="C639" i="3"/>
  <c r="B639" i="3" a="1"/>
  <c r="B639" i="3"/>
  <c r="M639" i="3" s="1" a="1"/>
  <c r="M639" i="3" s="1"/>
  <c r="N638" i="3" a="1"/>
  <c r="N638" i="3" s="1"/>
  <c r="L638" i="3"/>
  <c r="K638" i="3"/>
  <c r="H638" i="3"/>
  <c r="J638" i="3" s="1"/>
  <c r="G638" i="3"/>
  <c r="F638" i="3"/>
  <c r="D638" i="3" a="1"/>
  <c r="D638" i="3" s="1"/>
  <c r="C638" i="3" a="1"/>
  <c r="C638" i="3"/>
  <c r="B638" i="3" a="1"/>
  <c r="B638" i="3"/>
  <c r="M638" i="3" s="1" a="1"/>
  <c r="M638" i="3" s="1"/>
  <c r="N637" i="3" a="1"/>
  <c r="N637" i="3"/>
  <c r="M637" i="3"/>
  <c r="L637" i="3"/>
  <c r="K637" i="3"/>
  <c r="J637" i="3"/>
  <c r="I637" i="3"/>
  <c r="H637" i="3"/>
  <c r="G637" i="3"/>
  <c r="F637" i="3"/>
  <c r="D637" i="3" a="1"/>
  <c r="D637" i="3"/>
  <c r="C637" i="3" a="1"/>
  <c r="C637" i="3" s="1"/>
  <c r="B637" i="3" a="1"/>
  <c r="B637" i="3"/>
  <c r="M637" i="3" s="1" a="1"/>
  <c r="N636" i="3" a="1"/>
  <c r="N636" i="3"/>
  <c r="L636" i="3"/>
  <c r="K636" i="3"/>
  <c r="J636" i="3"/>
  <c r="H636" i="3"/>
  <c r="G636" i="3"/>
  <c r="F636" i="3"/>
  <c r="D636" i="3" a="1"/>
  <c r="D636" i="3"/>
  <c r="C636" i="3" a="1"/>
  <c r="C636" i="3" s="1"/>
  <c r="B636" i="3" a="1"/>
  <c r="B636" i="3" s="1"/>
  <c r="M636" i="3" s="1" a="1"/>
  <c r="M636" i="3" s="1"/>
  <c r="N635" i="3" a="1"/>
  <c r="N635" i="3" s="1"/>
  <c r="L635" i="3"/>
  <c r="K635" i="3"/>
  <c r="J635" i="3"/>
  <c r="I635" i="3"/>
  <c r="H635" i="3"/>
  <c r="G635" i="3"/>
  <c r="F635" i="3"/>
  <c r="D635" i="3" a="1"/>
  <c r="D635" i="3" s="1"/>
  <c r="C635" i="3" a="1"/>
  <c r="C635" i="3"/>
  <c r="B635" i="3" a="1"/>
  <c r="B635" i="3"/>
  <c r="M635" i="3" s="1" a="1"/>
  <c r="M635" i="3" s="1"/>
  <c r="N634" i="3" a="1"/>
  <c r="N634" i="3" s="1"/>
  <c r="L634" i="3"/>
  <c r="K634" i="3"/>
  <c r="H634" i="3"/>
  <c r="J634" i="3" s="1"/>
  <c r="G634" i="3"/>
  <c r="F634" i="3"/>
  <c r="D634" i="3" a="1"/>
  <c r="D634" i="3"/>
  <c r="C634" i="3" a="1"/>
  <c r="C634" i="3" s="1"/>
  <c r="B634" i="3" a="1"/>
  <c r="B634" i="3"/>
  <c r="M634" i="3" s="1" a="1"/>
  <c r="M634" i="3" s="1"/>
  <c r="N633" i="3" a="1"/>
  <c r="N633" i="3"/>
  <c r="L633" i="3"/>
  <c r="K633" i="3"/>
  <c r="H633" i="3"/>
  <c r="I633" i="3" s="1"/>
  <c r="G633" i="3"/>
  <c r="F633" i="3"/>
  <c r="D633" i="3" a="1"/>
  <c r="D633" i="3" s="1"/>
  <c r="C633" i="3" a="1"/>
  <c r="C633" i="3"/>
  <c r="B633" i="3" a="1"/>
  <c r="B633" i="3" s="1"/>
  <c r="M633" i="3" s="1" a="1"/>
  <c r="M633" i="3" s="1"/>
  <c r="N632" i="3" a="1"/>
  <c r="N632" i="3"/>
  <c r="M632" i="3" a="1"/>
  <c r="M632" i="3"/>
  <c r="L632" i="3"/>
  <c r="K632" i="3"/>
  <c r="H632" i="3"/>
  <c r="J632" i="3" s="1"/>
  <c r="G632" i="3"/>
  <c r="F632" i="3"/>
  <c r="D632" i="3" a="1"/>
  <c r="D632" i="3"/>
  <c r="C632" i="3" a="1"/>
  <c r="C632" i="3" s="1"/>
  <c r="B632" i="3" a="1"/>
  <c r="B632" i="3"/>
  <c r="N631" i="3" a="1"/>
  <c r="N631" i="3" s="1"/>
  <c r="L631" i="3"/>
  <c r="K631" i="3"/>
  <c r="J631" i="3"/>
  <c r="I631" i="3"/>
  <c r="H631" i="3"/>
  <c r="G631" i="3"/>
  <c r="F631" i="3"/>
  <c r="D631" i="3" a="1"/>
  <c r="D631" i="3" s="1"/>
  <c r="C631" i="3" a="1"/>
  <c r="C631" i="3" s="1"/>
  <c r="B631" i="3" a="1"/>
  <c r="B631" i="3" s="1"/>
  <c r="M631" i="3" s="1" a="1"/>
  <c r="M631" i="3" s="1"/>
  <c r="N630" i="3" a="1"/>
  <c r="N630" i="3"/>
  <c r="L630" i="3"/>
  <c r="K630" i="3"/>
  <c r="J630" i="3"/>
  <c r="I630" i="3"/>
  <c r="H630" i="3"/>
  <c r="G630" i="3"/>
  <c r="F630" i="3"/>
  <c r="D630" i="3" a="1"/>
  <c r="D630" i="3"/>
  <c r="C630" i="3" a="1"/>
  <c r="C630" i="3"/>
  <c r="B630" i="3" a="1"/>
  <c r="B630" i="3" s="1"/>
  <c r="M630" i="3" s="1" a="1"/>
  <c r="M630" i="3" s="1"/>
  <c r="N629" i="3" a="1"/>
  <c r="N629" i="3"/>
  <c r="L629" i="3"/>
  <c r="K629" i="3"/>
  <c r="J629" i="3"/>
  <c r="I629" i="3"/>
  <c r="H629" i="3"/>
  <c r="G629" i="3"/>
  <c r="F629" i="3"/>
  <c r="D629" i="3" a="1"/>
  <c r="D629" i="3" s="1"/>
  <c r="C629" i="3" a="1"/>
  <c r="C629" i="3" s="1"/>
  <c r="B629" i="3" a="1"/>
  <c r="B629" i="3" s="1"/>
  <c r="M629" i="3" s="1" a="1"/>
  <c r="M629" i="3" s="1"/>
  <c r="N628" i="3" a="1"/>
  <c r="N628" i="3" s="1"/>
  <c r="L628" i="3"/>
  <c r="K628" i="3"/>
  <c r="H628" i="3"/>
  <c r="J628" i="3" s="1"/>
  <c r="G628" i="3"/>
  <c r="F628" i="3"/>
  <c r="D628" i="3" a="1"/>
  <c r="D628" i="3" s="1"/>
  <c r="C628" i="3" a="1"/>
  <c r="C628" i="3" s="1"/>
  <c r="B628" i="3" a="1"/>
  <c r="B628" i="3" s="1"/>
  <c r="M628" i="3" s="1" a="1"/>
  <c r="M628" i="3" s="1"/>
  <c r="N627" i="3" a="1"/>
  <c r="N627" i="3" s="1"/>
  <c r="L627" i="3"/>
  <c r="K627" i="3"/>
  <c r="H627" i="3"/>
  <c r="J627" i="3" s="1"/>
  <c r="G627" i="3"/>
  <c r="F627" i="3"/>
  <c r="D627" i="3" a="1"/>
  <c r="D627" i="3" s="1"/>
  <c r="C627" i="3" a="1"/>
  <c r="C627" i="3"/>
  <c r="B627" i="3" a="1"/>
  <c r="B627" i="3"/>
  <c r="M627" i="3" s="1" a="1"/>
  <c r="M627" i="3" s="1"/>
  <c r="N626" i="3" a="1"/>
  <c r="N626" i="3"/>
  <c r="L626" i="3"/>
  <c r="K626" i="3"/>
  <c r="J626" i="3"/>
  <c r="H626" i="3"/>
  <c r="I626" i="3" s="1"/>
  <c r="G626" i="3"/>
  <c r="F626" i="3"/>
  <c r="D626" i="3" a="1"/>
  <c r="D626" i="3" s="1"/>
  <c r="C626" i="3" a="1"/>
  <c r="C626" i="3" s="1"/>
  <c r="B626" i="3" a="1"/>
  <c r="B626" i="3" s="1"/>
  <c r="M626" i="3" s="1" a="1"/>
  <c r="M626" i="3" s="1"/>
  <c r="N625" i="3" a="1"/>
  <c r="N625" i="3" s="1"/>
  <c r="M625" i="3" a="1"/>
  <c r="M625" i="3" s="1"/>
  <c r="L625" i="3"/>
  <c r="K625" i="3"/>
  <c r="J625" i="3"/>
  <c r="I625" i="3"/>
  <c r="H625" i="3"/>
  <c r="G625" i="3"/>
  <c r="F625" i="3"/>
  <c r="D625" i="3" a="1"/>
  <c r="D625" i="3"/>
  <c r="C625" i="3" a="1"/>
  <c r="C625" i="3" s="1"/>
  <c r="B625" i="3" a="1"/>
  <c r="B625" i="3"/>
  <c r="N624" i="3" a="1"/>
  <c r="N624" i="3"/>
  <c r="L624" i="3"/>
  <c r="K624" i="3"/>
  <c r="H624" i="3"/>
  <c r="J624" i="3" s="1"/>
  <c r="G624" i="3"/>
  <c r="F624" i="3"/>
  <c r="D624" i="3" a="1"/>
  <c r="D624" i="3"/>
  <c r="C624" i="3" a="1"/>
  <c r="C624" i="3"/>
  <c r="B624" i="3" a="1"/>
  <c r="B624" i="3" s="1"/>
  <c r="M624" i="3" s="1" a="1"/>
  <c r="M624" i="3" s="1"/>
  <c r="N623" i="3" a="1"/>
  <c r="N623" i="3"/>
  <c r="L623" i="3"/>
  <c r="K623" i="3"/>
  <c r="J623" i="3"/>
  <c r="I623" i="3"/>
  <c r="H623" i="3"/>
  <c r="G623" i="3"/>
  <c r="F623" i="3"/>
  <c r="D623" i="3" a="1"/>
  <c r="D623" i="3"/>
  <c r="C623" i="3" a="1"/>
  <c r="C623" i="3"/>
  <c r="B623" i="3" a="1"/>
  <c r="B623" i="3" s="1"/>
  <c r="M623" i="3" s="1" a="1"/>
  <c r="M623" i="3" s="1"/>
  <c r="N622" i="3" a="1"/>
  <c r="N622" i="3" s="1"/>
  <c r="L622" i="3"/>
  <c r="K622" i="3"/>
  <c r="J622" i="3"/>
  <c r="I622" i="3"/>
  <c r="H622" i="3"/>
  <c r="G622" i="3"/>
  <c r="F622" i="3"/>
  <c r="D622" i="3" a="1"/>
  <c r="D622" i="3" s="1"/>
  <c r="C622" i="3" a="1"/>
  <c r="C622" i="3"/>
  <c r="B622" i="3" a="1"/>
  <c r="B622" i="3"/>
  <c r="M622" i="3" s="1" a="1"/>
  <c r="M622" i="3" s="1"/>
  <c r="N621" i="3" a="1"/>
  <c r="N621" i="3" s="1"/>
  <c r="L621" i="3"/>
  <c r="K621" i="3"/>
  <c r="I621" i="3"/>
  <c r="H621" i="3"/>
  <c r="J621" i="3" s="1"/>
  <c r="G621" i="3"/>
  <c r="F621" i="3"/>
  <c r="D621" i="3" a="1"/>
  <c r="D621" i="3"/>
  <c r="C621" i="3" a="1"/>
  <c r="C621" i="3"/>
  <c r="B621" i="3" a="1"/>
  <c r="B621" i="3"/>
  <c r="M621" i="3" s="1" a="1"/>
  <c r="M621" i="3" s="1"/>
  <c r="N620" i="3" a="1"/>
  <c r="N620" i="3" s="1"/>
  <c r="M620" i="3" a="1"/>
  <c r="M620" i="3" s="1"/>
  <c r="L620" i="3"/>
  <c r="K620" i="3"/>
  <c r="J620" i="3"/>
  <c r="H620" i="3"/>
  <c r="G620" i="3"/>
  <c r="F620" i="3"/>
  <c r="D620" i="3" a="1"/>
  <c r="D620" i="3" s="1"/>
  <c r="C620" i="3" a="1"/>
  <c r="C620" i="3"/>
  <c r="B620" i="3" a="1"/>
  <c r="B620" i="3"/>
  <c r="N619" i="3" a="1"/>
  <c r="N619" i="3"/>
  <c r="M619" i="3" a="1"/>
  <c r="M619" i="3" s="1"/>
  <c r="L619" i="3"/>
  <c r="K619" i="3"/>
  <c r="H619" i="3"/>
  <c r="J619" i="3" s="1"/>
  <c r="G619" i="3"/>
  <c r="F619" i="3"/>
  <c r="D619" i="3" a="1"/>
  <c r="D619" i="3" s="1"/>
  <c r="C619" i="3" a="1"/>
  <c r="C619" i="3"/>
  <c r="B619" i="3" a="1"/>
  <c r="B619" i="3" s="1"/>
  <c r="N618" i="3" a="1"/>
  <c r="N618" i="3"/>
  <c r="M618" i="3" a="1"/>
  <c r="M618" i="3"/>
  <c r="L618" i="3"/>
  <c r="K618" i="3"/>
  <c r="J618" i="3"/>
  <c r="I618" i="3"/>
  <c r="H618" i="3"/>
  <c r="G618" i="3"/>
  <c r="F618" i="3"/>
  <c r="D618" i="3" a="1"/>
  <c r="D618" i="3" s="1"/>
  <c r="C618" i="3" a="1"/>
  <c r="C618" i="3" s="1"/>
  <c r="B618" i="3" a="1"/>
  <c r="B618" i="3"/>
  <c r="N617" i="3" a="1"/>
  <c r="N617" i="3"/>
  <c r="M617" i="3" a="1"/>
  <c r="M617" i="3"/>
  <c r="L617" i="3"/>
  <c r="K617" i="3"/>
  <c r="J617" i="3"/>
  <c r="H617" i="3"/>
  <c r="I617" i="3" s="1"/>
  <c r="G617" i="3"/>
  <c r="F617" i="3"/>
  <c r="D617" i="3" a="1"/>
  <c r="D617" i="3"/>
  <c r="C617" i="3" a="1"/>
  <c r="C617" i="3" s="1"/>
  <c r="B617" i="3" a="1"/>
  <c r="B617" i="3"/>
  <c r="N616" i="3" a="1"/>
  <c r="N616" i="3" s="1"/>
  <c r="L616" i="3"/>
  <c r="K616" i="3"/>
  <c r="J616" i="3"/>
  <c r="H616" i="3"/>
  <c r="G616" i="3"/>
  <c r="F616" i="3"/>
  <c r="D616" i="3" a="1"/>
  <c r="D616" i="3"/>
  <c r="C616" i="3" a="1"/>
  <c r="C616" i="3"/>
  <c r="B616" i="3" a="1"/>
  <c r="B616" i="3" s="1"/>
  <c r="M616" i="3" s="1" a="1"/>
  <c r="M616" i="3" s="1"/>
  <c r="N615" i="3" a="1"/>
  <c r="N615" i="3"/>
  <c r="L615" i="3"/>
  <c r="K615" i="3"/>
  <c r="J615" i="3"/>
  <c r="I615" i="3"/>
  <c r="H615" i="3"/>
  <c r="G615" i="3"/>
  <c r="F615" i="3"/>
  <c r="D615" i="3" a="1"/>
  <c r="D615" i="3" s="1"/>
  <c r="C615" i="3" a="1"/>
  <c r="C615" i="3" s="1"/>
  <c r="B615" i="3" a="1"/>
  <c r="B615" i="3" s="1"/>
  <c r="M615" i="3" s="1" a="1"/>
  <c r="M615" i="3" s="1"/>
  <c r="N614" i="3" a="1"/>
  <c r="N614" i="3" s="1"/>
  <c r="L614" i="3"/>
  <c r="K614" i="3"/>
  <c r="H614" i="3"/>
  <c r="G614" i="3"/>
  <c r="F614" i="3"/>
  <c r="D614" i="3" a="1"/>
  <c r="D614" i="3"/>
  <c r="C614" i="3" a="1"/>
  <c r="C614" i="3"/>
  <c r="B614" i="3" a="1"/>
  <c r="B614" i="3"/>
  <c r="M614" i="3" s="1" a="1"/>
  <c r="M614" i="3" s="1"/>
  <c r="N613" i="3" a="1"/>
  <c r="N613" i="3" s="1"/>
  <c r="L613" i="3"/>
  <c r="K613" i="3"/>
  <c r="H613" i="3"/>
  <c r="J613" i="3" s="1"/>
  <c r="G613" i="3"/>
  <c r="F613" i="3"/>
  <c r="D613" i="3" a="1"/>
  <c r="D613" i="3" s="1"/>
  <c r="C613" i="3" a="1"/>
  <c r="C613" i="3" s="1"/>
  <c r="B613" i="3" a="1"/>
  <c r="B613" i="3" s="1"/>
  <c r="M613" i="3" s="1" a="1"/>
  <c r="M613" i="3" s="1"/>
  <c r="N612" i="3" a="1"/>
  <c r="N612" i="3" s="1"/>
  <c r="L612" i="3"/>
  <c r="K612" i="3"/>
  <c r="H612" i="3"/>
  <c r="J612" i="3" s="1"/>
  <c r="G612" i="3"/>
  <c r="F612" i="3"/>
  <c r="D612" i="3" a="1"/>
  <c r="D612" i="3" s="1"/>
  <c r="C612" i="3" a="1"/>
  <c r="C612" i="3" s="1"/>
  <c r="B612" i="3" a="1"/>
  <c r="B612" i="3" s="1"/>
  <c r="M612" i="3" s="1" a="1"/>
  <c r="M612" i="3" s="1"/>
  <c r="N611" i="3" a="1"/>
  <c r="N611" i="3" s="1"/>
  <c r="M611" i="3" a="1"/>
  <c r="M611" i="3" s="1"/>
  <c r="L611" i="3"/>
  <c r="K611" i="3"/>
  <c r="J611" i="3"/>
  <c r="I611" i="3"/>
  <c r="H611" i="3"/>
  <c r="G611" i="3"/>
  <c r="F611" i="3"/>
  <c r="D611" i="3" a="1"/>
  <c r="D611" i="3"/>
  <c r="C611" i="3" a="1"/>
  <c r="C611" i="3" s="1"/>
  <c r="B611" i="3" a="1"/>
  <c r="B611" i="3"/>
  <c r="N610" i="3" a="1"/>
  <c r="N610" i="3"/>
  <c r="L610" i="3"/>
  <c r="K610" i="3"/>
  <c r="H610" i="3"/>
  <c r="J610" i="3" s="1"/>
  <c r="G610" i="3"/>
  <c r="F610" i="3"/>
  <c r="D610" i="3" a="1"/>
  <c r="D610" i="3"/>
  <c r="C610" i="3" a="1"/>
  <c r="C610" i="3" s="1"/>
  <c r="B610" i="3" a="1"/>
  <c r="B610" i="3" s="1"/>
  <c r="M610" i="3" s="1" a="1"/>
  <c r="M610" i="3" s="1"/>
  <c r="N609" i="3" a="1"/>
  <c r="N609" i="3" s="1"/>
  <c r="L609" i="3"/>
  <c r="K609" i="3"/>
  <c r="J609" i="3"/>
  <c r="H609" i="3"/>
  <c r="I609" i="3" s="1"/>
  <c r="G609" i="3"/>
  <c r="F609" i="3"/>
  <c r="D609" i="3" a="1"/>
  <c r="D609" i="3"/>
  <c r="C609" i="3" a="1"/>
  <c r="C609" i="3"/>
  <c r="B609" i="3" a="1"/>
  <c r="B609" i="3" s="1"/>
  <c r="M609" i="3" s="1" a="1"/>
  <c r="M609" i="3" s="1"/>
  <c r="N608" i="3" a="1"/>
  <c r="N608" i="3"/>
  <c r="L608" i="3"/>
  <c r="K608" i="3"/>
  <c r="J608" i="3"/>
  <c r="H608" i="3"/>
  <c r="G608" i="3"/>
  <c r="F608" i="3"/>
  <c r="D608" i="3" a="1"/>
  <c r="D608" i="3" s="1"/>
  <c r="C608" i="3" a="1"/>
  <c r="C608" i="3"/>
  <c r="B608" i="3" a="1"/>
  <c r="B608" i="3"/>
  <c r="M608" i="3" s="1" a="1"/>
  <c r="M608" i="3" s="1"/>
  <c r="N607" i="3" a="1"/>
  <c r="N607" i="3" s="1"/>
  <c r="L607" i="3"/>
  <c r="K607" i="3"/>
  <c r="I607" i="3"/>
  <c r="H607" i="3"/>
  <c r="J607" i="3" s="1"/>
  <c r="G607" i="3"/>
  <c r="F607" i="3"/>
  <c r="D607" i="3" a="1"/>
  <c r="D607" i="3"/>
  <c r="C607" i="3" a="1"/>
  <c r="C607" i="3"/>
  <c r="B607" i="3" a="1"/>
  <c r="B607" i="3"/>
  <c r="M607" i="3" s="1" a="1"/>
  <c r="M607" i="3" s="1"/>
  <c r="N606" i="3" a="1"/>
  <c r="N606" i="3" s="1"/>
  <c r="L606" i="3"/>
  <c r="K606" i="3"/>
  <c r="J606" i="3"/>
  <c r="H606" i="3"/>
  <c r="I606" i="3" s="1"/>
  <c r="G606" i="3"/>
  <c r="F606" i="3"/>
  <c r="D606" i="3" a="1"/>
  <c r="D606" i="3"/>
  <c r="C606" i="3" a="1"/>
  <c r="C606" i="3" s="1"/>
  <c r="B606" i="3" a="1"/>
  <c r="B606" i="3"/>
  <c r="M606" i="3" s="1" a="1"/>
  <c r="M606" i="3" s="1"/>
  <c r="N605" i="3" a="1"/>
  <c r="N605" i="3"/>
  <c r="M605" i="3" a="1"/>
  <c r="M605" i="3" s="1"/>
  <c r="L605" i="3"/>
  <c r="K605" i="3"/>
  <c r="I605" i="3"/>
  <c r="H605" i="3"/>
  <c r="J605" i="3" s="1"/>
  <c r="G605" i="3"/>
  <c r="F605" i="3"/>
  <c r="D605" i="3" a="1"/>
  <c r="D605" i="3" s="1"/>
  <c r="C605" i="3" a="1"/>
  <c r="C605" i="3"/>
  <c r="B605" i="3" a="1"/>
  <c r="B605" i="3"/>
  <c r="N604" i="3" a="1"/>
  <c r="N604" i="3"/>
  <c r="M604" i="3" a="1"/>
  <c r="M604" i="3" s="1"/>
  <c r="L604" i="3"/>
  <c r="K604" i="3"/>
  <c r="J604" i="3"/>
  <c r="H604" i="3"/>
  <c r="G604" i="3"/>
  <c r="F604" i="3"/>
  <c r="D604" i="3" a="1"/>
  <c r="D604" i="3" s="1"/>
  <c r="C604" i="3" a="1"/>
  <c r="C604" i="3" s="1"/>
  <c r="B604" i="3" a="1"/>
  <c r="B604" i="3"/>
  <c r="N603" i="3" a="1"/>
  <c r="N603" i="3"/>
  <c r="M603" i="3" a="1"/>
  <c r="M603" i="3"/>
  <c r="L603" i="3"/>
  <c r="K603" i="3"/>
  <c r="J603" i="3"/>
  <c r="H603" i="3"/>
  <c r="I603" i="3" s="1"/>
  <c r="G603" i="3"/>
  <c r="F603" i="3"/>
  <c r="D603" i="3" a="1"/>
  <c r="D603" i="3"/>
  <c r="C603" i="3" a="1"/>
  <c r="C603" i="3"/>
  <c r="B603" i="3" a="1"/>
  <c r="B603" i="3"/>
  <c r="N602" i="3" a="1"/>
  <c r="N602" i="3" s="1"/>
  <c r="M602" i="3"/>
  <c r="L602" i="3"/>
  <c r="K602" i="3"/>
  <c r="J602" i="3"/>
  <c r="I602" i="3"/>
  <c r="H602" i="3"/>
  <c r="G602" i="3"/>
  <c r="F602" i="3"/>
  <c r="D602" i="3" a="1"/>
  <c r="D602" i="3" s="1"/>
  <c r="C602" i="3" a="1"/>
  <c r="C602" i="3" s="1"/>
  <c r="B602" i="3" a="1"/>
  <c r="B602" i="3" s="1"/>
  <c r="M602" i="3" s="1" a="1"/>
  <c r="N601" i="3" a="1"/>
  <c r="N601" i="3"/>
  <c r="L601" i="3"/>
  <c r="K601" i="3"/>
  <c r="J601" i="3"/>
  <c r="I601" i="3"/>
  <c r="H601" i="3"/>
  <c r="G601" i="3"/>
  <c r="F601" i="3"/>
  <c r="D601" i="3" a="1"/>
  <c r="D601" i="3"/>
  <c r="C601" i="3" a="1"/>
  <c r="C601" i="3"/>
  <c r="B601" i="3" a="1"/>
  <c r="B601" i="3"/>
  <c r="M601" i="3" s="1" a="1"/>
  <c r="M601" i="3" s="1"/>
  <c r="N600" i="3" a="1"/>
  <c r="N600" i="3"/>
  <c r="L600" i="3"/>
  <c r="K600" i="3"/>
  <c r="J600" i="3"/>
  <c r="I600" i="3"/>
  <c r="H600" i="3"/>
  <c r="G600" i="3"/>
  <c r="F600" i="3"/>
  <c r="D600" i="3" a="1"/>
  <c r="D600" i="3" s="1"/>
  <c r="C600" i="3" a="1"/>
  <c r="C600" i="3" s="1"/>
  <c r="B600" i="3" a="1"/>
  <c r="B600" i="3" s="1"/>
  <c r="M600" i="3" s="1" a="1"/>
  <c r="M600" i="3" s="1"/>
  <c r="N599" i="3" a="1"/>
  <c r="N599" i="3" s="1"/>
  <c r="L599" i="3"/>
  <c r="K599" i="3"/>
  <c r="H599" i="3"/>
  <c r="G599" i="3"/>
  <c r="F599" i="3"/>
  <c r="D599" i="3" a="1"/>
  <c r="D599" i="3"/>
  <c r="C599" i="3" a="1"/>
  <c r="C599" i="3"/>
  <c r="B599" i="3" a="1"/>
  <c r="B599" i="3"/>
  <c r="M599" i="3" s="1" a="1"/>
  <c r="M599" i="3" s="1"/>
  <c r="N598" i="3" a="1"/>
  <c r="N598" i="3"/>
  <c r="L598" i="3"/>
  <c r="K598" i="3"/>
  <c r="I598" i="3"/>
  <c r="H598" i="3"/>
  <c r="J598" i="3" s="1"/>
  <c r="G598" i="3"/>
  <c r="F598" i="3"/>
  <c r="D598" i="3" a="1"/>
  <c r="D598" i="3" s="1"/>
  <c r="C598" i="3" a="1"/>
  <c r="C598" i="3" s="1"/>
  <c r="B598" i="3" a="1"/>
  <c r="B598" i="3" s="1"/>
  <c r="M598" i="3" s="1" a="1"/>
  <c r="M598" i="3" s="1"/>
  <c r="N597" i="3" a="1"/>
  <c r="N597" i="3" s="1"/>
  <c r="L597" i="3"/>
  <c r="K597" i="3"/>
  <c r="H597" i="3"/>
  <c r="J597" i="3" s="1"/>
  <c r="G597" i="3"/>
  <c r="F597" i="3"/>
  <c r="D597" i="3" a="1"/>
  <c r="D597" i="3" s="1"/>
  <c r="C597" i="3" a="1"/>
  <c r="C597" i="3" s="1"/>
  <c r="B597" i="3" a="1"/>
  <c r="B597" i="3" s="1"/>
  <c r="M597" i="3" s="1" a="1"/>
  <c r="M597" i="3" s="1"/>
  <c r="N596" i="3" a="1"/>
  <c r="N596" i="3" s="1"/>
  <c r="M596" i="3" a="1"/>
  <c r="M596" i="3" s="1"/>
  <c r="L596" i="3"/>
  <c r="K596" i="3"/>
  <c r="J596" i="3"/>
  <c r="I596" i="3"/>
  <c r="H596" i="3"/>
  <c r="G596" i="3"/>
  <c r="F596" i="3"/>
  <c r="D596" i="3" a="1"/>
  <c r="D596" i="3"/>
  <c r="C596" i="3" a="1"/>
  <c r="C596" i="3" s="1"/>
  <c r="B596" i="3" a="1"/>
  <c r="B596" i="3"/>
  <c r="N595" i="3" a="1"/>
  <c r="N595" i="3"/>
  <c r="L595" i="3"/>
  <c r="K595" i="3"/>
  <c r="H595" i="3"/>
  <c r="J595" i="3" s="1"/>
  <c r="G595" i="3"/>
  <c r="F595" i="3"/>
  <c r="D595" i="3" a="1"/>
  <c r="D595" i="3"/>
  <c r="C595" i="3" a="1"/>
  <c r="C595" i="3" s="1"/>
  <c r="B595" i="3" a="1"/>
  <c r="B595" i="3" s="1"/>
  <c r="M595" i="3" s="1" a="1"/>
  <c r="M595" i="3" s="1"/>
  <c r="N594" i="3" a="1"/>
  <c r="N594" i="3" s="1"/>
  <c r="L594" i="3"/>
  <c r="K594" i="3"/>
  <c r="J594" i="3"/>
  <c r="H594" i="3"/>
  <c r="I594" i="3" s="1"/>
  <c r="G594" i="3"/>
  <c r="F594" i="3"/>
  <c r="D594" i="3" a="1"/>
  <c r="D594" i="3"/>
  <c r="C594" i="3" a="1"/>
  <c r="C594" i="3" s="1"/>
  <c r="B594" i="3" a="1"/>
  <c r="B594" i="3" s="1"/>
  <c r="M594" i="3" s="1" a="1"/>
  <c r="M594" i="3" s="1"/>
  <c r="N593" i="3" a="1"/>
  <c r="N593" i="3"/>
  <c r="L593" i="3"/>
  <c r="K593" i="3"/>
  <c r="H593" i="3"/>
  <c r="J593" i="3" s="1"/>
  <c r="G593" i="3"/>
  <c r="F593" i="3"/>
  <c r="D593" i="3" a="1"/>
  <c r="D593" i="3" s="1"/>
  <c r="C593" i="3" a="1"/>
  <c r="C593" i="3"/>
  <c r="B593" i="3" a="1"/>
  <c r="B593" i="3" s="1"/>
  <c r="M593" i="3" s="1" a="1"/>
  <c r="M593" i="3" s="1"/>
  <c r="N592" i="3" a="1"/>
  <c r="N592" i="3" s="1"/>
  <c r="L592" i="3"/>
  <c r="K592" i="3"/>
  <c r="I592" i="3"/>
  <c r="H592" i="3"/>
  <c r="J592" i="3" s="1"/>
  <c r="G592" i="3"/>
  <c r="F592" i="3"/>
  <c r="D592" i="3" a="1"/>
  <c r="D592" i="3"/>
  <c r="C592" i="3" a="1"/>
  <c r="C592" i="3"/>
  <c r="B592" i="3" a="1"/>
  <c r="B592" i="3"/>
  <c r="M592" i="3" s="1" a="1"/>
  <c r="M592" i="3" s="1"/>
  <c r="N591" i="3" a="1"/>
  <c r="N591" i="3" s="1"/>
  <c r="L591" i="3"/>
  <c r="K591" i="3"/>
  <c r="J591" i="3"/>
  <c r="H591" i="3"/>
  <c r="I591" i="3" s="1"/>
  <c r="G591" i="3"/>
  <c r="F591" i="3"/>
  <c r="D591" i="3" a="1"/>
  <c r="D591" i="3"/>
  <c r="C591" i="3" a="1"/>
  <c r="C591" i="3" s="1"/>
  <c r="B591" i="3" a="1"/>
  <c r="B591" i="3"/>
  <c r="M591" i="3" s="1" a="1"/>
  <c r="M591" i="3" s="1"/>
  <c r="N590" i="3" a="1"/>
  <c r="N590" i="3" s="1"/>
  <c r="M590" i="3" a="1"/>
  <c r="M590" i="3" s="1"/>
  <c r="L590" i="3"/>
  <c r="K590" i="3"/>
  <c r="I590" i="3"/>
  <c r="H590" i="3"/>
  <c r="J590" i="3" s="1"/>
  <c r="G590" i="3"/>
  <c r="F590" i="3"/>
  <c r="D590" i="3" a="1"/>
  <c r="D590" i="3" s="1"/>
  <c r="C590" i="3" a="1"/>
  <c r="C590" i="3"/>
  <c r="B590" i="3" a="1"/>
  <c r="B590" i="3"/>
  <c r="N589" i="3" a="1"/>
  <c r="N589" i="3" s="1"/>
  <c r="M589" i="3" a="1"/>
  <c r="M589" i="3" s="1"/>
  <c r="L589" i="3"/>
  <c r="K589" i="3"/>
  <c r="J589" i="3"/>
  <c r="H589" i="3"/>
  <c r="G589" i="3"/>
  <c r="F589" i="3"/>
  <c r="D589" i="3" a="1"/>
  <c r="D589" i="3" s="1"/>
  <c r="C589" i="3" a="1"/>
  <c r="C589" i="3" s="1"/>
  <c r="B589" i="3" a="1"/>
  <c r="B589" i="3"/>
  <c r="N588" i="3" a="1"/>
  <c r="N588" i="3"/>
  <c r="M588" i="3" a="1"/>
  <c r="M588" i="3" s="1"/>
  <c r="L588" i="3"/>
  <c r="K588" i="3"/>
  <c r="J588" i="3"/>
  <c r="H588" i="3"/>
  <c r="I588" i="3" s="1"/>
  <c r="G588" i="3"/>
  <c r="F588" i="3"/>
  <c r="D588" i="3" a="1"/>
  <c r="D588" i="3"/>
  <c r="C588" i="3" a="1"/>
  <c r="C588" i="3"/>
  <c r="B588" i="3" a="1"/>
  <c r="B588" i="3"/>
  <c r="N587" i="3" a="1"/>
  <c r="N587" i="3" s="1"/>
  <c r="L587" i="3"/>
  <c r="K587" i="3"/>
  <c r="J587" i="3"/>
  <c r="I587" i="3"/>
  <c r="H587" i="3"/>
  <c r="G587" i="3"/>
  <c r="F587" i="3"/>
  <c r="D587" i="3" a="1"/>
  <c r="D587" i="3" s="1"/>
  <c r="C587" i="3" a="1"/>
  <c r="C587" i="3" s="1"/>
  <c r="B587" i="3" a="1"/>
  <c r="B587" i="3" s="1"/>
  <c r="M587" i="3" s="1" a="1"/>
  <c r="M587" i="3" s="1"/>
  <c r="N586" i="3" a="1"/>
  <c r="N586" i="3"/>
  <c r="L586" i="3"/>
  <c r="K586" i="3"/>
  <c r="J586" i="3"/>
  <c r="I586" i="3"/>
  <c r="H586" i="3"/>
  <c r="G586" i="3"/>
  <c r="F586" i="3"/>
  <c r="D586" i="3" a="1"/>
  <c r="D586" i="3"/>
  <c r="C586" i="3" a="1"/>
  <c r="C586" i="3"/>
  <c r="B586" i="3" a="1"/>
  <c r="B586" i="3"/>
  <c r="M586" i="3" s="1" a="1"/>
  <c r="M586" i="3" s="1"/>
  <c r="N585" i="3" a="1"/>
  <c r="N585" i="3"/>
  <c r="M585" i="3" a="1"/>
  <c r="M585" i="3" s="1"/>
  <c r="L585" i="3"/>
  <c r="K585" i="3"/>
  <c r="H585" i="3"/>
  <c r="J585" i="3" s="1"/>
  <c r="G585" i="3"/>
  <c r="F585" i="3"/>
  <c r="D585" i="3" a="1"/>
  <c r="D585" i="3" s="1"/>
  <c r="C585" i="3" a="1"/>
  <c r="C585" i="3"/>
  <c r="B585" i="3" a="1"/>
  <c r="B585" i="3"/>
  <c r="N584" i="3" a="1"/>
  <c r="N584" i="3"/>
  <c r="L584" i="3"/>
  <c r="K584" i="3"/>
  <c r="H584" i="3"/>
  <c r="J584" i="3" s="1"/>
  <c r="G584" i="3"/>
  <c r="F584" i="3"/>
  <c r="D584" i="3" a="1"/>
  <c r="D584" i="3" s="1"/>
  <c r="C584" i="3" a="1"/>
  <c r="C584" i="3" s="1"/>
  <c r="B584" i="3" a="1"/>
  <c r="B584" i="3" s="1"/>
  <c r="M584" i="3" s="1" a="1"/>
  <c r="M584" i="3" s="1"/>
  <c r="N583" i="3" a="1"/>
  <c r="N583" i="3" s="1"/>
  <c r="L583" i="3"/>
  <c r="K583" i="3"/>
  <c r="H583" i="3"/>
  <c r="G583" i="3"/>
  <c r="F583" i="3"/>
  <c r="D583" i="3" a="1"/>
  <c r="D583" i="3" s="1"/>
  <c r="C583" i="3" a="1"/>
  <c r="C583" i="3" s="1"/>
  <c r="B583" i="3" a="1"/>
  <c r="B583" i="3"/>
  <c r="M583" i="3" s="1" a="1"/>
  <c r="M583" i="3" s="1"/>
  <c r="N582" i="3" a="1"/>
  <c r="N582" i="3"/>
  <c r="L582" i="3"/>
  <c r="K582" i="3"/>
  <c r="J582" i="3"/>
  <c r="H582" i="3"/>
  <c r="I582" i="3" s="1"/>
  <c r="G582" i="3"/>
  <c r="F582" i="3"/>
  <c r="D582" i="3" a="1"/>
  <c r="D582" i="3" s="1"/>
  <c r="C582" i="3" a="1"/>
  <c r="C582" i="3" s="1"/>
  <c r="B582" i="3" a="1"/>
  <c r="B582" i="3" s="1"/>
  <c r="M582" i="3" s="1" a="1"/>
  <c r="M582" i="3" s="1"/>
  <c r="N581" i="3" a="1"/>
  <c r="N581" i="3" s="1"/>
  <c r="L581" i="3"/>
  <c r="K581" i="3"/>
  <c r="H581" i="3"/>
  <c r="J581" i="3" s="1"/>
  <c r="G581" i="3"/>
  <c r="F581" i="3"/>
  <c r="D581" i="3" a="1"/>
  <c r="D581" i="3" s="1"/>
  <c r="C581" i="3" a="1"/>
  <c r="C581" i="3" s="1"/>
  <c r="B581" i="3" a="1"/>
  <c r="B581" i="3" s="1"/>
  <c r="M581" i="3" s="1" a="1"/>
  <c r="M581" i="3" s="1"/>
  <c r="N580" i="3" a="1"/>
  <c r="N580" i="3" s="1"/>
  <c r="M580" i="3" a="1"/>
  <c r="M580" i="3" s="1"/>
  <c r="L580" i="3"/>
  <c r="K580" i="3"/>
  <c r="J580" i="3"/>
  <c r="H580" i="3"/>
  <c r="I580" i="3" s="1"/>
  <c r="G580" i="3"/>
  <c r="F580" i="3"/>
  <c r="D580" i="3" a="1"/>
  <c r="D580" i="3"/>
  <c r="C580" i="3" a="1"/>
  <c r="C580" i="3"/>
  <c r="B580" i="3" a="1"/>
  <c r="B580" i="3" s="1"/>
  <c r="N579" i="3" a="1"/>
  <c r="N579" i="3" s="1"/>
  <c r="M579" i="3"/>
  <c r="L579" i="3"/>
  <c r="K579" i="3"/>
  <c r="J579" i="3"/>
  <c r="I579" i="3"/>
  <c r="H579" i="3"/>
  <c r="G579" i="3"/>
  <c r="F579" i="3"/>
  <c r="D579" i="3" a="1"/>
  <c r="D579" i="3"/>
  <c r="C579" i="3" a="1"/>
  <c r="C579" i="3" s="1"/>
  <c r="B579" i="3" a="1"/>
  <c r="B579" i="3" s="1"/>
  <c r="M579" i="3" s="1" a="1"/>
  <c r="N578" i="3" a="1"/>
  <c r="N578" i="3" s="1"/>
  <c r="L578" i="3"/>
  <c r="K578" i="3"/>
  <c r="J578" i="3"/>
  <c r="H578" i="3"/>
  <c r="I578" i="3" s="1"/>
  <c r="G578" i="3"/>
  <c r="F578" i="3"/>
  <c r="D578" i="3" a="1"/>
  <c r="D578" i="3" s="1"/>
  <c r="C578" i="3" a="1"/>
  <c r="C578" i="3"/>
  <c r="B578" i="3" a="1"/>
  <c r="B578" i="3" s="1"/>
  <c r="M578" i="3" s="1" a="1"/>
  <c r="M578" i="3" s="1"/>
  <c r="N577" i="3" a="1"/>
  <c r="N577" i="3" s="1"/>
  <c r="L577" i="3"/>
  <c r="K577" i="3"/>
  <c r="H577" i="3"/>
  <c r="J577" i="3" s="1"/>
  <c r="G577" i="3"/>
  <c r="F577" i="3"/>
  <c r="D577" i="3" a="1"/>
  <c r="D577" i="3"/>
  <c r="C577" i="3" a="1"/>
  <c r="C577" i="3" s="1"/>
  <c r="B577" i="3" a="1"/>
  <c r="B577" i="3"/>
  <c r="M577" i="3" s="1" a="1"/>
  <c r="M577" i="3" s="1"/>
  <c r="N576" i="3" a="1"/>
  <c r="N576" i="3" s="1"/>
  <c r="M576" i="3" a="1"/>
  <c r="M576" i="3" s="1"/>
  <c r="L576" i="3"/>
  <c r="K576" i="3"/>
  <c r="I576" i="3"/>
  <c r="H576" i="3"/>
  <c r="J576" i="3" s="1"/>
  <c r="G576" i="3"/>
  <c r="F576" i="3"/>
  <c r="D576" i="3" a="1"/>
  <c r="D576" i="3" s="1"/>
  <c r="C576" i="3" a="1"/>
  <c r="C576" i="3"/>
  <c r="B576" i="3" a="1"/>
  <c r="B576" i="3"/>
  <c r="N575" i="3" a="1"/>
  <c r="N575" i="3"/>
  <c r="L575" i="3"/>
  <c r="K575" i="3"/>
  <c r="H575" i="3"/>
  <c r="G575" i="3"/>
  <c r="F575" i="3"/>
  <c r="D575" i="3" a="1"/>
  <c r="D575" i="3"/>
  <c r="C575" i="3" a="1"/>
  <c r="C575" i="3"/>
  <c r="B575" i="3" a="1"/>
  <c r="B575" i="3" s="1"/>
  <c r="M575" i="3" s="1" a="1"/>
  <c r="M575" i="3" s="1"/>
  <c r="N574" i="3" a="1"/>
  <c r="N574" i="3"/>
  <c r="L574" i="3"/>
  <c r="K574" i="3"/>
  <c r="J574" i="3"/>
  <c r="I574" i="3"/>
  <c r="H574" i="3"/>
  <c r="G574" i="3"/>
  <c r="F574" i="3"/>
  <c r="D574" i="3" a="1"/>
  <c r="D574" i="3" s="1"/>
  <c r="C574" i="3" a="1"/>
  <c r="C574" i="3" s="1"/>
  <c r="B574" i="3" a="1"/>
  <c r="B574" i="3"/>
  <c r="M574" i="3" s="1" a="1"/>
  <c r="M574" i="3" s="1"/>
  <c r="N573" i="3" a="1"/>
  <c r="N573" i="3"/>
  <c r="M573" i="3"/>
  <c r="L573" i="3"/>
  <c r="K573" i="3"/>
  <c r="J573" i="3"/>
  <c r="H573" i="3"/>
  <c r="G573" i="3"/>
  <c r="F573" i="3"/>
  <c r="D573" i="3" a="1"/>
  <c r="D573" i="3" s="1"/>
  <c r="C573" i="3" a="1"/>
  <c r="C573" i="3" s="1"/>
  <c r="B573" i="3" a="1"/>
  <c r="B573" i="3" s="1"/>
  <c r="M573" i="3" s="1" a="1"/>
  <c r="N572" i="3" a="1"/>
  <c r="N572" i="3"/>
  <c r="L572" i="3"/>
  <c r="K572" i="3"/>
  <c r="J572" i="3"/>
  <c r="I572" i="3"/>
  <c r="H572" i="3"/>
  <c r="G572" i="3"/>
  <c r="F572" i="3"/>
  <c r="D572" i="3" a="1"/>
  <c r="D572" i="3"/>
  <c r="C572" i="3" a="1"/>
  <c r="C572" i="3"/>
  <c r="B572" i="3" a="1"/>
  <c r="B572" i="3"/>
  <c r="M572" i="3" s="1" a="1"/>
  <c r="M572" i="3" s="1"/>
  <c r="N571" i="3" a="1"/>
  <c r="N571" i="3"/>
  <c r="L571" i="3"/>
  <c r="K571" i="3"/>
  <c r="J571" i="3"/>
  <c r="I571" i="3"/>
  <c r="H571" i="3"/>
  <c r="G571" i="3"/>
  <c r="F571" i="3"/>
  <c r="D571" i="3" a="1"/>
  <c r="D571" i="3" s="1"/>
  <c r="C571" i="3" a="1"/>
  <c r="C571" i="3" s="1"/>
  <c r="B571" i="3" a="1"/>
  <c r="B571" i="3" s="1"/>
  <c r="M571" i="3" s="1" a="1"/>
  <c r="M571" i="3" s="1"/>
  <c r="N570" i="3" a="1"/>
  <c r="N570" i="3" s="1"/>
  <c r="L570" i="3"/>
  <c r="K570" i="3"/>
  <c r="H570" i="3"/>
  <c r="J570" i="3" s="1"/>
  <c r="G570" i="3"/>
  <c r="F570" i="3"/>
  <c r="D570" i="3" a="1"/>
  <c r="D570" i="3" s="1"/>
  <c r="C570" i="3" a="1"/>
  <c r="C570" i="3"/>
  <c r="B570" i="3" a="1"/>
  <c r="B570" i="3"/>
  <c r="M570" i="3" s="1" a="1"/>
  <c r="M570" i="3" s="1"/>
  <c r="N569" i="3" a="1"/>
  <c r="N569" i="3"/>
  <c r="L569" i="3"/>
  <c r="K569" i="3"/>
  <c r="H569" i="3"/>
  <c r="J569" i="3" s="1"/>
  <c r="G569" i="3"/>
  <c r="F569" i="3"/>
  <c r="D569" i="3" a="1"/>
  <c r="D569" i="3" s="1"/>
  <c r="C569" i="3" a="1"/>
  <c r="C569" i="3" s="1"/>
  <c r="B569" i="3" a="1"/>
  <c r="B569" i="3"/>
  <c r="M569" i="3" s="1" a="1"/>
  <c r="M569" i="3" s="1"/>
  <c r="N568" i="3" a="1"/>
  <c r="N568" i="3"/>
  <c r="L568" i="3"/>
  <c r="K568" i="3"/>
  <c r="J568" i="3"/>
  <c r="H568" i="3"/>
  <c r="I568" i="3" s="1"/>
  <c r="G568" i="3"/>
  <c r="F568" i="3"/>
  <c r="D568" i="3" a="1"/>
  <c r="D568" i="3"/>
  <c r="C568" i="3" a="1"/>
  <c r="C568" i="3" s="1"/>
  <c r="B568" i="3" a="1"/>
  <c r="B568" i="3" s="1"/>
  <c r="M568" i="3" s="1" a="1"/>
  <c r="M568" i="3" s="1"/>
  <c r="N567" i="3" a="1"/>
  <c r="N567" i="3" s="1"/>
  <c r="M567" i="3" a="1"/>
  <c r="M567" i="3" s="1"/>
  <c r="L567" i="3"/>
  <c r="K567" i="3"/>
  <c r="J567" i="3"/>
  <c r="I567" i="3"/>
  <c r="H567" i="3"/>
  <c r="G567" i="3"/>
  <c r="F567" i="3"/>
  <c r="D567" i="3" a="1"/>
  <c r="D567" i="3" s="1"/>
  <c r="C567" i="3" a="1"/>
  <c r="C567" i="3" s="1"/>
  <c r="B567" i="3" a="1"/>
  <c r="B567" i="3" s="1"/>
  <c r="N566" i="3" a="1"/>
  <c r="N566" i="3"/>
  <c r="M566" i="3"/>
  <c r="L566" i="3"/>
  <c r="K566" i="3"/>
  <c r="H566" i="3"/>
  <c r="G566" i="3"/>
  <c r="F566" i="3"/>
  <c r="D566" i="3" a="1"/>
  <c r="D566" i="3"/>
  <c r="C566" i="3" a="1"/>
  <c r="C566" i="3"/>
  <c r="B566" i="3" a="1"/>
  <c r="B566" i="3" s="1"/>
  <c r="M566" i="3" s="1" a="1"/>
  <c r="N565" i="3" a="1"/>
  <c r="N565" i="3" s="1"/>
  <c r="M565" i="3" a="1"/>
  <c r="M565" i="3" s="1"/>
  <c r="L565" i="3"/>
  <c r="K565" i="3"/>
  <c r="J565" i="3"/>
  <c r="H565" i="3"/>
  <c r="G565" i="3"/>
  <c r="F565" i="3"/>
  <c r="D565" i="3" a="1"/>
  <c r="D565" i="3"/>
  <c r="C565" i="3" a="1"/>
  <c r="C565" i="3"/>
  <c r="B565" i="3" a="1"/>
  <c r="B565" i="3"/>
  <c r="N564" i="3" a="1"/>
  <c r="N564" i="3" s="1"/>
  <c r="L564" i="3"/>
  <c r="K564" i="3"/>
  <c r="J564" i="3"/>
  <c r="H564" i="3"/>
  <c r="I564" i="3" s="1"/>
  <c r="G564" i="3"/>
  <c r="F564" i="3"/>
  <c r="D564" i="3" a="1"/>
  <c r="D564" i="3" s="1"/>
  <c r="C564" i="3" a="1"/>
  <c r="C564" i="3"/>
  <c r="B564" i="3" a="1"/>
  <c r="B564" i="3"/>
  <c r="M564" i="3" s="1" a="1"/>
  <c r="M564" i="3" s="1"/>
  <c r="N563" i="3" a="1"/>
  <c r="N563" i="3" s="1"/>
  <c r="L563" i="3"/>
  <c r="K563" i="3"/>
  <c r="I563" i="3"/>
  <c r="H563" i="3"/>
  <c r="J563" i="3" s="1"/>
  <c r="G563" i="3"/>
  <c r="F563" i="3"/>
  <c r="D563" i="3" a="1"/>
  <c r="D563" i="3"/>
  <c r="C563" i="3" a="1"/>
  <c r="C563" i="3"/>
  <c r="B563" i="3" a="1"/>
  <c r="B563" i="3" s="1"/>
  <c r="M563" i="3" s="1" a="1"/>
  <c r="M563" i="3" s="1"/>
  <c r="N562" i="3" a="1"/>
  <c r="N562" i="3" s="1"/>
  <c r="L562" i="3"/>
  <c r="K562" i="3"/>
  <c r="J562" i="3"/>
  <c r="H562" i="3"/>
  <c r="I562" i="3" s="1"/>
  <c r="G562" i="3"/>
  <c r="F562" i="3"/>
  <c r="D562" i="3" a="1"/>
  <c r="D562" i="3"/>
  <c r="C562" i="3" a="1"/>
  <c r="C562" i="3" s="1"/>
  <c r="B562" i="3" a="1"/>
  <c r="B562" i="3"/>
  <c r="M562" i="3" s="1" a="1"/>
  <c r="M562" i="3" s="1"/>
  <c r="N561" i="3" a="1"/>
  <c r="N561" i="3" s="1"/>
  <c r="M561" i="3" a="1"/>
  <c r="M561" i="3" s="1"/>
  <c r="L561" i="3"/>
  <c r="K561" i="3"/>
  <c r="I561" i="3"/>
  <c r="H561" i="3"/>
  <c r="J561" i="3" s="1"/>
  <c r="G561" i="3"/>
  <c r="F561" i="3"/>
  <c r="D561" i="3" a="1"/>
  <c r="D561" i="3" s="1"/>
  <c r="C561" i="3" a="1"/>
  <c r="C561" i="3"/>
  <c r="B561" i="3" a="1"/>
  <c r="B561" i="3"/>
  <c r="N560" i="3" a="1"/>
  <c r="N560" i="3"/>
  <c r="L560" i="3"/>
  <c r="K560" i="3"/>
  <c r="H560" i="3"/>
  <c r="G560" i="3"/>
  <c r="F560" i="3"/>
  <c r="D560" i="3" a="1"/>
  <c r="D560" i="3"/>
  <c r="C560" i="3" a="1"/>
  <c r="C560" i="3"/>
  <c r="B560" i="3" a="1"/>
  <c r="B560" i="3" s="1"/>
  <c r="M560" i="3" s="1" a="1"/>
  <c r="M560" i="3" s="1"/>
  <c r="N559" i="3" a="1"/>
  <c r="N559" i="3"/>
  <c r="M559" i="3" a="1"/>
  <c r="M559" i="3"/>
  <c r="L559" i="3"/>
  <c r="K559" i="3"/>
  <c r="J559" i="3"/>
  <c r="I559" i="3"/>
  <c r="H559" i="3"/>
  <c r="G559" i="3"/>
  <c r="F559" i="3"/>
  <c r="D559" i="3" a="1"/>
  <c r="D559" i="3" s="1"/>
  <c r="C559" i="3" a="1"/>
  <c r="C559" i="3" s="1"/>
  <c r="B559" i="3" a="1"/>
  <c r="B559" i="3"/>
  <c r="N558" i="3" a="1"/>
  <c r="N558" i="3"/>
  <c r="M558" i="3" a="1"/>
  <c r="M558" i="3" s="1"/>
  <c r="L558" i="3"/>
  <c r="K558" i="3"/>
  <c r="J558" i="3"/>
  <c r="H558" i="3"/>
  <c r="G558" i="3"/>
  <c r="F558" i="3"/>
  <c r="D558" i="3" a="1"/>
  <c r="D558" i="3" s="1"/>
  <c r="C558" i="3" a="1"/>
  <c r="C558" i="3" s="1"/>
  <c r="B558" i="3" a="1"/>
  <c r="B558" i="3" s="1"/>
  <c r="N557" i="3" a="1"/>
  <c r="N557" i="3"/>
  <c r="L557" i="3"/>
  <c r="K557" i="3"/>
  <c r="J557" i="3"/>
  <c r="I557" i="3"/>
  <c r="H557" i="3"/>
  <c r="G557" i="3"/>
  <c r="F557" i="3"/>
  <c r="D557" i="3" a="1"/>
  <c r="D557" i="3"/>
  <c r="C557" i="3" a="1"/>
  <c r="C557" i="3"/>
  <c r="B557" i="3" a="1"/>
  <c r="B557" i="3"/>
  <c r="M557" i="3" s="1" a="1"/>
  <c r="M557" i="3" s="1"/>
  <c r="N556" i="3" a="1"/>
  <c r="N556" i="3"/>
  <c r="L556" i="3"/>
  <c r="K556" i="3"/>
  <c r="I556" i="3"/>
  <c r="H556" i="3"/>
  <c r="J556" i="3" s="1"/>
  <c r="G556" i="3"/>
  <c r="F556" i="3"/>
  <c r="D556" i="3" a="1"/>
  <c r="D556" i="3" s="1"/>
  <c r="C556" i="3" a="1"/>
  <c r="C556" i="3" s="1"/>
  <c r="B556" i="3" a="1"/>
  <c r="B556" i="3" s="1"/>
  <c r="M556" i="3" s="1" a="1"/>
  <c r="M556" i="3" s="1"/>
  <c r="N555" i="3" a="1"/>
  <c r="N555" i="3" s="1"/>
  <c r="M555" i="3"/>
  <c r="L555" i="3"/>
  <c r="K555" i="3"/>
  <c r="H555" i="3"/>
  <c r="J555" i="3" s="1"/>
  <c r="G555" i="3"/>
  <c r="F555" i="3"/>
  <c r="D555" i="3" a="1"/>
  <c r="D555" i="3" s="1"/>
  <c r="C555" i="3" a="1"/>
  <c r="C555" i="3"/>
  <c r="B555" i="3" a="1"/>
  <c r="B555" i="3"/>
  <c r="M555" i="3" s="1" a="1"/>
  <c r="N554" i="3" a="1"/>
  <c r="N554" i="3"/>
  <c r="L554" i="3"/>
  <c r="K554" i="3"/>
  <c r="H554" i="3"/>
  <c r="J554" i="3" s="1"/>
  <c r="G554" i="3"/>
  <c r="F554" i="3"/>
  <c r="D554" i="3" a="1"/>
  <c r="D554" i="3" s="1"/>
  <c r="C554" i="3" a="1"/>
  <c r="C554" i="3" s="1"/>
  <c r="B554" i="3" a="1"/>
  <c r="B554" i="3"/>
  <c r="M554" i="3" s="1" a="1"/>
  <c r="M554" i="3" s="1"/>
  <c r="N553" i="3" a="1"/>
  <c r="N553" i="3"/>
  <c r="M553" i="3"/>
  <c r="L553" i="3"/>
  <c r="K553" i="3"/>
  <c r="J553" i="3"/>
  <c r="H553" i="3"/>
  <c r="I553" i="3" s="1"/>
  <c r="G553" i="3"/>
  <c r="F553" i="3"/>
  <c r="D553" i="3" a="1"/>
  <c r="D553" i="3" s="1"/>
  <c r="C553" i="3" a="1"/>
  <c r="C553" i="3" s="1"/>
  <c r="B553" i="3" a="1"/>
  <c r="B553" i="3" s="1"/>
  <c r="M553" i="3" s="1" a="1"/>
  <c r="N552" i="3" a="1"/>
  <c r="N552" i="3" s="1"/>
  <c r="L552" i="3"/>
  <c r="K552" i="3"/>
  <c r="J552" i="3"/>
  <c r="I552" i="3"/>
  <c r="H552" i="3"/>
  <c r="G552" i="3"/>
  <c r="F552" i="3"/>
  <c r="D552" i="3" a="1"/>
  <c r="D552" i="3" s="1"/>
  <c r="C552" i="3" a="1"/>
  <c r="C552" i="3" s="1"/>
  <c r="B552" i="3" a="1"/>
  <c r="B552" i="3" s="1"/>
  <c r="M552" i="3" s="1" a="1"/>
  <c r="M552" i="3" s="1"/>
  <c r="N551" i="3" a="1"/>
  <c r="N551" i="3"/>
  <c r="M551" i="3"/>
  <c r="L551" i="3"/>
  <c r="K551" i="3"/>
  <c r="H551" i="3"/>
  <c r="G551" i="3"/>
  <c r="F551" i="3"/>
  <c r="D551" i="3" a="1"/>
  <c r="D551" i="3" s="1"/>
  <c r="C551" i="3" a="1"/>
  <c r="C551" i="3"/>
  <c r="B551" i="3" a="1"/>
  <c r="B551" i="3" s="1"/>
  <c r="M551" i="3" s="1" a="1"/>
  <c r="N550" i="3" a="1"/>
  <c r="N550" i="3" s="1"/>
  <c r="L550" i="3"/>
  <c r="K550" i="3"/>
  <c r="J550" i="3"/>
  <c r="H550" i="3"/>
  <c r="G550" i="3"/>
  <c r="F550" i="3"/>
  <c r="D550" i="3" a="1"/>
  <c r="D550" i="3"/>
  <c r="C550" i="3" a="1"/>
  <c r="C550" i="3"/>
  <c r="B550" i="3" a="1"/>
  <c r="B550" i="3"/>
  <c r="M550" i="3" s="1" a="1"/>
  <c r="M550" i="3" s="1"/>
  <c r="N549" i="3" a="1"/>
  <c r="N549" i="3" s="1"/>
  <c r="L549" i="3"/>
  <c r="K549" i="3"/>
  <c r="H549" i="3"/>
  <c r="J549" i="3" s="1"/>
  <c r="G549" i="3"/>
  <c r="F549" i="3"/>
  <c r="D549" i="3" a="1"/>
  <c r="D549" i="3" s="1"/>
  <c r="C549" i="3" a="1"/>
  <c r="C549" i="3"/>
  <c r="B549" i="3" a="1"/>
  <c r="B549" i="3"/>
  <c r="M549" i="3" s="1" a="1"/>
  <c r="M549" i="3" s="1"/>
  <c r="N548" i="3" a="1"/>
  <c r="N548" i="3" s="1"/>
  <c r="L548" i="3"/>
  <c r="K548" i="3"/>
  <c r="H548" i="3"/>
  <c r="J548" i="3" s="1"/>
  <c r="G548" i="3"/>
  <c r="F548" i="3"/>
  <c r="D548" i="3" a="1"/>
  <c r="D548" i="3"/>
  <c r="C548" i="3" a="1"/>
  <c r="C548" i="3"/>
  <c r="B548" i="3" a="1"/>
  <c r="B548" i="3"/>
  <c r="M548" i="3" s="1" a="1"/>
  <c r="M548" i="3" s="1"/>
  <c r="N547" i="3" a="1"/>
  <c r="N547" i="3" s="1"/>
  <c r="L547" i="3"/>
  <c r="K547" i="3"/>
  <c r="J547" i="3"/>
  <c r="H547" i="3"/>
  <c r="I547" i="3" s="1"/>
  <c r="G547" i="3"/>
  <c r="F547" i="3"/>
  <c r="D547" i="3" a="1"/>
  <c r="D547" i="3"/>
  <c r="C547" i="3" a="1"/>
  <c r="C547" i="3" s="1"/>
  <c r="B547" i="3" a="1"/>
  <c r="B547" i="3"/>
  <c r="M547" i="3" s="1" a="1"/>
  <c r="M547" i="3" s="1"/>
  <c r="N546" i="3" a="1"/>
  <c r="N546" i="3"/>
  <c r="L546" i="3"/>
  <c r="K546" i="3"/>
  <c r="H546" i="3"/>
  <c r="J546" i="3" s="1"/>
  <c r="G546" i="3"/>
  <c r="F546" i="3"/>
  <c r="D546" i="3" a="1"/>
  <c r="D546" i="3"/>
  <c r="C546" i="3" a="1"/>
  <c r="C546" i="3"/>
  <c r="B546" i="3" a="1"/>
  <c r="B546" i="3" s="1"/>
  <c r="M546" i="3" s="1" a="1"/>
  <c r="M546" i="3" s="1"/>
  <c r="N545" i="3" a="1"/>
  <c r="N545" i="3"/>
  <c r="L545" i="3"/>
  <c r="K545" i="3"/>
  <c r="J545" i="3"/>
  <c r="I545" i="3"/>
  <c r="H545" i="3"/>
  <c r="G545" i="3"/>
  <c r="F545" i="3"/>
  <c r="D545" i="3" a="1"/>
  <c r="D545" i="3" s="1"/>
  <c r="C545" i="3" a="1"/>
  <c r="C545" i="3" s="1"/>
  <c r="B545" i="3" a="1"/>
  <c r="B545" i="3"/>
  <c r="M545" i="3" s="1" a="1"/>
  <c r="M545" i="3" s="1"/>
  <c r="N544" i="3" a="1"/>
  <c r="N544" i="3"/>
  <c r="M544" i="3" a="1"/>
  <c r="M544" i="3"/>
  <c r="L544" i="3"/>
  <c r="K544" i="3"/>
  <c r="J544" i="3"/>
  <c r="I544" i="3"/>
  <c r="H544" i="3"/>
  <c r="G544" i="3"/>
  <c r="F544" i="3"/>
  <c r="D544" i="3" a="1"/>
  <c r="D544" i="3"/>
  <c r="C544" i="3" a="1"/>
  <c r="C544" i="3" s="1"/>
  <c r="B544" i="3" a="1"/>
  <c r="B544" i="3"/>
  <c r="N543" i="3" a="1"/>
  <c r="N543" i="3" s="1"/>
  <c r="L543" i="3"/>
  <c r="K543" i="3"/>
  <c r="J543" i="3"/>
  <c r="I543" i="3"/>
  <c r="H543" i="3"/>
  <c r="G543" i="3"/>
  <c r="F543" i="3"/>
  <c r="D543" i="3" a="1"/>
  <c r="D543" i="3" s="1"/>
  <c r="C543" i="3" a="1"/>
  <c r="C543" i="3" s="1"/>
  <c r="B543" i="3" a="1"/>
  <c r="B543" i="3" s="1"/>
  <c r="M543" i="3" s="1" a="1"/>
  <c r="M543" i="3" s="1"/>
  <c r="N542" i="3" a="1"/>
  <c r="N542" i="3"/>
  <c r="L542" i="3"/>
  <c r="K542" i="3"/>
  <c r="J542" i="3"/>
  <c r="H542" i="3"/>
  <c r="G542" i="3"/>
  <c r="F542" i="3"/>
  <c r="D542" i="3" a="1"/>
  <c r="D542" i="3" s="1"/>
  <c r="C542" i="3" a="1"/>
  <c r="C542" i="3" s="1"/>
  <c r="B542" i="3" a="1"/>
  <c r="B542" i="3"/>
  <c r="M542" i="3" s="1" a="1"/>
  <c r="M542" i="3" s="1"/>
  <c r="N541" i="3" a="1"/>
  <c r="N541" i="3" s="1"/>
  <c r="L541" i="3"/>
  <c r="K541" i="3"/>
  <c r="H541" i="3"/>
  <c r="G541" i="3"/>
  <c r="F541" i="3"/>
  <c r="D541" i="3" a="1"/>
  <c r="D541" i="3" s="1"/>
  <c r="C541" i="3" a="1"/>
  <c r="C541" i="3"/>
  <c r="B541" i="3" a="1"/>
  <c r="B541" i="3"/>
  <c r="M541" i="3" s="1" a="1"/>
  <c r="M541" i="3" s="1"/>
  <c r="N540" i="3" a="1"/>
  <c r="N540" i="3"/>
  <c r="L540" i="3"/>
  <c r="K540" i="3"/>
  <c r="I540" i="3"/>
  <c r="H540" i="3"/>
  <c r="J540" i="3" s="1"/>
  <c r="G540" i="3"/>
  <c r="F540" i="3"/>
  <c r="D540" i="3" a="1"/>
  <c r="D540" i="3" s="1"/>
  <c r="C540" i="3" a="1"/>
  <c r="C540" i="3" s="1"/>
  <c r="B540" i="3" a="1"/>
  <c r="B540" i="3" s="1"/>
  <c r="M540" i="3" s="1" a="1"/>
  <c r="M540" i="3" s="1"/>
  <c r="N539" i="3" a="1"/>
  <c r="N539" i="3" s="1"/>
  <c r="L539" i="3"/>
  <c r="K539" i="3"/>
  <c r="H539" i="3"/>
  <c r="G539" i="3"/>
  <c r="F539" i="3"/>
  <c r="D539" i="3" a="1"/>
  <c r="D539" i="3" s="1"/>
  <c r="C539" i="3" a="1"/>
  <c r="C539" i="3" s="1"/>
  <c r="B539" i="3" a="1"/>
  <c r="B539" i="3"/>
  <c r="M539" i="3" s="1" a="1"/>
  <c r="M539" i="3" s="1"/>
  <c r="N538" i="3" a="1"/>
  <c r="N538" i="3"/>
  <c r="L538" i="3"/>
  <c r="K538" i="3"/>
  <c r="J538" i="3"/>
  <c r="H538" i="3"/>
  <c r="G538" i="3"/>
  <c r="F538" i="3"/>
  <c r="D538" i="3" a="1"/>
  <c r="D538" i="3"/>
  <c r="C538" i="3" a="1"/>
  <c r="C538" i="3" s="1"/>
  <c r="B538" i="3" a="1"/>
  <c r="B538" i="3" s="1"/>
  <c r="M538" i="3" s="1" a="1"/>
  <c r="M538" i="3" s="1"/>
  <c r="N537" i="3" a="1"/>
  <c r="N537" i="3"/>
  <c r="L537" i="3"/>
  <c r="K537" i="3"/>
  <c r="H537" i="3"/>
  <c r="G537" i="3"/>
  <c r="F537" i="3"/>
  <c r="D537" i="3" a="1"/>
  <c r="D537" i="3"/>
  <c r="C537" i="3" a="1"/>
  <c r="C537" i="3" s="1"/>
  <c r="B537" i="3" a="1"/>
  <c r="B537" i="3" s="1"/>
  <c r="M537" i="3" s="1" a="1"/>
  <c r="M537" i="3" s="1"/>
  <c r="N536" i="3" a="1"/>
  <c r="N536" i="3" s="1"/>
  <c r="M536" i="3" a="1"/>
  <c r="M536" i="3" s="1"/>
  <c r="L536" i="3"/>
  <c r="K536" i="3"/>
  <c r="J536" i="3"/>
  <c r="H536" i="3"/>
  <c r="I536" i="3" s="1"/>
  <c r="G536" i="3"/>
  <c r="F536" i="3"/>
  <c r="D536" i="3" a="1"/>
  <c r="D536" i="3"/>
  <c r="C536" i="3" a="1"/>
  <c r="C536" i="3"/>
  <c r="B536" i="3" a="1"/>
  <c r="B536" i="3" s="1"/>
  <c r="N535" i="3" a="1"/>
  <c r="N535" i="3" s="1"/>
  <c r="L535" i="3"/>
  <c r="K535" i="3"/>
  <c r="J535" i="3"/>
  <c r="I535" i="3"/>
  <c r="H535" i="3"/>
  <c r="G535" i="3"/>
  <c r="F535" i="3"/>
  <c r="D535" i="3" a="1"/>
  <c r="D535" i="3"/>
  <c r="C535" i="3" a="1"/>
  <c r="C535" i="3"/>
  <c r="B535" i="3" a="1"/>
  <c r="B535" i="3" s="1"/>
  <c r="M535" i="3" s="1" a="1"/>
  <c r="M535" i="3" s="1"/>
  <c r="N534" i="3" a="1"/>
  <c r="N534" i="3"/>
  <c r="L534" i="3"/>
  <c r="K534" i="3"/>
  <c r="J534" i="3"/>
  <c r="H534" i="3"/>
  <c r="G534" i="3"/>
  <c r="F534" i="3"/>
  <c r="D534" i="3" a="1"/>
  <c r="D534" i="3"/>
  <c r="C534" i="3" a="1"/>
  <c r="C534" i="3"/>
  <c r="B534" i="3" a="1"/>
  <c r="B534" i="3"/>
  <c r="M534" i="3" s="1" a="1"/>
  <c r="M534" i="3" s="1"/>
  <c r="N533" i="3" a="1"/>
  <c r="N533" i="3"/>
  <c r="M533" i="3" a="1"/>
  <c r="M533" i="3" s="1"/>
  <c r="L533" i="3"/>
  <c r="K533" i="3"/>
  <c r="H533" i="3"/>
  <c r="I533" i="3" s="1"/>
  <c r="G533" i="3"/>
  <c r="F533" i="3"/>
  <c r="D533" i="3" a="1"/>
  <c r="D533" i="3"/>
  <c r="C533" i="3" a="1"/>
  <c r="C533" i="3" s="1"/>
  <c r="B533" i="3" a="1"/>
  <c r="B533" i="3"/>
  <c r="N532" i="3" a="1"/>
  <c r="N532" i="3" s="1"/>
  <c r="M532" i="3" a="1"/>
  <c r="M532" i="3" s="1"/>
  <c r="L532" i="3"/>
  <c r="K532" i="3"/>
  <c r="I532" i="3"/>
  <c r="H532" i="3"/>
  <c r="J532" i="3" s="1"/>
  <c r="G532" i="3"/>
  <c r="F532" i="3"/>
  <c r="D532" i="3" a="1"/>
  <c r="D532" i="3" s="1"/>
  <c r="C532" i="3" a="1"/>
  <c r="C532" i="3"/>
  <c r="B532" i="3" a="1"/>
  <c r="B532" i="3"/>
  <c r="N531" i="3" a="1"/>
  <c r="N531" i="3" s="1"/>
  <c r="L531" i="3"/>
  <c r="K531" i="3"/>
  <c r="H531" i="3"/>
  <c r="G531" i="3"/>
  <c r="F531" i="3"/>
  <c r="D531" i="3" a="1"/>
  <c r="D531" i="3"/>
  <c r="C531" i="3" a="1"/>
  <c r="C531" i="3"/>
  <c r="B531" i="3" a="1"/>
  <c r="B531" i="3" s="1"/>
  <c r="M531" i="3" s="1" a="1"/>
  <c r="M531" i="3" s="1"/>
  <c r="N530" i="3" a="1"/>
  <c r="N530" i="3"/>
  <c r="M530" i="3" a="1"/>
  <c r="M530" i="3"/>
  <c r="L530" i="3"/>
  <c r="K530" i="3"/>
  <c r="J530" i="3"/>
  <c r="H530" i="3"/>
  <c r="G530" i="3"/>
  <c r="F530" i="3"/>
  <c r="D530" i="3" a="1"/>
  <c r="D530" i="3"/>
  <c r="C530" i="3" a="1"/>
  <c r="C530" i="3" s="1"/>
  <c r="B530" i="3" a="1"/>
  <c r="B530" i="3"/>
  <c r="N529" i="3" a="1"/>
  <c r="N529" i="3" s="1"/>
  <c r="M529" i="3"/>
  <c r="L529" i="3"/>
  <c r="K529" i="3"/>
  <c r="H529" i="3"/>
  <c r="J529" i="3" s="1"/>
  <c r="G529" i="3"/>
  <c r="F529" i="3"/>
  <c r="D529" i="3" a="1"/>
  <c r="D529" i="3" s="1"/>
  <c r="C529" i="3" a="1"/>
  <c r="C529" i="3"/>
  <c r="B529" i="3" a="1"/>
  <c r="B529" i="3" s="1"/>
  <c r="M529" i="3" s="1" a="1"/>
  <c r="N528" i="3" a="1"/>
  <c r="N528" i="3"/>
  <c r="L528" i="3"/>
  <c r="K528" i="3"/>
  <c r="H528" i="3"/>
  <c r="J528" i="3" s="1"/>
  <c r="G528" i="3"/>
  <c r="F528" i="3"/>
  <c r="D528" i="3" a="1"/>
  <c r="D528" i="3"/>
  <c r="C528" i="3" a="1"/>
  <c r="C528" i="3"/>
  <c r="B528" i="3" a="1"/>
  <c r="B528" i="3"/>
  <c r="M528" i="3" s="1" a="1"/>
  <c r="M528" i="3" s="1"/>
  <c r="N527" i="3" a="1"/>
  <c r="N527" i="3"/>
  <c r="L527" i="3"/>
  <c r="K527" i="3"/>
  <c r="H527" i="3"/>
  <c r="J527" i="3" s="1"/>
  <c r="G527" i="3"/>
  <c r="F527" i="3"/>
  <c r="D527" i="3" a="1"/>
  <c r="D527" i="3" s="1"/>
  <c r="C527" i="3" a="1"/>
  <c r="C527" i="3" s="1"/>
  <c r="B527" i="3" a="1"/>
  <c r="B527" i="3"/>
  <c r="M527" i="3" s="1" a="1"/>
  <c r="M527" i="3" s="1"/>
  <c r="N526" i="3" a="1"/>
  <c r="N526" i="3" s="1"/>
  <c r="L526" i="3"/>
  <c r="K526" i="3"/>
  <c r="H526" i="3"/>
  <c r="J526" i="3" s="1"/>
  <c r="G526" i="3"/>
  <c r="F526" i="3"/>
  <c r="D526" i="3" a="1"/>
  <c r="D526" i="3" s="1"/>
  <c r="C526" i="3" a="1"/>
  <c r="C526" i="3" s="1"/>
  <c r="B526" i="3" a="1"/>
  <c r="B526" i="3" s="1"/>
  <c r="M526" i="3" s="1" a="1"/>
  <c r="M526" i="3" s="1"/>
  <c r="N525" i="3" a="1"/>
  <c r="N525" i="3"/>
  <c r="M525" i="3" a="1"/>
  <c r="M525" i="3" s="1"/>
  <c r="L525" i="3"/>
  <c r="K525" i="3"/>
  <c r="H525" i="3"/>
  <c r="G525" i="3"/>
  <c r="F525" i="3"/>
  <c r="D525" i="3" a="1"/>
  <c r="D525" i="3"/>
  <c r="C525" i="3" a="1"/>
  <c r="C525" i="3" s="1"/>
  <c r="B525" i="3" a="1"/>
  <c r="B525" i="3"/>
  <c r="N524" i="3" a="1"/>
  <c r="N524" i="3"/>
  <c r="L524" i="3"/>
  <c r="K524" i="3"/>
  <c r="J524" i="3"/>
  <c r="H524" i="3"/>
  <c r="I524" i="3" s="1"/>
  <c r="G524" i="3"/>
  <c r="F524" i="3"/>
  <c r="D524" i="3" a="1"/>
  <c r="D524" i="3"/>
  <c r="C524" i="3" a="1"/>
  <c r="C524" i="3"/>
  <c r="B524" i="3" a="1"/>
  <c r="B524" i="3" s="1"/>
  <c r="M524" i="3" s="1" a="1"/>
  <c r="M524" i="3" s="1"/>
  <c r="N523" i="3" a="1"/>
  <c r="N523" i="3" s="1"/>
  <c r="M523" i="3" a="1"/>
  <c r="M523" i="3" s="1"/>
  <c r="L523" i="3"/>
  <c r="K523" i="3"/>
  <c r="I523" i="3"/>
  <c r="H523" i="3"/>
  <c r="J523" i="3" s="1"/>
  <c r="G523" i="3"/>
  <c r="F523" i="3"/>
  <c r="D523" i="3" a="1"/>
  <c r="D523" i="3"/>
  <c r="C523" i="3" a="1"/>
  <c r="C523" i="3" s="1"/>
  <c r="B523" i="3" a="1"/>
  <c r="B523" i="3" s="1"/>
  <c r="N522" i="3" a="1"/>
  <c r="N522" i="3"/>
  <c r="L522" i="3"/>
  <c r="K522" i="3"/>
  <c r="H522" i="3"/>
  <c r="G522" i="3"/>
  <c r="F522" i="3"/>
  <c r="D522" i="3" a="1"/>
  <c r="D522" i="3" s="1"/>
  <c r="C522" i="3" a="1"/>
  <c r="C522" i="3"/>
  <c r="B522" i="3" a="1"/>
  <c r="B522" i="3"/>
  <c r="M522" i="3" s="1" a="1"/>
  <c r="M522" i="3" s="1"/>
  <c r="N521" i="3" a="1"/>
  <c r="N521" i="3" s="1"/>
  <c r="L521" i="3"/>
  <c r="K521" i="3"/>
  <c r="J521" i="3"/>
  <c r="H521" i="3"/>
  <c r="I521" i="3" s="1"/>
  <c r="G521" i="3"/>
  <c r="F521" i="3"/>
  <c r="D521" i="3" a="1"/>
  <c r="D521" i="3"/>
  <c r="C521" i="3" a="1"/>
  <c r="C521" i="3" s="1"/>
  <c r="B521" i="3" a="1"/>
  <c r="B521" i="3" s="1"/>
  <c r="M521" i="3" s="1" a="1"/>
  <c r="M521" i="3" s="1"/>
  <c r="N520" i="3" a="1"/>
  <c r="N520" i="3"/>
  <c r="L520" i="3"/>
  <c r="K520" i="3"/>
  <c r="J520" i="3"/>
  <c r="I520" i="3"/>
  <c r="H520" i="3"/>
  <c r="G520" i="3"/>
  <c r="F520" i="3"/>
  <c r="D520" i="3" a="1"/>
  <c r="D520" i="3"/>
  <c r="C520" i="3" a="1"/>
  <c r="C520" i="3"/>
  <c r="B520" i="3" a="1"/>
  <c r="B520" i="3" s="1"/>
  <c r="M520" i="3" s="1" a="1"/>
  <c r="M520" i="3" s="1"/>
  <c r="N519" i="3" a="1"/>
  <c r="N519" i="3" s="1"/>
  <c r="L519" i="3"/>
  <c r="K519" i="3"/>
  <c r="H519" i="3"/>
  <c r="J519" i="3" s="1"/>
  <c r="G519" i="3"/>
  <c r="F519" i="3"/>
  <c r="D519" i="3" a="1"/>
  <c r="D519" i="3"/>
  <c r="C519" i="3" a="1"/>
  <c r="C519" i="3"/>
  <c r="B519" i="3" a="1"/>
  <c r="B519" i="3" s="1"/>
  <c r="M519" i="3" s="1" a="1"/>
  <c r="M519" i="3" s="1"/>
  <c r="N518" i="3" a="1"/>
  <c r="N518" i="3" s="1"/>
  <c r="L518" i="3"/>
  <c r="K518" i="3"/>
  <c r="J518" i="3"/>
  <c r="H518" i="3"/>
  <c r="I518" i="3" s="1"/>
  <c r="G518" i="3"/>
  <c r="F518" i="3"/>
  <c r="D518" i="3" a="1"/>
  <c r="D518" i="3"/>
  <c r="C518" i="3" a="1"/>
  <c r="C518" i="3" s="1"/>
  <c r="B518" i="3" a="1"/>
  <c r="B518" i="3"/>
  <c r="M518" i="3" s="1" a="1"/>
  <c r="M518" i="3" s="1"/>
  <c r="N517" i="3" a="1"/>
  <c r="N517" i="3"/>
  <c r="M517" i="3" a="1"/>
  <c r="M517" i="3"/>
  <c r="L517" i="3"/>
  <c r="K517" i="3"/>
  <c r="I517" i="3"/>
  <c r="H517" i="3"/>
  <c r="J517" i="3" s="1"/>
  <c r="G517" i="3"/>
  <c r="F517" i="3"/>
  <c r="D517" i="3" a="1"/>
  <c r="D517" i="3" s="1"/>
  <c r="C517" i="3" a="1"/>
  <c r="C517" i="3"/>
  <c r="B517" i="3" a="1"/>
  <c r="B517" i="3"/>
  <c r="N516" i="3" a="1"/>
  <c r="N516" i="3" s="1"/>
  <c r="L516" i="3"/>
  <c r="K516" i="3"/>
  <c r="J516" i="3"/>
  <c r="H516" i="3"/>
  <c r="I516" i="3" s="1"/>
  <c r="G516" i="3"/>
  <c r="F516" i="3"/>
  <c r="D516" i="3" a="1"/>
  <c r="D516" i="3"/>
  <c r="C516" i="3" a="1"/>
  <c r="C516" i="3"/>
  <c r="B516" i="3" a="1"/>
  <c r="B516" i="3" s="1"/>
  <c r="M516" i="3" s="1" a="1"/>
  <c r="M516" i="3" s="1"/>
  <c r="N515" i="3" a="1"/>
  <c r="N515" i="3"/>
  <c r="M515" i="3" a="1"/>
  <c r="M515" i="3"/>
  <c r="L515" i="3"/>
  <c r="K515" i="3"/>
  <c r="H515" i="3"/>
  <c r="J515" i="3" s="1"/>
  <c r="G515" i="3"/>
  <c r="F515" i="3"/>
  <c r="D515" i="3" a="1"/>
  <c r="D515" i="3"/>
  <c r="C515" i="3" a="1"/>
  <c r="C515" i="3" s="1"/>
  <c r="B515" i="3" a="1"/>
  <c r="B515" i="3"/>
  <c r="N514" i="3" a="1"/>
  <c r="N514" i="3" s="1"/>
  <c r="M514" i="3"/>
  <c r="L514" i="3"/>
  <c r="K514" i="3"/>
  <c r="I514" i="3"/>
  <c r="H514" i="3"/>
  <c r="J514" i="3" s="1"/>
  <c r="G514" i="3"/>
  <c r="F514" i="3"/>
  <c r="D514" i="3" a="1"/>
  <c r="D514" i="3" s="1"/>
  <c r="C514" i="3" a="1"/>
  <c r="C514" i="3"/>
  <c r="B514" i="3" a="1"/>
  <c r="B514" i="3" s="1"/>
  <c r="M514" i="3" s="1" a="1"/>
  <c r="N513" i="3" a="1"/>
  <c r="N513" i="3"/>
  <c r="L513" i="3"/>
  <c r="K513" i="3"/>
  <c r="H513" i="3"/>
  <c r="G513" i="3"/>
  <c r="F513" i="3"/>
  <c r="D513" i="3" a="1"/>
  <c r="D513" i="3"/>
  <c r="C513" i="3" a="1"/>
  <c r="C513" i="3"/>
  <c r="B513" i="3" a="1"/>
  <c r="B513" i="3" s="1"/>
  <c r="M513" i="3" s="1" a="1"/>
  <c r="M513" i="3" s="1"/>
  <c r="N512" i="3" a="1"/>
  <c r="N512" i="3"/>
  <c r="L512" i="3"/>
  <c r="K512" i="3"/>
  <c r="I512" i="3"/>
  <c r="H512" i="3"/>
  <c r="J512" i="3" s="1"/>
  <c r="G512" i="3"/>
  <c r="F512" i="3"/>
  <c r="D512" i="3" a="1"/>
  <c r="D512" i="3" s="1"/>
  <c r="C512" i="3" a="1"/>
  <c r="C512" i="3"/>
  <c r="B512" i="3" a="1"/>
  <c r="B512" i="3" s="1"/>
  <c r="M512" i="3" s="1" a="1"/>
  <c r="M512" i="3" s="1"/>
  <c r="N511" i="3" a="1"/>
  <c r="N511" i="3" s="1"/>
  <c r="L511" i="3"/>
  <c r="K511" i="3"/>
  <c r="J511" i="3"/>
  <c r="H511" i="3"/>
  <c r="G511" i="3"/>
  <c r="F511" i="3"/>
  <c r="D511" i="3" a="1"/>
  <c r="D511" i="3"/>
  <c r="C511" i="3" a="1"/>
  <c r="C511" i="3" s="1"/>
  <c r="B511" i="3" a="1"/>
  <c r="B511" i="3"/>
  <c r="M511" i="3" s="1" a="1"/>
  <c r="M511" i="3" s="1"/>
  <c r="N510" i="3" a="1"/>
  <c r="N510" i="3" s="1"/>
  <c r="M510" i="3" a="1"/>
  <c r="M510" i="3" s="1"/>
  <c r="L510" i="3"/>
  <c r="K510" i="3"/>
  <c r="H510" i="3"/>
  <c r="J510" i="3" s="1"/>
  <c r="G510" i="3"/>
  <c r="F510" i="3"/>
  <c r="D510" i="3" a="1"/>
  <c r="D510" i="3" s="1"/>
  <c r="C510" i="3" a="1"/>
  <c r="C510" i="3" s="1"/>
  <c r="B510" i="3" a="1"/>
  <c r="B510" i="3"/>
  <c r="N509" i="3" a="1"/>
  <c r="N509" i="3"/>
  <c r="M509" i="3" a="1"/>
  <c r="M509" i="3" s="1"/>
  <c r="L509" i="3"/>
  <c r="K509" i="3"/>
  <c r="J509" i="3"/>
  <c r="H509" i="3"/>
  <c r="I509" i="3" s="1"/>
  <c r="G509" i="3"/>
  <c r="F509" i="3"/>
  <c r="D509" i="3" a="1"/>
  <c r="D509" i="3" s="1"/>
  <c r="C509" i="3" a="1"/>
  <c r="C509" i="3" s="1"/>
  <c r="B509" i="3" a="1"/>
  <c r="B509" i="3" s="1"/>
  <c r="N508" i="3" a="1"/>
  <c r="N508" i="3"/>
  <c r="L508" i="3"/>
  <c r="K508" i="3"/>
  <c r="I508" i="3"/>
  <c r="H508" i="3"/>
  <c r="J508" i="3" s="1"/>
  <c r="G508" i="3"/>
  <c r="F508" i="3"/>
  <c r="D508" i="3" a="1"/>
  <c r="D508" i="3"/>
  <c r="C508" i="3" a="1"/>
  <c r="C508" i="3" s="1"/>
  <c r="B508" i="3" a="1"/>
  <c r="B508" i="3" s="1"/>
  <c r="M508" i="3" s="1" a="1"/>
  <c r="M508" i="3" s="1"/>
  <c r="N507" i="3" a="1"/>
  <c r="N507" i="3"/>
  <c r="L507" i="3"/>
  <c r="K507" i="3"/>
  <c r="H507" i="3"/>
  <c r="J507" i="3" s="1"/>
  <c r="G507" i="3"/>
  <c r="F507" i="3"/>
  <c r="D507" i="3" a="1"/>
  <c r="D507" i="3"/>
  <c r="C507" i="3" a="1"/>
  <c r="C507" i="3" s="1"/>
  <c r="B507" i="3" a="1"/>
  <c r="B507" i="3"/>
  <c r="M507" i="3" s="1" a="1"/>
  <c r="M507" i="3" s="1"/>
  <c r="N506" i="3" a="1"/>
  <c r="N506" i="3" s="1"/>
  <c r="L506" i="3"/>
  <c r="K506" i="3"/>
  <c r="J506" i="3"/>
  <c r="I506" i="3"/>
  <c r="H506" i="3"/>
  <c r="G506" i="3"/>
  <c r="F506" i="3"/>
  <c r="D506" i="3" a="1"/>
  <c r="D506" i="3"/>
  <c r="C506" i="3" a="1"/>
  <c r="C506" i="3"/>
  <c r="B506" i="3" a="1"/>
  <c r="B506" i="3" s="1"/>
  <c r="M506" i="3" s="1" a="1"/>
  <c r="M506" i="3" s="1"/>
  <c r="N505" i="3" a="1"/>
  <c r="N505" i="3"/>
  <c r="M505" i="3" a="1"/>
  <c r="M505" i="3" s="1"/>
  <c r="L505" i="3"/>
  <c r="K505" i="3"/>
  <c r="J505" i="3"/>
  <c r="H505" i="3"/>
  <c r="I505" i="3" s="1"/>
  <c r="G505" i="3"/>
  <c r="F505" i="3"/>
  <c r="D505" i="3" a="1"/>
  <c r="D505" i="3" s="1"/>
  <c r="C505" i="3" a="1"/>
  <c r="C505" i="3" s="1"/>
  <c r="B505" i="3" a="1"/>
  <c r="B505" i="3"/>
  <c r="N504" i="3" a="1"/>
  <c r="N504" i="3" s="1"/>
  <c r="L504" i="3"/>
  <c r="K504" i="3"/>
  <c r="H504" i="3"/>
  <c r="J504" i="3" s="1"/>
  <c r="G504" i="3"/>
  <c r="F504" i="3"/>
  <c r="D504" i="3" a="1"/>
  <c r="D504" i="3"/>
  <c r="C504" i="3" a="1"/>
  <c r="C504" i="3"/>
  <c r="B504" i="3" a="1"/>
  <c r="B504" i="3" s="1"/>
  <c r="M504" i="3" s="1" a="1"/>
  <c r="M504" i="3" s="1"/>
  <c r="N503" i="3" a="1"/>
  <c r="N503" i="3"/>
  <c r="L503" i="3"/>
  <c r="K503" i="3"/>
  <c r="J503" i="3"/>
  <c r="H503" i="3"/>
  <c r="G503" i="3"/>
  <c r="F503" i="3"/>
  <c r="D503" i="3" a="1"/>
  <c r="D503" i="3" s="1"/>
  <c r="C503" i="3" a="1"/>
  <c r="C503" i="3"/>
  <c r="B503" i="3" a="1"/>
  <c r="B503" i="3"/>
  <c r="M503" i="3" s="1" a="1"/>
  <c r="M503" i="3" s="1"/>
  <c r="N502" i="3" a="1"/>
  <c r="N502" i="3" s="1"/>
  <c r="L502" i="3"/>
  <c r="K502" i="3"/>
  <c r="H502" i="3"/>
  <c r="J502" i="3" s="1"/>
  <c r="G502" i="3"/>
  <c r="F502" i="3"/>
  <c r="D502" i="3" a="1"/>
  <c r="D502" i="3"/>
  <c r="C502" i="3" a="1"/>
  <c r="C502" i="3"/>
  <c r="B502" i="3" a="1"/>
  <c r="B502" i="3" s="1"/>
  <c r="M502" i="3" s="1" a="1"/>
  <c r="M502" i="3" s="1"/>
  <c r="N501" i="3" a="1"/>
  <c r="N501" i="3"/>
  <c r="M501" i="3" a="1"/>
  <c r="M501" i="3" s="1"/>
  <c r="L501" i="3"/>
  <c r="K501" i="3"/>
  <c r="J501" i="3"/>
  <c r="H501" i="3"/>
  <c r="I501" i="3" s="1"/>
  <c r="G501" i="3"/>
  <c r="F501" i="3"/>
  <c r="D501" i="3" a="1"/>
  <c r="D501" i="3" s="1"/>
  <c r="C501" i="3" a="1"/>
  <c r="C501" i="3" s="1"/>
  <c r="B501" i="3" a="1"/>
  <c r="B501" i="3"/>
  <c r="N500" i="3" a="1"/>
  <c r="N500" i="3"/>
  <c r="M500" i="3" a="1"/>
  <c r="M500" i="3"/>
  <c r="L500" i="3"/>
  <c r="K500" i="3"/>
  <c r="H500" i="3"/>
  <c r="J500" i="3" s="1"/>
  <c r="G500" i="3"/>
  <c r="F500" i="3"/>
  <c r="D500" i="3" a="1"/>
  <c r="D500" i="3" s="1"/>
  <c r="C500" i="3" a="1"/>
  <c r="C500" i="3" s="1"/>
  <c r="B500" i="3" a="1"/>
  <c r="B500" i="3"/>
  <c r="N499" i="3" a="1"/>
  <c r="N499" i="3" s="1"/>
  <c r="L499" i="3"/>
  <c r="K499" i="3"/>
  <c r="J499" i="3"/>
  <c r="H499" i="3"/>
  <c r="G499" i="3"/>
  <c r="F499" i="3"/>
  <c r="D499" i="3" a="1"/>
  <c r="D499" i="3" s="1"/>
  <c r="C499" i="3" a="1"/>
  <c r="C499" i="3"/>
  <c r="B499" i="3" a="1"/>
  <c r="B499" i="3"/>
  <c r="M499" i="3" s="1" a="1"/>
  <c r="M499" i="3" s="1"/>
  <c r="N498" i="3" a="1"/>
  <c r="N498" i="3"/>
  <c r="M498" i="3" a="1"/>
  <c r="M498" i="3" s="1"/>
  <c r="L498" i="3"/>
  <c r="K498" i="3"/>
  <c r="H498" i="3"/>
  <c r="J498" i="3" s="1"/>
  <c r="G498" i="3"/>
  <c r="F498" i="3"/>
  <c r="D498" i="3" a="1"/>
  <c r="D498" i="3"/>
  <c r="C498" i="3" a="1"/>
  <c r="C498" i="3" s="1"/>
  <c r="B498" i="3" a="1"/>
  <c r="B498" i="3"/>
  <c r="N497" i="3" a="1"/>
  <c r="N497" i="3" s="1"/>
  <c r="M497" i="3"/>
  <c r="L497" i="3"/>
  <c r="K497" i="3"/>
  <c r="J497" i="3"/>
  <c r="I497" i="3"/>
  <c r="H497" i="3"/>
  <c r="G497" i="3"/>
  <c r="F497" i="3"/>
  <c r="D497" i="3" a="1"/>
  <c r="D497" i="3"/>
  <c r="C497" i="3" a="1"/>
  <c r="C497" i="3" s="1"/>
  <c r="B497" i="3" a="1"/>
  <c r="B497" i="3"/>
  <c r="M497" i="3" s="1" a="1"/>
  <c r="N496" i="3" a="1"/>
  <c r="N496" i="3"/>
  <c r="L496" i="3"/>
  <c r="K496" i="3"/>
  <c r="J496" i="3"/>
  <c r="I496" i="3"/>
  <c r="H496" i="3"/>
  <c r="G496" i="3"/>
  <c r="F496" i="3"/>
  <c r="D496" i="3" a="1"/>
  <c r="D496" i="3"/>
  <c r="C496" i="3" a="1"/>
  <c r="C496" i="3"/>
  <c r="B496" i="3" a="1"/>
  <c r="B496" i="3" s="1"/>
  <c r="M496" i="3" s="1" a="1"/>
  <c r="M496" i="3" s="1"/>
  <c r="N495" i="3" a="1"/>
  <c r="N495" i="3"/>
  <c r="M495" i="3" a="1"/>
  <c r="M495" i="3" s="1"/>
  <c r="L495" i="3"/>
  <c r="K495" i="3"/>
  <c r="H495" i="3"/>
  <c r="J495" i="3" s="1"/>
  <c r="G495" i="3"/>
  <c r="F495" i="3"/>
  <c r="D495" i="3" a="1"/>
  <c r="D495" i="3" s="1"/>
  <c r="C495" i="3" a="1"/>
  <c r="C495" i="3" s="1"/>
  <c r="B495" i="3" a="1"/>
  <c r="B495" i="3"/>
  <c r="N494" i="3" a="1"/>
  <c r="N494" i="3"/>
  <c r="M494" i="3" a="1"/>
  <c r="M494" i="3" s="1"/>
  <c r="L494" i="3"/>
  <c r="K494" i="3"/>
  <c r="I494" i="3"/>
  <c r="H494" i="3"/>
  <c r="J494" i="3" s="1"/>
  <c r="G494" i="3"/>
  <c r="F494" i="3"/>
  <c r="D494" i="3" a="1"/>
  <c r="D494" i="3" s="1"/>
  <c r="C494" i="3" a="1"/>
  <c r="C494" i="3" s="1"/>
  <c r="B494" i="3" a="1"/>
  <c r="B494" i="3" s="1"/>
  <c r="N493" i="3" a="1"/>
  <c r="N493" i="3" s="1"/>
  <c r="L493" i="3"/>
  <c r="K493" i="3"/>
  <c r="H493" i="3"/>
  <c r="G493" i="3"/>
  <c r="F493" i="3"/>
  <c r="D493" i="3" a="1"/>
  <c r="D493" i="3"/>
  <c r="C493" i="3" a="1"/>
  <c r="C493" i="3"/>
  <c r="B493" i="3" a="1"/>
  <c r="B493" i="3" s="1"/>
  <c r="M493" i="3" s="1" a="1"/>
  <c r="M493" i="3" s="1"/>
  <c r="N492" i="3" a="1"/>
  <c r="N492" i="3"/>
  <c r="L492" i="3"/>
  <c r="K492" i="3"/>
  <c r="J492" i="3"/>
  <c r="H492" i="3"/>
  <c r="I492" i="3" s="1"/>
  <c r="G492" i="3"/>
  <c r="F492" i="3"/>
  <c r="D492" i="3" a="1"/>
  <c r="D492" i="3"/>
  <c r="C492" i="3" a="1"/>
  <c r="C492" i="3"/>
  <c r="B492" i="3" a="1"/>
  <c r="B492" i="3" s="1"/>
  <c r="M492" i="3" s="1" a="1"/>
  <c r="M492" i="3" s="1"/>
  <c r="N491" i="3" a="1"/>
  <c r="N491" i="3" s="1"/>
  <c r="L491" i="3"/>
  <c r="K491" i="3"/>
  <c r="H491" i="3"/>
  <c r="J491" i="3" s="1"/>
  <c r="G491" i="3"/>
  <c r="F491" i="3"/>
  <c r="D491" i="3" a="1"/>
  <c r="D491" i="3" s="1"/>
  <c r="C491" i="3" a="1"/>
  <c r="C491" i="3"/>
  <c r="B491" i="3" a="1"/>
  <c r="B491" i="3" s="1"/>
  <c r="M491" i="3" s="1" a="1"/>
  <c r="M491" i="3" s="1"/>
  <c r="N490" i="3" a="1"/>
  <c r="N490" i="3"/>
  <c r="M490" i="3" a="1"/>
  <c r="M490" i="3" s="1"/>
  <c r="L490" i="3"/>
  <c r="K490" i="3"/>
  <c r="J490" i="3"/>
  <c r="H490" i="3"/>
  <c r="I490" i="3" s="1"/>
  <c r="G490" i="3"/>
  <c r="F490" i="3"/>
  <c r="D490" i="3" a="1"/>
  <c r="D490" i="3"/>
  <c r="C490" i="3" a="1"/>
  <c r="C490" i="3" s="1"/>
  <c r="B490" i="3" a="1"/>
  <c r="B490" i="3"/>
  <c r="N489" i="3" a="1"/>
  <c r="N489" i="3"/>
  <c r="M489" i="3" a="1"/>
  <c r="M489" i="3" s="1"/>
  <c r="L489" i="3"/>
  <c r="K489" i="3"/>
  <c r="J489" i="3"/>
  <c r="I489" i="3"/>
  <c r="H489" i="3"/>
  <c r="G489" i="3"/>
  <c r="F489" i="3"/>
  <c r="D489" i="3" a="1"/>
  <c r="D489" i="3"/>
  <c r="C489" i="3" a="1"/>
  <c r="C489" i="3" s="1"/>
  <c r="B489" i="3" a="1"/>
  <c r="B489" i="3"/>
  <c r="N488" i="3" a="1"/>
  <c r="N488" i="3" s="1"/>
  <c r="L488" i="3"/>
  <c r="K488" i="3"/>
  <c r="H488" i="3"/>
  <c r="J488" i="3" s="1"/>
  <c r="G488" i="3"/>
  <c r="F488" i="3"/>
  <c r="D488" i="3" a="1"/>
  <c r="D488" i="3" s="1"/>
  <c r="C488" i="3" a="1"/>
  <c r="C488" i="3"/>
  <c r="B488" i="3" a="1"/>
  <c r="B488" i="3" s="1"/>
  <c r="M488" i="3" s="1" a="1"/>
  <c r="M488" i="3" s="1"/>
  <c r="N487" i="3" a="1"/>
  <c r="N487" i="3"/>
  <c r="M487" i="3" a="1"/>
  <c r="M487" i="3" s="1"/>
  <c r="L487" i="3"/>
  <c r="K487" i="3"/>
  <c r="J487" i="3"/>
  <c r="H487" i="3"/>
  <c r="G487" i="3"/>
  <c r="F487" i="3"/>
  <c r="D487" i="3" a="1"/>
  <c r="D487" i="3" s="1"/>
  <c r="C487" i="3" a="1"/>
  <c r="C487" i="3" s="1"/>
  <c r="B487" i="3" a="1"/>
  <c r="B487" i="3"/>
  <c r="N486" i="3" a="1"/>
  <c r="N486" i="3"/>
  <c r="M486" i="3" a="1"/>
  <c r="M486" i="3" s="1"/>
  <c r="L486" i="3"/>
  <c r="K486" i="3"/>
  <c r="H486" i="3"/>
  <c r="J486" i="3" s="1"/>
  <c r="G486" i="3"/>
  <c r="F486" i="3"/>
  <c r="D486" i="3" a="1"/>
  <c r="D486" i="3" s="1"/>
  <c r="C486" i="3" a="1"/>
  <c r="C486" i="3" s="1"/>
  <c r="B486" i="3" a="1"/>
  <c r="B486" i="3"/>
  <c r="N485" i="3" a="1"/>
  <c r="N485" i="3"/>
  <c r="M485" i="3" a="1"/>
  <c r="M485" i="3" s="1"/>
  <c r="L485" i="3"/>
  <c r="K485" i="3"/>
  <c r="J485" i="3"/>
  <c r="H485" i="3"/>
  <c r="I485" i="3" s="1"/>
  <c r="G485" i="3"/>
  <c r="F485" i="3"/>
  <c r="D485" i="3" a="1"/>
  <c r="D485" i="3" s="1"/>
  <c r="C485" i="3" a="1"/>
  <c r="C485" i="3"/>
  <c r="B485" i="3" a="1"/>
  <c r="B485" i="3" s="1"/>
  <c r="N484" i="3" a="1"/>
  <c r="N484" i="3"/>
  <c r="L484" i="3"/>
  <c r="K484" i="3"/>
  <c r="H484" i="3"/>
  <c r="J484" i="3" s="1"/>
  <c r="G484" i="3"/>
  <c r="F484" i="3"/>
  <c r="D484" i="3" a="1"/>
  <c r="D484" i="3" s="1"/>
  <c r="C484" i="3" a="1"/>
  <c r="C484" i="3" s="1"/>
  <c r="B484" i="3" a="1"/>
  <c r="B484" i="3"/>
  <c r="M484" i="3" s="1" a="1"/>
  <c r="M484" i="3" s="1"/>
  <c r="N483" i="3" a="1"/>
  <c r="N483" i="3"/>
  <c r="L483" i="3"/>
  <c r="K483" i="3"/>
  <c r="J483" i="3"/>
  <c r="H483" i="3"/>
  <c r="I483" i="3" s="1"/>
  <c r="G483" i="3"/>
  <c r="F483" i="3"/>
  <c r="D483" i="3" a="1"/>
  <c r="D483" i="3"/>
  <c r="C483" i="3" a="1"/>
  <c r="C483" i="3"/>
  <c r="B483" i="3" a="1"/>
  <c r="B483" i="3" s="1"/>
  <c r="M483" i="3" s="1" a="1"/>
  <c r="M483" i="3" s="1"/>
  <c r="N482" i="3" a="1"/>
  <c r="N482" i="3" s="1"/>
  <c r="L482" i="3"/>
  <c r="K482" i="3"/>
  <c r="I482" i="3"/>
  <c r="H482" i="3"/>
  <c r="J482" i="3" s="1"/>
  <c r="G482" i="3"/>
  <c r="F482" i="3"/>
  <c r="D482" i="3" a="1"/>
  <c r="D482" i="3" s="1"/>
  <c r="C482" i="3" a="1"/>
  <c r="C482" i="3"/>
  <c r="B482" i="3" a="1"/>
  <c r="B482" i="3" s="1"/>
  <c r="M482" i="3" s="1" a="1"/>
  <c r="M482" i="3" s="1"/>
  <c r="N481" i="3" a="1"/>
  <c r="N481" i="3" s="1"/>
  <c r="M481" i="3"/>
  <c r="L481" i="3"/>
  <c r="K481" i="3"/>
  <c r="H481" i="3"/>
  <c r="J481" i="3" s="1"/>
  <c r="G481" i="3"/>
  <c r="F481" i="3"/>
  <c r="D481" i="3" a="1"/>
  <c r="D481" i="3"/>
  <c r="C481" i="3" a="1"/>
  <c r="C481" i="3" s="1"/>
  <c r="B481" i="3" a="1"/>
  <c r="B481" i="3"/>
  <c r="M481" i="3" s="1" a="1"/>
  <c r="N480" i="3" a="1"/>
  <c r="N480" i="3" s="1"/>
  <c r="L480" i="3"/>
  <c r="K480" i="3"/>
  <c r="H480" i="3"/>
  <c r="J480" i="3" s="1"/>
  <c r="G480" i="3"/>
  <c r="F480" i="3"/>
  <c r="D480" i="3" a="1"/>
  <c r="D480" i="3"/>
  <c r="C480" i="3" a="1"/>
  <c r="C480" i="3" s="1"/>
  <c r="B480" i="3" a="1"/>
  <c r="B480" i="3"/>
  <c r="M480" i="3" s="1" a="1"/>
  <c r="M480" i="3" s="1"/>
  <c r="N479" i="3" a="1"/>
  <c r="N479" i="3"/>
  <c r="M479" i="3" a="1"/>
  <c r="M479" i="3" s="1"/>
  <c r="L479" i="3"/>
  <c r="K479" i="3"/>
  <c r="J479" i="3"/>
  <c r="I479" i="3"/>
  <c r="H479" i="3"/>
  <c r="G479" i="3"/>
  <c r="F479" i="3"/>
  <c r="D479" i="3" a="1"/>
  <c r="D479" i="3"/>
  <c r="C479" i="3" a="1"/>
  <c r="C479" i="3" s="1"/>
  <c r="B479" i="3" a="1"/>
  <c r="B479" i="3"/>
  <c r="N478" i="3" a="1"/>
  <c r="N478" i="3" s="1"/>
  <c r="L478" i="3"/>
  <c r="K478" i="3"/>
  <c r="I478" i="3"/>
  <c r="H478" i="3"/>
  <c r="J478" i="3" s="1"/>
  <c r="G478" i="3"/>
  <c r="F478" i="3"/>
  <c r="D478" i="3" a="1"/>
  <c r="D478" i="3" s="1"/>
  <c r="C478" i="3" a="1"/>
  <c r="C478" i="3"/>
  <c r="B478" i="3" a="1"/>
  <c r="B478" i="3" s="1"/>
  <c r="M478" i="3" s="1" a="1"/>
  <c r="M478" i="3" s="1"/>
  <c r="N477" i="3" a="1"/>
  <c r="N477" i="3" s="1"/>
  <c r="M477" i="3" a="1"/>
  <c r="M477" i="3" s="1"/>
  <c r="L477" i="3"/>
  <c r="K477" i="3"/>
  <c r="J477" i="3"/>
  <c r="H477" i="3"/>
  <c r="I477" i="3" s="1"/>
  <c r="G477" i="3"/>
  <c r="F477" i="3"/>
  <c r="D477" i="3" a="1"/>
  <c r="D477" i="3" s="1"/>
  <c r="C477" i="3" a="1"/>
  <c r="C477" i="3" s="1"/>
  <c r="B477" i="3" a="1"/>
  <c r="B477" i="3"/>
  <c r="N476" i="3" a="1"/>
  <c r="N476" i="3" s="1"/>
  <c r="L476" i="3"/>
  <c r="K476" i="3"/>
  <c r="H476" i="3"/>
  <c r="J476" i="3" s="1"/>
  <c r="G476" i="3"/>
  <c r="F476" i="3"/>
  <c r="D476" i="3" a="1"/>
  <c r="D476" i="3" s="1"/>
  <c r="C476" i="3" a="1"/>
  <c r="C476" i="3" s="1"/>
  <c r="B476" i="3" a="1"/>
  <c r="B476" i="3" s="1"/>
  <c r="M476" i="3" s="1" a="1"/>
  <c r="M476" i="3" s="1"/>
  <c r="N475" i="3" a="1"/>
  <c r="N475" i="3"/>
  <c r="M475" i="3" a="1"/>
  <c r="M475" i="3" s="1"/>
  <c r="L475" i="3"/>
  <c r="K475" i="3"/>
  <c r="J475" i="3"/>
  <c r="H475" i="3"/>
  <c r="I475" i="3" s="1"/>
  <c r="G475" i="3"/>
  <c r="F475" i="3"/>
  <c r="D475" i="3" a="1"/>
  <c r="D475" i="3" s="1"/>
  <c r="C475" i="3" a="1"/>
  <c r="C475" i="3"/>
  <c r="B475" i="3" a="1"/>
  <c r="B475" i="3"/>
  <c r="N474" i="3" a="1"/>
  <c r="N474" i="3"/>
  <c r="M474" i="3"/>
  <c r="L474" i="3"/>
  <c r="K474" i="3"/>
  <c r="J474" i="3"/>
  <c r="I474" i="3"/>
  <c r="H474" i="3"/>
  <c r="G474" i="3"/>
  <c r="F474" i="3"/>
  <c r="D474" i="3" a="1"/>
  <c r="D474" i="3"/>
  <c r="C474" i="3" a="1"/>
  <c r="C474" i="3" s="1"/>
  <c r="B474" i="3" a="1"/>
  <c r="B474" i="3" s="1"/>
  <c r="M474" i="3" s="1" a="1"/>
  <c r="N473" i="3" a="1"/>
  <c r="N473" i="3" s="1"/>
  <c r="L473" i="3"/>
  <c r="K473" i="3"/>
  <c r="H473" i="3"/>
  <c r="J473" i="3" s="1"/>
  <c r="G473" i="3"/>
  <c r="F473" i="3"/>
  <c r="D473" i="3" a="1"/>
  <c r="D473" i="3" s="1"/>
  <c r="C473" i="3" a="1"/>
  <c r="C473" i="3" s="1"/>
  <c r="B473" i="3" a="1"/>
  <c r="B473" i="3" s="1"/>
  <c r="M473" i="3" s="1" a="1"/>
  <c r="M473" i="3" s="1"/>
  <c r="N472" i="3" a="1"/>
  <c r="N472" i="3" s="1"/>
  <c r="L472" i="3"/>
  <c r="K472" i="3"/>
  <c r="J472" i="3"/>
  <c r="H472" i="3"/>
  <c r="G472" i="3"/>
  <c r="F472" i="3"/>
  <c r="D472" i="3" a="1"/>
  <c r="D472" i="3" s="1"/>
  <c r="C472" i="3" a="1"/>
  <c r="C472" i="3" s="1"/>
  <c r="B472" i="3" a="1"/>
  <c r="B472" i="3" s="1"/>
  <c r="M472" i="3" s="1" a="1"/>
  <c r="M472" i="3" s="1"/>
  <c r="N471" i="3" a="1"/>
  <c r="N471" i="3" s="1"/>
  <c r="L471" i="3"/>
  <c r="K471" i="3"/>
  <c r="H471" i="3"/>
  <c r="J471" i="3" s="1"/>
  <c r="G471" i="3"/>
  <c r="F471" i="3"/>
  <c r="D471" i="3" a="1"/>
  <c r="D471" i="3" s="1"/>
  <c r="C471" i="3" a="1"/>
  <c r="C471" i="3" s="1"/>
  <c r="B471" i="3" a="1"/>
  <c r="B471" i="3"/>
  <c r="M471" i="3" s="1" a="1"/>
  <c r="M471" i="3" s="1"/>
  <c r="N470" i="3" a="1"/>
  <c r="N470" i="3" s="1"/>
  <c r="M470" i="3" a="1"/>
  <c r="M470" i="3" s="1"/>
  <c r="L470" i="3"/>
  <c r="K470" i="3"/>
  <c r="H470" i="3"/>
  <c r="J470" i="3" s="1"/>
  <c r="G470" i="3"/>
  <c r="F470" i="3"/>
  <c r="D470" i="3" a="1"/>
  <c r="D470" i="3" s="1"/>
  <c r="C470" i="3" a="1"/>
  <c r="C470" i="3"/>
  <c r="B470" i="3" a="1"/>
  <c r="B470" i="3" s="1"/>
  <c r="N469" i="3" a="1"/>
  <c r="N469" i="3"/>
  <c r="M469" i="3" a="1"/>
  <c r="M469" i="3" s="1"/>
  <c r="L469" i="3"/>
  <c r="K469" i="3"/>
  <c r="J469" i="3"/>
  <c r="H469" i="3"/>
  <c r="I469" i="3" s="1"/>
  <c r="G469" i="3"/>
  <c r="F469" i="3"/>
  <c r="D469" i="3" a="1"/>
  <c r="D469" i="3"/>
  <c r="C469" i="3" a="1"/>
  <c r="C469" i="3" s="1"/>
  <c r="B469" i="3" a="1"/>
  <c r="B469" i="3"/>
  <c r="N468" i="3" a="1"/>
  <c r="N468" i="3"/>
  <c r="L468" i="3"/>
  <c r="K468" i="3"/>
  <c r="H468" i="3"/>
  <c r="J468" i="3" s="1"/>
  <c r="G468" i="3"/>
  <c r="F468" i="3"/>
  <c r="D468" i="3" a="1"/>
  <c r="D468" i="3"/>
  <c r="C468" i="3" a="1"/>
  <c r="C468" i="3"/>
  <c r="B468" i="3" a="1"/>
  <c r="B468" i="3" s="1"/>
  <c r="M468" i="3" s="1" a="1"/>
  <c r="M468" i="3" s="1"/>
  <c r="N467" i="3" a="1"/>
  <c r="N467" i="3"/>
  <c r="L467" i="3"/>
  <c r="K467" i="3"/>
  <c r="J467" i="3"/>
  <c r="I467" i="3"/>
  <c r="H467" i="3"/>
  <c r="G467" i="3"/>
  <c r="F467" i="3"/>
  <c r="D467" i="3" a="1"/>
  <c r="D467" i="3"/>
  <c r="C467" i="3" a="1"/>
  <c r="C467" i="3"/>
  <c r="B467" i="3" a="1"/>
  <c r="B467" i="3"/>
  <c r="M467" i="3" s="1" a="1"/>
  <c r="M467" i="3" s="1"/>
  <c r="N466" i="3" a="1"/>
  <c r="N466" i="3" s="1"/>
  <c r="L466" i="3"/>
  <c r="K466" i="3"/>
  <c r="J466" i="3"/>
  <c r="I466" i="3"/>
  <c r="H466" i="3"/>
  <c r="G466" i="3"/>
  <c r="F466" i="3"/>
  <c r="D466" i="3" a="1"/>
  <c r="D466" i="3" s="1"/>
  <c r="C466" i="3" a="1"/>
  <c r="C466" i="3" s="1"/>
  <c r="B466" i="3" a="1"/>
  <c r="B466" i="3"/>
  <c r="M466" i="3" s="1" a="1"/>
  <c r="M466" i="3" s="1"/>
  <c r="N465" i="3" a="1"/>
  <c r="N465" i="3" s="1"/>
  <c r="L465" i="3"/>
  <c r="K465" i="3"/>
  <c r="I465" i="3"/>
  <c r="H465" i="3"/>
  <c r="J465" i="3" s="1"/>
  <c r="G465" i="3"/>
  <c r="F465" i="3"/>
  <c r="D465" i="3" a="1"/>
  <c r="D465" i="3"/>
  <c r="C465" i="3" a="1"/>
  <c r="C465" i="3"/>
  <c r="B465" i="3" a="1"/>
  <c r="B465" i="3"/>
  <c r="M465" i="3" s="1" a="1"/>
  <c r="M465" i="3" s="1"/>
  <c r="N464" i="3" a="1"/>
  <c r="N464" i="3"/>
  <c r="M464" i="3" a="1"/>
  <c r="M464" i="3" s="1"/>
  <c r="L464" i="3"/>
  <c r="K464" i="3"/>
  <c r="H464" i="3"/>
  <c r="J464" i="3" s="1"/>
  <c r="G464" i="3"/>
  <c r="F464" i="3"/>
  <c r="D464" i="3" a="1"/>
  <c r="D464" i="3" s="1"/>
  <c r="C464" i="3" a="1"/>
  <c r="C464" i="3"/>
  <c r="B464" i="3" a="1"/>
  <c r="B464" i="3"/>
  <c r="N463" i="3" a="1"/>
  <c r="N463" i="3"/>
  <c r="M463" i="3"/>
  <c r="L463" i="3"/>
  <c r="K463" i="3"/>
  <c r="J463" i="3"/>
  <c r="I463" i="3"/>
  <c r="H463" i="3"/>
  <c r="G463" i="3"/>
  <c r="F463" i="3"/>
  <c r="D463" i="3" a="1"/>
  <c r="D463" i="3" s="1"/>
  <c r="C463" i="3" a="1"/>
  <c r="C463" i="3" s="1"/>
  <c r="B463" i="3" a="1"/>
  <c r="B463" i="3" s="1"/>
  <c r="M463" i="3" s="1" a="1"/>
  <c r="N462" i="3" a="1"/>
  <c r="N462" i="3" s="1"/>
  <c r="L462" i="3"/>
  <c r="K462" i="3"/>
  <c r="H462" i="3"/>
  <c r="J462" i="3" s="1"/>
  <c r="G462" i="3"/>
  <c r="F462" i="3"/>
  <c r="D462" i="3" a="1"/>
  <c r="D462" i="3" s="1"/>
  <c r="C462" i="3" a="1"/>
  <c r="C462" i="3" s="1"/>
  <c r="B462" i="3" a="1"/>
  <c r="B462" i="3"/>
  <c r="M462" i="3" s="1" a="1"/>
  <c r="M462" i="3" s="1"/>
  <c r="N461" i="3" a="1"/>
  <c r="N461" i="3"/>
  <c r="L461" i="3"/>
  <c r="K461" i="3"/>
  <c r="J461" i="3"/>
  <c r="H461" i="3"/>
  <c r="I461" i="3" s="1"/>
  <c r="G461" i="3"/>
  <c r="F461" i="3"/>
  <c r="D461" i="3" a="1"/>
  <c r="D461" i="3"/>
  <c r="C461" i="3" a="1"/>
  <c r="C461" i="3" s="1"/>
  <c r="B461" i="3" a="1"/>
  <c r="B461" i="3" s="1"/>
  <c r="M461" i="3" s="1" a="1"/>
  <c r="M461" i="3" s="1"/>
  <c r="N460" i="3" a="1"/>
  <c r="N460" i="3" s="1"/>
  <c r="L460" i="3"/>
  <c r="K460" i="3"/>
  <c r="J460" i="3"/>
  <c r="H460" i="3"/>
  <c r="G460" i="3"/>
  <c r="F460" i="3"/>
  <c r="D460" i="3" a="1"/>
  <c r="D460" i="3" s="1"/>
  <c r="C460" i="3" a="1"/>
  <c r="C460" i="3"/>
  <c r="B460" i="3" a="1"/>
  <c r="B460" i="3" s="1"/>
  <c r="M460" i="3" s="1" a="1"/>
  <c r="M460" i="3" s="1"/>
  <c r="N459" i="3" a="1"/>
  <c r="N459" i="3" s="1"/>
  <c r="L459" i="3"/>
  <c r="K459" i="3"/>
  <c r="H459" i="3"/>
  <c r="G459" i="3"/>
  <c r="F459" i="3"/>
  <c r="D459" i="3" a="1"/>
  <c r="D459" i="3"/>
  <c r="C459" i="3" a="1"/>
  <c r="C459" i="3"/>
  <c r="B459" i="3" a="1"/>
  <c r="B459" i="3" s="1"/>
  <c r="M459" i="3" s="1" a="1"/>
  <c r="M459" i="3" s="1"/>
  <c r="N458" i="3" a="1"/>
  <c r="N458" i="3" s="1"/>
  <c r="L458" i="3"/>
  <c r="K458" i="3"/>
  <c r="H458" i="3"/>
  <c r="J458" i="3" s="1"/>
  <c r="G458" i="3"/>
  <c r="F458" i="3"/>
  <c r="D458" i="3" a="1"/>
  <c r="D458" i="3"/>
  <c r="C458" i="3" a="1"/>
  <c r="C458" i="3" s="1"/>
  <c r="B458" i="3" a="1"/>
  <c r="B458" i="3"/>
  <c r="M458" i="3" s="1" a="1"/>
  <c r="M458" i="3" s="1"/>
  <c r="N457" i="3" a="1"/>
  <c r="N457" i="3" s="1"/>
  <c r="M457" i="3" a="1"/>
  <c r="M457" i="3" s="1"/>
  <c r="L457" i="3"/>
  <c r="K457" i="3"/>
  <c r="H457" i="3"/>
  <c r="J457" i="3" s="1"/>
  <c r="G457" i="3"/>
  <c r="F457" i="3"/>
  <c r="D457" i="3" a="1"/>
  <c r="D457" i="3" s="1"/>
  <c r="C457" i="3" a="1"/>
  <c r="C457" i="3"/>
  <c r="B457" i="3" a="1"/>
  <c r="B457" i="3"/>
  <c r="N456" i="3" a="1"/>
  <c r="N456" i="3" s="1"/>
  <c r="M456" i="3" a="1"/>
  <c r="M456" i="3" s="1"/>
  <c r="L456" i="3"/>
  <c r="K456" i="3"/>
  <c r="H456" i="3"/>
  <c r="J456" i="3" s="1"/>
  <c r="G456" i="3"/>
  <c r="F456" i="3"/>
  <c r="D456" i="3" a="1"/>
  <c r="D456" i="3"/>
  <c r="C456" i="3" a="1"/>
  <c r="C456" i="3" s="1"/>
  <c r="B456" i="3" a="1"/>
  <c r="B456" i="3"/>
  <c r="N455" i="3" a="1"/>
  <c r="N455" i="3"/>
  <c r="M455" i="3" a="1"/>
  <c r="M455" i="3" s="1"/>
  <c r="L455" i="3"/>
  <c r="K455" i="3"/>
  <c r="J455" i="3"/>
  <c r="I455" i="3"/>
  <c r="H455" i="3"/>
  <c r="G455" i="3"/>
  <c r="F455" i="3"/>
  <c r="D455" i="3" a="1"/>
  <c r="D455" i="3"/>
  <c r="C455" i="3" a="1"/>
  <c r="C455" i="3" s="1"/>
  <c r="B455" i="3" a="1"/>
  <c r="B455" i="3"/>
  <c r="N454" i="3" a="1"/>
  <c r="N454" i="3" s="1"/>
  <c r="L454" i="3"/>
  <c r="K454" i="3"/>
  <c r="H454" i="3"/>
  <c r="J454" i="3" s="1"/>
  <c r="G454" i="3"/>
  <c r="F454" i="3"/>
  <c r="D454" i="3" a="1"/>
  <c r="D454" i="3"/>
  <c r="C454" i="3" a="1"/>
  <c r="C454" i="3"/>
  <c r="B454" i="3" a="1"/>
  <c r="B454" i="3" s="1"/>
  <c r="M454" i="3" s="1" a="1"/>
  <c r="M454" i="3" s="1"/>
  <c r="N453" i="3" a="1"/>
  <c r="N453" i="3"/>
  <c r="L453" i="3"/>
  <c r="K453" i="3"/>
  <c r="J453" i="3"/>
  <c r="I453" i="3"/>
  <c r="H453" i="3"/>
  <c r="G453" i="3"/>
  <c r="F453" i="3"/>
  <c r="D453" i="3" a="1"/>
  <c r="D453" i="3"/>
  <c r="C453" i="3" a="1"/>
  <c r="C453" i="3"/>
  <c r="B453" i="3" a="1"/>
  <c r="B453" i="3" s="1"/>
  <c r="M453" i="3" s="1" a="1"/>
  <c r="M453" i="3" s="1"/>
  <c r="N452" i="3" a="1"/>
  <c r="N452" i="3"/>
  <c r="M452" i="3" a="1"/>
  <c r="M452" i="3" s="1"/>
  <c r="L452" i="3"/>
  <c r="K452" i="3"/>
  <c r="J452" i="3"/>
  <c r="H452" i="3"/>
  <c r="G452" i="3"/>
  <c r="F452" i="3"/>
  <c r="D452" i="3" a="1"/>
  <c r="D452" i="3" s="1"/>
  <c r="C452" i="3" a="1"/>
  <c r="C452" i="3" s="1"/>
  <c r="B452" i="3" a="1"/>
  <c r="B452" i="3"/>
  <c r="N451" i="3" a="1"/>
  <c r="N451" i="3" s="1"/>
  <c r="L451" i="3"/>
  <c r="K451" i="3"/>
  <c r="I451" i="3"/>
  <c r="H451" i="3"/>
  <c r="J451" i="3" s="1"/>
  <c r="G451" i="3"/>
  <c r="F451" i="3"/>
  <c r="D451" i="3" a="1"/>
  <c r="D451" i="3"/>
  <c r="C451" i="3" a="1"/>
  <c r="C451" i="3"/>
  <c r="B451" i="3" a="1"/>
  <c r="B451" i="3"/>
  <c r="M451" i="3" s="1" a="1"/>
  <c r="M451" i="3" s="1"/>
  <c r="N450" i="3" a="1"/>
  <c r="N450" i="3"/>
  <c r="L450" i="3"/>
  <c r="K450" i="3"/>
  <c r="H450" i="3"/>
  <c r="J450" i="3" s="1"/>
  <c r="G450" i="3"/>
  <c r="F450" i="3"/>
  <c r="D450" i="3" a="1"/>
  <c r="D450" i="3" s="1"/>
  <c r="C450" i="3" a="1"/>
  <c r="C450" i="3" s="1"/>
  <c r="B450" i="3" a="1"/>
  <c r="B450" i="3" s="1"/>
  <c r="M450" i="3" s="1" a="1"/>
  <c r="M450" i="3" s="1"/>
  <c r="N449" i="3" a="1"/>
  <c r="N449" i="3"/>
  <c r="M449" i="3" a="1"/>
  <c r="M449" i="3" s="1"/>
  <c r="L449" i="3"/>
  <c r="K449" i="3"/>
  <c r="J449" i="3"/>
  <c r="H449" i="3"/>
  <c r="I449" i="3" s="1"/>
  <c r="G449" i="3"/>
  <c r="F449" i="3"/>
  <c r="D449" i="3" a="1"/>
  <c r="D449" i="3" s="1"/>
  <c r="C449" i="3" a="1"/>
  <c r="C449" i="3"/>
  <c r="B449" i="3" a="1"/>
  <c r="B449" i="3"/>
  <c r="N448" i="3" a="1"/>
  <c r="N448" i="3"/>
  <c r="M448" i="3"/>
  <c r="L448" i="3"/>
  <c r="K448" i="3"/>
  <c r="H448" i="3"/>
  <c r="J448" i="3" s="1"/>
  <c r="G448" i="3"/>
  <c r="F448" i="3"/>
  <c r="D448" i="3" a="1"/>
  <c r="D448" i="3" s="1"/>
  <c r="C448" i="3" a="1"/>
  <c r="C448" i="3" s="1"/>
  <c r="B448" i="3" a="1"/>
  <c r="B448" i="3"/>
  <c r="M448" i="3" s="1" a="1"/>
  <c r="N447" i="3" a="1"/>
  <c r="N447" i="3"/>
  <c r="L447" i="3"/>
  <c r="K447" i="3"/>
  <c r="J447" i="3"/>
  <c r="H447" i="3"/>
  <c r="I447" i="3" s="1"/>
  <c r="G447" i="3"/>
  <c r="F447" i="3"/>
  <c r="D447" i="3" a="1"/>
  <c r="D447" i="3"/>
  <c r="C447" i="3" a="1"/>
  <c r="C447" i="3" s="1"/>
  <c r="B447" i="3" a="1"/>
  <c r="B447" i="3" s="1"/>
  <c r="M447" i="3" s="1" a="1"/>
  <c r="M447" i="3" s="1"/>
  <c r="N446" i="3" a="1"/>
  <c r="N446" i="3" s="1"/>
  <c r="L446" i="3"/>
  <c r="K446" i="3"/>
  <c r="J446" i="3"/>
  <c r="I446" i="3"/>
  <c r="H446" i="3"/>
  <c r="G446" i="3"/>
  <c r="F446" i="3"/>
  <c r="D446" i="3" a="1"/>
  <c r="D446" i="3"/>
  <c r="C446" i="3" a="1"/>
  <c r="C446" i="3" s="1"/>
  <c r="B446" i="3" a="1"/>
  <c r="B446" i="3" s="1"/>
  <c r="M446" i="3" s="1" a="1"/>
  <c r="M446" i="3" s="1"/>
  <c r="N445" i="3" a="1"/>
  <c r="N445" i="3"/>
  <c r="L445" i="3"/>
  <c r="K445" i="3"/>
  <c r="I445" i="3"/>
  <c r="H445" i="3"/>
  <c r="J445" i="3" s="1"/>
  <c r="G445" i="3"/>
  <c r="F445" i="3"/>
  <c r="D445" i="3" a="1"/>
  <c r="D445" i="3" s="1"/>
  <c r="C445" i="3" a="1"/>
  <c r="C445" i="3"/>
  <c r="B445" i="3" a="1"/>
  <c r="B445" i="3" s="1"/>
  <c r="M445" i="3" s="1" a="1"/>
  <c r="M445" i="3" s="1"/>
  <c r="N444" i="3" a="1"/>
  <c r="N444" i="3" s="1"/>
  <c r="L444" i="3"/>
  <c r="K444" i="3"/>
  <c r="H444" i="3"/>
  <c r="G444" i="3"/>
  <c r="F444" i="3"/>
  <c r="D444" i="3" a="1"/>
  <c r="D444" i="3"/>
  <c r="C444" i="3" a="1"/>
  <c r="C444" i="3"/>
  <c r="B444" i="3" a="1"/>
  <c r="B444" i="3" s="1"/>
  <c r="M444" i="3" s="1" a="1"/>
  <c r="M444" i="3" s="1"/>
  <c r="N443" i="3" a="1"/>
  <c r="N443" i="3" s="1"/>
  <c r="M443" i="3"/>
  <c r="L443" i="3"/>
  <c r="K443" i="3"/>
  <c r="H443" i="3"/>
  <c r="J443" i="3" s="1"/>
  <c r="G443" i="3"/>
  <c r="F443" i="3"/>
  <c r="D443" i="3" a="1"/>
  <c r="D443" i="3"/>
  <c r="C443" i="3" a="1"/>
  <c r="C443" i="3" s="1"/>
  <c r="B443" i="3" a="1"/>
  <c r="B443" i="3"/>
  <c r="M443" i="3" s="1" a="1"/>
  <c r="N442" i="3" a="1"/>
  <c r="N442" i="3" s="1"/>
  <c r="M442" i="3" a="1"/>
  <c r="M442" i="3" s="1"/>
  <c r="L442" i="3"/>
  <c r="K442" i="3"/>
  <c r="H442" i="3"/>
  <c r="J442" i="3" s="1"/>
  <c r="G442" i="3"/>
  <c r="F442" i="3"/>
  <c r="D442" i="3" a="1"/>
  <c r="D442" i="3" s="1"/>
  <c r="C442" i="3" a="1"/>
  <c r="C442" i="3"/>
  <c r="B442" i="3" a="1"/>
  <c r="B442" i="3"/>
  <c r="N441" i="3" a="1"/>
  <c r="N441" i="3" s="1"/>
  <c r="M441" i="3" a="1"/>
  <c r="M441" i="3" s="1"/>
  <c r="L441" i="3"/>
  <c r="K441" i="3"/>
  <c r="H441" i="3"/>
  <c r="J441" i="3" s="1"/>
  <c r="G441" i="3"/>
  <c r="F441" i="3"/>
  <c r="D441" i="3" a="1"/>
  <c r="D441" i="3"/>
  <c r="C441" i="3" a="1"/>
  <c r="C441" i="3" s="1"/>
  <c r="B441" i="3" a="1"/>
  <c r="B441" i="3"/>
  <c r="N440" i="3" a="1"/>
  <c r="N440" i="3"/>
  <c r="M440" i="3" a="1"/>
  <c r="M440" i="3" s="1"/>
  <c r="L440" i="3"/>
  <c r="K440" i="3"/>
  <c r="J440" i="3"/>
  <c r="I440" i="3"/>
  <c r="H440" i="3"/>
  <c r="G440" i="3"/>
  <c r="F440" i="3"/>
  <c r="D440" i="3" a="1"/>
  <c r="D440" i="3"/>
  <c r="C440" i="3" a="1"/>
  <c r="C440" i="3" s="1"/>
  <c r="B440" i="3" a="1"/>
  <c r="B440" i="3"/>
  <c r="N439" i="3" a="1"/>
  <c r="N439" i="3" s="1"/>
  <c r="L439" i="3"/>
  <c r="K439" i="3"/>
  <c r="H439" i="3"/>
  <c r="G439" i="3"/>
  <c r="F439" i="3"/>
  <c r="D439" i="3" a="1"/>
  <c r="D439" i="3"/>
  <c r="C439" i="3" a="1"/>
  <c r="C439" i="3"/>
  <c r="B439" i="3" a="1"/>
  <c r="B439" i="3" s="1"/>
  <c r="M439" i="3" s="1" a="1"/>
  <c r="M439" i="3" s="1"/>
  <c r="N438" i="3" a="1"/>
  <c r="N438" i="3"/>
  <c r="L438" i="3"/>
  <c r="K438" i="3"/>
  <c r="J438" i="3"/>
  <c r="I438" i="3"/>
  <c r="H438" i="3"/>
  <c r="G438" i="3"/>
  <c r="F438" i="3"/>
  <c r="D438" i="3" a="1"/>
  <c r="D438" i="3"/>
  <c r="C438" i="3" a="1"/>
  <c r="C438" i="3"/>
  <c r="B438" i="3" a="1"/>
  <c r="B438" i="3" s="1"/>
  <c r="M438" i="3" s="1" a="1"/>
  <c r="M438" i="3" s="1"/>
  <c r="N437" i="3" a="1"/>
  <c r="N437" i="3"/>
  <c r="M437" i="3" a="1"/>
  <c r="M437" i="3" s="1"/>
  <c r="L437" i="3"/>
  <c r="K437" i="3"/>
  <c r="J437" i="3"/>
  <c r="H437" i="3"/>
  <c r="G437" i="3"/>
  <c r="F437" i="3"/>
  <c r="D437" i="3" a="1"/>
  <c r="D437" i="3" s="1"/>
  <c r="C437" i="3" a="1"/>
  <c r="C437" i="3" s="1"/>
  <c r="B437" i="3" a="1"/>
  <c r="B437" i="3"/>
  <c r="N436" i="3" a="1"/>
  <c r="N436" i="3" s="1"/>
  <c r="L436" i="3"/>
  <c r="K436" i="3"/>
  <c r="I436" i="3"/>
  <c r="H436" i="3"/>
  <c r="J436" i="3" s="1"/>
  <c r="G436" i="3"/>
  <c r="F436" i="3"/>
  <c r="D436" i="3" a="1"/>
  <c r="D436" i="3"/>
  <c r="C436" i="3" a="1"/>
  <c r="C436" i="3"/>
  <c r="B436" i="3" a="1"/>
  <c r="B436" i="3"/>
  <c r="M436" i="3" s="1" a="1"/>
  <c r="M436" i="3" s="1"/>
  <c r="N435" i="3" a="1"/>
  <c r="N435" i="3"/>
  <c r="M435" i="3" a="1"/>
  <c r="M435" i="3" s="1"/>
  <c r="L435" i="3"/>
  <c r="K435" i="3"/>
  <c r="H435" i="3"/>
  <c r="J435" i="3" s="1"/>
  <c r="G435" i="3"/>
  <c r="F435" i="3"/>
  <c r="D435" i="3" a="1"/>
  <c r="D435" i="3" s="1"/>
  <c r="C435" i="3" a="1"/>
  <c r="C435" i="3" s="1"/>
  <c r="B435" i="3" a="1"/>
  <c r="B435" i="3"/>
  <c r="N434" i="3" a="1"/>
  <c r="N434" i="3"/>
  <c r="M434" i="3" a="1"/>
  <c r="M434" i="3" s="1"/>
  <c r="L434" i="3"/>
  <c r="K434" i="3"/>
  <c r="J434" i="3"/>
  <c r="H434" i="3"/>
  <c r="I434" i="3" s="1"/>
  <c r="G434" i="3"/>
  <c r="F434" i="3"/>
  <c r="D434" i="3" a="1"/>
  <c r="D434" i="3" s="1"/>
  <c r="C434" i="3" a="1"/>
  <c r="C434" i="3"/>
  <c r="B434" i="3" a="1"/>
  <c r="B434" i="3"/>
  <c r="N433" i="3" a="1"/>
  <c r="N433" i="3"/>
  <c r="L433" i="3"/>
  <c r="K433" i="3"/>
  <c r="H433" i="3"/>
  <c r="J433" i="3" s="1"/>
  <c r="G433" i="3"/>
  <c r="F433" i="3"/>
  <c r="D433" i="3" a="1"/>
  <c r="D433" i="3" s="1"/>
  <c r="C433" i="3" a="1"/>
  <c r="C433" i="3" s="1"/>
  <c r="B433" i="3" a="1"/>
  <c r="B433" i="3"/>
  <c r="M433" i="3" s="1" a="1"/>
  <c r="M433" i="3" s="1"/>
  <c r="N432" i="3" a="1"/>
  <c r="N432" i="3"/>
  <c r="L432" i="3"/>
  <c r="K432" i="3"/>
  <c r="J432" i="3"/>
  <c r="H432" i="3"/>
  <c r="I432" i="3" s="1"/>
  <c r="G432" i="3"/>
  <c r="F432" i="3"/>
  <c r="D432" i="3" a="1"/>
  <c r="D432" i="3"/>
  <c r="C432" i="3" a="1"/>
  <c r="C432" i="3"/>
  <c r="B432" i="3" a="1"/>
  <c r="B432" i="3" s="1"/>
  <c r="M432" i="3" s="1" a="1"/>
  <c r="M432" i="3" s="1"/>
  <c r="N431" i="3" a="1"/>
  <c r="N431" i="3" s="1"/>
  <c r="L431" i="3"/>
  <c r="K431" i="3"/>
  <c r="J431" i="3"/>
  <c r="I431" i="3"/>
  <c r="H431" i="3"/>
  <c r="G431" i="3"/>
  <c r="F431" i="3"/>
  <c r="D431" i="3" a="1"/>
  <c r="D431" i="3"/>
  <c r="C431" i="3" a="1"/>
  <c r="C431" i="3" s="1"/>
  <c r="B431" i="3" a="1"/>
  <c r="B431" i="3" s="1"/>
  <c r="M431" i="3" s="1" a="1"/>
  <c r="M431" i="3" s="1"/>
  <c r="N430" i="3" a="1"/>
  <c r="N430" i="3"/>
  <c r="L430" i="3"/>
  <c r="K430" i="3"/>
  <c r="I430" i="3"/>
  <c r="H430" i="3"/>
  <c r="J430" i="3" s="1"/>
  <c r="G430" i="3"/>
  <c r="F430" i="3"/>
  <c r="D430" i="3" a="1"/>
  <c r="D430" i="3" s="1"/>
  <c r="C430" i="3" a="1"/>
  <c r="C430" i="3"/>
  <c r="B430" i="3" a="1"/>
  <c r="B430" i="3"/>
  <c r="M430" i="3" s="1" a="1"/>
  <c r="M430" i="3" s="1"/>
  <c r="N429" i="3" a="1"/>
  <c r="N429" i="3" s="1"/>
  <c r="M429" i="3" a="1"/>
  <c r="M429" i="3" s="1"/>
  <c r="L429" i="3"/>
  <c r="K429" i="3"/>
  <c r="H429" i="3"/>
  <c r="J429" i="3" s="1"/>
  <c r="G429" i="3"/>
  <c r="F429" i="3"/>
  <c r="D429" i="3" a="1"/>
  <c r="D429" i="3" s="1"/>
  <c r="C429" i="3" a="1"/>
  <c r="C429" i="3" s="1"/>
  <c r="B429" i="3" a="1"/>
  <c r="B429" i="3"/>
  <c r="N428" i="3" a="1"/>
  <c r="N428" i="3"/>
  <c r="M428" i="3" a="1"/>
  <c r="M428" i="3" s="1"/>
  <c r="L428" i="3"/>
  <c r="K428" i="3"/>
  <c r="H428" i="3"/>
  <c r="J428" i="3" s="1"/>
  <c r="G428" i="3"/>
  <c r="F428" i="3"/>
  <c r="D428" i="3" a="1"/>
  <c r="D428" i="3" s="1"/>
  <c r="C428" i="3" a="1"/>
  <c r="C428" i="3"/>
  <c r="B428" i="3" a="1"/>
  <c r="B428" i="3"/>
  <c r="N427" i="3" a="1"/>
  <c r="N427" i="3" s="1"/>
  <c r="L427" i="3"/>
  <c r="K427" i="3"/>
  <c r="H427" i="3"/>
  <c r="J427" i="3" s="1"/>
  <c r="G427" i="3"/>
  <c r="F427" i="3"/>
  <c r="D427" i="3" a="1"/>
  <c r="D427" i="3" s="1"/>
  <c r="C427" i="3" a="1"/>
  <c r="C427" i="3" s="1"/>
  <c r="B427" i="3" a="1"/>
  <c r="B427" i="3" s="1"/>
  <c r="M427" i="3" s="1" a="1"/>
  <c r="M427" i="3" s="1"/>
  <c r="N426" i="3" a="1"/>
  <c r="N426" i="3"/>
  <c r="M426" i="3" a="1"/>
  <c r="M426" i="3" s="1"/>
  <c r="L426" i="3"/>
  <c r="K426" i="3"/>
  <c r="J426" i="3"/>
  <c r="H426" i="3"/>
  <c r="I426" i="3" s="1"/>
  <c r="G426" i="3"/>
  <c r="F426" i="3"/>
  <c r="D426" i="3" a="1"/>
  <c r="D426" i="3"/>
  <c r="C426" i="3" a="1"/>
  <c r="C426" i="3" s="1"/>
  <c r="B426" i="3" a="1"/>
  <c r="B426" i="3"/>
  <c r="N425" i="3" a="1"/>
  <c r="N425" i="3"/>
  <c r="L425" i="3"/>
  <c r="K425" i="3"/>
  <c r="H425" i="3"/>
  <c r="J425" i="3" s="1"/>
  <c r="G425" i="3"/>
  <c r="F425" i="3"/>
  <c r="D425" i="3" a="1"/>
  <c r="D425" i="3"/>
  <c r="C425" i="3" a="1"/>
  <c r="C425" i="3"/>
  <c r="B425" i="3" a="1"/>
  <c r="B425" i="3" s="1"/>
  <c r="M425" i="3" s="1" a="1"/>
  <c r="M425" i="3" s="1"/>
  <c r="N424" i="3" a="1"/>
  <c r="N424" i="3"/>
  <c r="L424" i="3"/>
  <c r="K424" i="3"/>
  <c r="J424" i="3"/>
  <c r="I424" i="3"/>
  <c r="H424" i="3"/>
  <c r="G424" i="3"/>
  <c r="F424" i="3"/>
  <c r="D424" i="3" a="1"/>
  <c r="D424" i="3"/>
  <c r="C424" i="3" a="1"/>
  <c r="C424" i="3"/>
  <c r="B424" i="3" a="1"/>
  <c r="B424" i="3" s="1"/>
  <c r="M424" i="3" s="1" a="1"/>
  <c r="M424" i="3" s="1"/>
  <c r="N423" i="3" a="1"/>
  <c r="N423" i="3"/>
  <c r="L423" i="3"/>
  <c r="K423" i="3"/>
  <c r="J423" i="3"/>
  <c r="I423" i="3"/>
  <c r="H423" i="3"/>
  <c r="G423" i="3"/>
  <c r="F423" i="3"/>
  <c r="D423" i="3" a="1"/>
  <c r="D423" i="3"/>
  <c r="C423" i="3" a="1"/>
  <c r="C423" i="3"/>
  <c r="B423" i="3" a="1"/>
  <c r="B423" i="3"/>
  <c r="M423" i="3" s="1" a="1"/>
  <c r="M423" i="3" s="1"/>
  <c r="N422" i="3" a="1"/>
  <c r="N422" i="3" s="1"/>
  <c r="L422" i="3"/>
  <c r="K422" i="3"/>
  <c r="J422" i="3"/>
  <c r="I422" i="3"/>
  <c r="H422" i="3"/>
  <c r="G422" i="3"/>
  <c r="F422" i="3"/>
  <c r="D422" i="3" a="1"/>
  <c r="D422" i="3" s="1"/>
  <c r="C422" i="3" a="1"/>
  <c r="C422" i="3"/>
  <c r="B422" i="3" a="1"/>
  <c r="B422" i="3"/>
  <c r="M422" i="3" s="1" a="1"/>
  <c r="M422" i="3" s="1"/>
  <c r="N421" i="3" a="1"/>
  <c r="N421" i="3" s="1"/>
  <c r="L421" i="3"/>
  <c r="K421" i="3"/>
  <c r="H421" i="3"/>
  <c r="J421" i="3" s="1"/>
  <c r="G421" i="3"/>
  <c r="F421" i="3"/>
  <c r="D421" i="3" a="1"/>
  <c r="D421" i="3" s="1"/>
  <c r="C421" i="3" a="1"/>
  <c r="C421" i="3" s="1"/>
  <c r="B421" i="3" a="1"/>
  <c r="B421" i="3"/>
  <c r="M421" i="3" s="1" a="1"/>
  <c r="M421" i="3" s="1"/>
  <c r="N420" i="3" a="1"/>
  <c r="N420" i="3"/>
  <c r="M420" i="3" a="1"/>
  <c r="M420" i="3" s="1"/>
  <c r="L420" i="3"/>
  <c r="K420" i="3"/>
  <c r="J420" i="3"/>
  <c r="H420" i="3"/>
  <c r="I420" i="3" s="1"/>
  <c r="G420" i="3"/>
  <c r="F420" i="3"/>
  <c r="D420" i="3" a="1"/>
  <c r="D420" i="3" s="1"/>
  <c r="C420" i="3" a="1"/>
  <c r="C420" i="3"/>
  <c r="B420" i="3" a="1"/>
  <c r="B420" i="3"/>
  <c r="N419" i="3" a="1"/>
  <c r="N419" i="3"/>
  <c r="L419" i="3"/>
  <c r="K419" i="3"/>
  <c r="I419" i="3"/>
  <c r="H419" i="3"/>
  <c r="J419" i="3" s="1"/>
  <c r="G419" i="3"/>
  <c r="F419" i="3"/>
  <c r="D419" i="3" a="1"/>
  <c r="D419" i="3" s="1"/>
  <c r="C419" i="3" a="1"/>
  <c r="C419" i="3" s="1"/>
  <c r="B419" i="3" a="1"/>
  <c r="B419" i="3" s="1"/>
  <c r="M419" i="3" s="1" a="1"/>
  <c r="M419" i="3" s="1"/>
  <c r="N418" i="3" a="1"/>
  <c r="N418" i="3"/>
  <c r="L418" i="3"/>
  <c r="K418" i="3"/>
  <c r="H418" i="3"/>
  <c r="J418" i="3" s="1"/>
  <c r="G418" i="3"/>
  <c r="F418" i="3"/>
  <c r="D418" i="3" a="1"/>
  <c r="D418" i="3" s="1"/>
  <c r="C418" i="3" a="1"/>
  <c r="C418" i="3" s="1"/>
  <c r="B418" i="3" a="1"/>
  <c r="B418" i="3"/>
  <c r="M418" i="3" s="1" a="1"/>
  <c r="M418" i="3" s="1"/>
  <c r="N417" i="3" a="1"/>
  <c r="N417" i="3"/>
  <c r="L417" i="3"/>
  <c r="K417" i="3"/>
  <c r="J417" i="3"/>
  <c r="H417" i="3"/>
  <c r="G417" i="3"/>
  <c r="F417" i="3"/>
  <c r="D417" i="3" a="1"/>
  <c r="D417" i="3"/>
  <c r="C417" i="3" a="1"/>
  <c r="C417" i="3" s="1"/>
  <c r="B417" i="3" a="1"/>
  <c r="B417" i="3" s="1"/>
  <c r="M417" i="3" s="1" a="1"/>
  <c r="M417" i="3" s="1"/>
  <c r="N416" i="3" a="1"/>
  <c r="N416" i="3"/>
  <c r="L416" i="3"/>
  <c r="K416" i="3"/>
  <c r="I416" i="3"/>
  <c r="H416" i="3"/>
  <c r="J416" i="3" s="1"/>
  <c r="G416" i="3"/>
  <c r="F416" i="3"/>
  <c r="D416" i="3" a="1"/>
  <c r="D416" i="3" s="1"/>
  <c r="C416" i="3" a="1"/>
  <c r="C416" i="3"/>
  <c r="B416" i="3" a="1"/>
  <c r="B416" i="3"/>
  <c r="M416" i="3" s="1" a="1"/>
  <c r="M416" i="3" s="1"/>
  <c r="N415" i="3" a="1"/>
  <c r="N415" i="3" s="1"/>
  <c r="L415" i="3"/>
  <c r="K415" i="3"/>
  <c r="H415" i="3"/>
  <c r="G415" i="3"/>
  <c r="F415" i="3"/>
  <c r="D415" i="3" a="1"/>
  <c r="D415" i="3"/>
  <c r="C415" i="3" a="1"/>
  <c r="C415" i="3"/>
  <c r="B415" i="3" a="1"/>
  <c r="B415" i="3" s="1"/>
  <c r="M415" i="3" s="1" a="1"/>
  <c r="M415" i="3" s="1"/>
  <c r="N414" i="3" a="1"/>
  <c r="N414" i="3" s="1"/>
  <c r="L414" i="3"/>
  <c r="K414" i="3"/>
  <c r="H414" i="3"/>
  <c r="J414" i="3" s="1"/>
  <c r="G414" i="3"/>
  <c r="F414" i="3"/>
  <c r="D414" i="3" a="1"/>
  <c r="D414" i="3"/>
  <c r="C414" i="3" a="1"/>
  <c r="C414" i="3" s="1"/>
  <c r="B414" i="3" a="1"/>
  <c r="B414" i="3"/>
  <c r="M414" i="3" s="1" a="1"/>
  <c r="M414" i="3" s="1"/>
  <c r="N413" i="3" a="1"/>
  <c r="N413" i="3"/>
  <c r="L413" i="3"/>
  <c r="K413" i="3"/>
  <c r="H413" i="3"/>
  <c r="J413" i="3" s="1"/>
  <c r="G413" i="3"/>
  <c r="F413" i="3"/>
  <c r="D413" i="3" a="1"/>
  <c r="D413" i="3" s="1"/>
  <c r="C413" i="3" a="1"/>
  <c r="C413" i="3" s="1"/>
  <c r="B413" i="3" a="1"/>
  <c r="B413" i="3" s="1"/>
  <c r="M413" i="3" s="1" a="1"/>
  <c r="M413" i="3" s="1"/>
  <c r="N412" i="3" a="1"/>
  <c r="N412" i="3"/>
  <c r="M412" i="3" a="1"/>
  <c r="M412" i="3"/>
  <c r="L412" i="3"/>
  <c r="K412" i="3"/>
  <c r="J412" i="3"/>
  <c r="H412" i="3"/>
  <c r="I412" i="3" s="1"/>
  <c r="G412" i="3"/>
  <c r="F412" i="3"/>
  <c r="D412" i="3" a="1"/>
  <c r="D412" i="3"/>
  <c r="C412" i="3" a="1"/>
  <c r="C412" i="3" s="1"/>
  <c r="B412" i="3" a="1"/>
  <c r="B412" i="3"/>
  <c r="N411" i="3" a="1"/>
  <c r="N411" i="3"/>
  <c r="M411" i="3" a="1"/>
  <c r="M411" i="3" s="1"/>
  <c r="L411" i="3"/>
  <c r="K411" i="3"/>
  <c r="J411" i="3"/>
  <c r="I411" i="3"/>
  <c r="H411" i="3"/>
  <c r="G411" i="3"/>
  <c r="F411" i="3"/>
  <c r="D411" i="3" a="1"/>
  <c r="D411" i="3"/>
  <c r="C411" i="3" a="1"/>
  <c r="C411" i="3" s="1"/>
  <c r="B411" i="3" a="1"/>
  <c r="B411" i="3" s="1"/>
  <c r="N410" i="3" a="1"/>
  <c r="N410" i="3" s="1"/>
  <c r="M410" i="3"/>
  <c r="L410" i="3"/>
  <c r="K410" i="3"/>
  <c r="H410" i="3"/>
  <c r="G410" i="3"/>
  <c r="F410" i="3"/>
  <c r="D410" i="3" a="1"/>
  <c r="D410" i="3"/>
  <c r="C410" i="3" a="1"/>
  <c r="C410" i="3"/>
  <c r="B410" i="3" a="1"/>
  <c r="B410" i="3" s="1"/>
  <c r="M410" i="3" s="1" a="1"/>
  <c r="N409" i="3" a="1"/>
  <c r="N409" i="3"/>
  <c r="L409" i="3"/>
  <c r="K409" i="3"/>
  <c r="J409" i="3"/>
  <c r="H409" i="3"/>
  <c r="G409" i="3"/>
  <c r="F409" i="3"/>
  <c r="D409" i="3" a="1"/>
  <c r="D409" i="3" s="1"/>
  <c r="C409" i="3" a="1"/>
  <c r="C409" i="3"/>
  <c r="B409" i="3" a="1"/>
  <c r="B409" i="3"/>
  <c r="M409" i="3" s="1" a="1"/>
  <c r="M409" i="3" s="1"/>
  <c r="N408" i="3" a="1"/>
  <c r="N408" i="3" s="1"/>
  <c r="L408" i="3"/>
  <c r="K408" i="3"/>
  <c r="J408" i="3"/>
  <c r="H408" i="3"/>
  <c r="I408" i="3" s="1"/>
  <c r="G408" i="3"/>
  <c r="F408" i="3"/>
  <c r="D408" i="3" a="1"/>
  <c r="D408" i="3" s="1"/>
  <c r="C408" i="3" a="1"/>
  <c r="C408" i="3"/>
  <c r="B408" i="3" a="1"/>
  <c r="B408" i="3"/>
  <c r="M408" i="3" s="1" a="1"/>
  <c r="M408" i="3" s="1"/>
  <c r="N407" i="3" a="1"/>
  <c r="N407" i="3" s="1"/>
  <c r="L407" i="3"/>
  <c r="K407" i="3"/>
  <c r="I407" i="3"/>
  <c r="H407" i="3"/>
  <c r="J407" i="3" s="1"/>
  <c r="G407" i="3"/>
  <c r="F407" i="3"/>
  <c r="D407" i="3" a="1"/>
  <c r="D407" i="3"/>
  <c r="C407" i="3" a="1"/>
  <c r="C407" i="3" s="1"/>
  <c r="B407" i="3" a="1"/>
  <c r="B407" i="3"/>
  <c r="M407" i="3" s="1" a="1"/>
  <c r="M407" i="3" s="1"/>
  <c r="N406" i="3" a="1"/>
  <c r="N406" i="3"/>
  <c r="M406" i="3" a="1"/>
  <c r="M406" i="3" s="1"/>
  <c r="L406" i="3"/>
  <c r="K406" i="3"/>
  <c r="H406" i="3"/>
  <c r="G406" i="3"/>
  <c r="F406" i="3"/>
  <c r="D406" i="3" a="1"/>
  <c r="D406" i="3" s="1"/>
  <c r="C406" i="3" a="1"/>
  <c r="C406" i="3" s="1"/>
  <c r="B406" i="3" a="1"/>
  <c r="B406" i="3"/>
  <c r="N405" i="3" a="1"/>
  <c r="N405" i="3"/>
  <c r="L405" i="3"/>
  <c r="K405" i="3"/>
  <c r="J405" i="3"/>
  <c r="H405" i="3"/>
  <c r="I405" i="3" s="1"/>
  <c r="G405" i="3"/>
  <c r="F405" i="3"/>
  <c r="D405" i="3" a="1"/>
  <c r="D405" i="3" s="1"/>
  <c r="C405" i="3" a="1"/>
  <c r="C405" i="3"/>
  <c r="B405" i="3" a="1"/>
  <c r="B405" i="3" s="1"/>
  <c r="M405" i="3" s="1" a="1"/>
  <c r="M405" i="3" s="1"/>
  <c r="N404" i="3" a="1"/>
  <c r="N404" i="3"/>
  <c r="L404" i="3"/>
  <c r="K404" i="3"/>
  <c r="I404" i="3"/>
  <c r="H404" i="3"/>
  <c r="J404" i="3" s="1"/>
  <c r="G404" i="3"/>
  <c r="F404" i="3"/>
  <c r="D404" i="3" a="1"/>
  <c r="D404" i="3"/>
  <c r="C404" i="3" a="1"/>
  <c r="C404" i="3" s="1"/>
  <c r="B404" i="3" a="1"/>
  <c r="B404" i="3" s="1"/>
  <c r="M404" i="3" s="1" a="1"/>
  <c r="M404" i="3" s="1"/>
  <c r="N403" i="3" a="1"/>
  <c r="N403" i="3"/>
  <c r="L403" i="3"/>
  <c r="K403" i="3"/>
  <c r="H403" i="3"/>
  <c r="J403" i="3" s="1"/>
  <c r="G403" i="3"/>
  <c r="F403" i="3"/>
  <c r="D403" i="3" a="1"/>
  <c r="D403" i="3" s="1"/>
  <c r="C403" i="3" a="1"/>
  <c r="C403" i="3" s="1"/>
  <c r="B403" i="3" a="1"/>
  <c r="B403" i="3"/>
  <c r="M403" i="3" s="1" a="1"/>
  <c r="M403" i="3" s="1"/>
  <c r="N402" i="3" a="1"/>
  <c r="N402" i="3" s="1"/>
  <c r="L402" i="3"/>
  <c r="K402" i="3"/>
  <c r="J402" i="3"/>
  <c r="H402" i="3"/>
  <c r="G402" i="3"/>
  <c r="F402" i="3"/>
  <c r="D402" i="3" a="1"/>
  <c r="D402" i="3"/>
  <c r="C402" i="3" a="1"/>
  <c r="C402" i="3" s="1"/>
  <c r="B402" i="3" a="1"/>
  <c r="B402" i="3" s="1"/>
  <c r="M402" i="3" s="1" a="1"/>
  <c r="M402" i="3" s="1"/>
  <c r="N401" i="3" a="1"/>
  <c r="N401" i="3"/>
  <c r="L401" i="3"/>
  <c r="K401" i="3"/>
  <c r="H401" i="3"/>
  <c r="J401" i="3" s="1"/>
  <c r="G401" i="3"/>
  <c r="F401" i="3"/>
  <c r="D401" i="3" a="1"/>
  <c r="D401" i="3" s="1"/>
  <c r="C401" i="3" a="1"/>
  <c r="C401" i="3"/>
  <c r="B401" i="3" a="1"/>
  <c r="B401" i="3"/>
  <c r="M401" i="3" s="1" a="1"/>
  <c r="M401" i="3" s="1"/>
  <c r="N400" i="3" a="1"/>
  <c r="N400" i="3" s="1"/>
  <c r="L400" i="3"/>
  <c r="K400" i="3"/>
  <c r="H400" i="3"/>
  <c r="G400" i="3"/>
  <c r="F400" i="3"/>
  <c r="D400" i="3" a="1"/>
  <c r="D400" i="3"/>
  <c r="C400" i="3" a="1"/>
  <c r="C400" i="3"/>
  <c r="B400" i="3" a="1"/>
  <c r="B400" i="3" s="1"/>
  <c r="M400" i="3" s="1" a="1"/>
  <c r="M400" i="3" s="1"/>
  <c r="N399" i="3" a="1"/>
  <c r="N399" i="3" s="1"/>
  <c r="L399" i="3"/>
  <c r="K399" i="3"/>
  <c r="H399" i="3"/>
  <c r="J399" i="3" s="1"/>
  <c r="G399" i="3"/>
  <c r="F399" i="3"/>
  <c r="D399" i="3" a="1"/>
  <c r="D399" i="3"/>
  <c r="C399" i="3" a="1"/>
  <c r="C399" i="3" s="1"/>
  <c r="B399" i="3" a="1"/>
  <c r="B399" i="3"/>
  <c r="M399" i="3" s="1" a="1"/>
  <c r="M399" i="3" s="1"/>
  <c r="N398" i="3" a="1"/>
  <c r="N398" i="3"/>
  <c r="L398" i="3"/>
  <c r="K398" i="3"/>
  <c r="H398" i="3"/>
  <c r="J398" i="3" s="1"/>
  <c r="G398" i="3"/>
  <c r="F398" i="3"/>
  <c r="D398" i="3" a="1"/>
  <c r="D398" i="3" s="1"/>
  <c r="C398" i="3" a="1"/>
  <c r="C398" i="3" s="1"/>
  <c r="B398" i="3" a="1"/>
  <c r="B398" i="3" s="1"/>
  <c r="M398" i="3" s="1" a="1"/>
  <c r="M398" i="3" s="1"/>
  <c r="N397" i="3" a="1"/>
  <c r="N397" i="3"/>
  <c r="M397" i="3" a="1"/>
  <c r="M397" i="3"/>
  <c r="L397" i="3"/>
  <c r="K397" i="3"/>
  <c r="J397" i="3"/>
  <c r="I397" i="3"/>
  <c r="H397" i="3"/>
  <c r="G397" i="3"/>
  <c r="F397" i="3"/>
  <c r="D397" i="3" a="1"/>
  <c r="D397" i="3"/>
  <c r="C397" i="3" a="1"/>
  <c r="C397" i="3" s="1"/>
  <c r="B397" i="3" a="1"/>
  <c r="B397" i="3"/>
  <c r="N396" i="3" a="1"/>
  <c r="N396" i="3"/>
  <c r="L396" i="3"/>
  <c r="K396" i="3"/>
  <c r="J396" i="3"/>
  <c r="I396" i="3"/>
  <c r="H396" i="3"/>
  <c r="G396" i="3"/>
  <c r="F396" i="3"/>
  <c r="D396" i="3" a="1"/>
  <c r="D396" i="3"/>
  <c r="C396" i="3" a="1"/>
  <c r="C396" i="3"/>
  <c r="B396" i="3" a="1"/>
  <c r="B396" i="3" s="1"/>
  <c r="M396" i="3" s="1" a="1"/>
  <c r="M396" i="3" s="1"/>
  <c r="N395" i="3" a="1"/>
  <c r="N395" i="3" s="1"/>
  <c r="L395" i="3"/>
  <c r="K395" i="3"/>
  <c r="H395" i="3"/>
  <c r="G395" i="3"/>
  <c r="F395" i="3"/>
  <c r="D395" i="3" a="1"/>
  <c r="D395" i="3"/>
  <c r="C395" i="3" a="1"/>
  <c r="C395" i="3"/>
  <c r="B395" i="3" a="1"/>
  <c r="B395" i="3" s="1"/>
  <c r="M395" i="3" s="1" a="1"/>
  <c r="M395" i="3" s="1"/>
  <c r="N394" i="3" a="1"/>
  <c r="N394" i="3"/>
  <c r="L394" i="3"/>
  <c r="K394" i="3"/>
  <c r="J394" i="3"/>
  <c r="H394" i="3"/>
  <c r="G394" i="3"/>
  <c r="F394" i="3"/>
  <c r="D394" i="3" a="1"/>
  <c r="D394" i="3" s="1"/>
  <c r="C394" i="3" a="1"/>
  <c r="C394" i="3"/>
  <c r="B394" i="3" a="1"/>
  <c r="B394" i="3"/>
  <c r="M394" i="3" s="1" a="1"/>
  <c r="M394" i="3" s="1"/>
  <c r="N393" i="3" a="1"/>
  <c r="N393" i="3" s="1"/>
  <c r="L393" i="3"/>
  <c r="K393" i="3"/>
  <c r="J393" i="3"/>
  <c r="H393" i="3"/>
  <c r="I393" i="3" s="1"/>
  <c r="G393" i="3"/>
  <c r="F393" i="3"/>
  <c r="D393" i="3" a="1"/>
  <c r="D393" i="3" s="1"/>
  <c r="C393" i="3" a="1"/>
  <c r="C393" i="3"/>
  <c r="B393" i="3" a="1"/>
  <c r="B393" i="3"/>
  <c r="M393" i="3" s="1" a="1"/>
  <c r="M393" i="3" s="1"/>
  <c r="N392" i="3" a="1"/>
  <c r="N392" i="3" s="1"/>
  <c r="L392" i="3"/>
  <c r="K392" i="3"/>
  <c r="I392" i="3"/>
  <c r="H392" i="3"/>
  <c r="J392" i="3" s="1"/>
  <c r="G392" i="3"/>
  <c r="F392" i="3"/>
  <c r="D392" i="3" a="1"/>
  <c r="D392" i="3"/>
  <c r="C392" i="3" a="1"/>
  <c r="C392" i="3" s="1"/>
  <c r="B392" i="3" a="1"/>
  <c r="B392" i="3"/>
  <c r="M392" i="3" s="1" a="1"/>
  <c r="M392" i="3" s="1"/>
  <c r="N391" i="3" a="1"/>
  <c r="N391" i="3"/>
  <c r="M391" i="3" a="1"/>
  <c r="M391" i="3" s="1"/>
  <c r="L391" i="3"/>
  <c r="K391" i="3"/>
  <c r="H391" i="3"/>
  <c r="G391" i="3"/>
  <c r="F391" i="3"/>
  <c r="D391" i="3" a="1"/>
  <c r="D391" i="3" s="1"/>
  <c r="C391" i="3" a="1"/>
  <c r="C391" i="3" s="1"/>
  <c r="B391" i="3" a="1"/>
  <c r="B391" i="3"/>
  <c r="N390" i="3" a="1"/>
  <c r="N390" i="3"/>
  <c r="L390" i="3"/>
  <c r="K390" i="3"/>
  <c r="J390" i="3"/>
  <c r="H390" i="3"/>
  <c r="G390" i="3"/>
  <c r="F390" i="3"/>
  <c r="D390" i="3" a="1"/>
  <c r="D390" i="3" s="1"/>
  <c r="C390" i="3" a="1"/>
  <c r="C390" i="3" s="1"/>
  <c r="B390" i="3" a="1"/>
  <c r="B390" i="3" s="1"/>
  <c r="M390" i="3" s="1" a="1"/>
  <c r="M390" i="3" s="1"/>
  <c r="N389" i="3" a="1"/>
  <c r="N389" i="3"/>
  <c r="L389" i="3"/>
  <c r="K389" i="3"/>
  <c r="H389" i="3"/>
  <c r="J389" i="3" s="1"/>
  <c r="G389" i="3"/>
  <c r="F389" i="3"/>
  <c r="D389" i="3" a="1"/>
  <c r="D389" i="3" s="1"/>
  <c r="C389" i="3" a="1"/>
  <c r="C389" i="3" s="1"/>
  <c r="B389" i="3" a="1"/>
  <c r="B389" i="3"/>
  <c r="M389" i="3" s="1" a="1"/>
  <c r="M389" i="3" s="1"/>
  <c r="N388" i="3" a="1"/>
  <c r="N388" i="3" s="1"/>
  <c r="L388" i="3"/>
  <c r="K388" i="3"/>
  <c r="J388" i="3"/>
  <c r="H388" i="3"/>
  <c r="I388" i="3" s="1"/>
  <c r="G388" i="3"/>
  <c r="F388" i="3"/>
  <c r="D388" i="3" a="1"/>
  <c r="D388" i="3"/>
  <c r="C388" i="3" a="1"/>
  <c r="C388" i="3"/>
  <c r="B388" i="3" a="1"/>
  <c r="B388" i="3" s="1"/>
  <c r="M388" i="3" s="1" a="1"/>
  <c r="M388" i="3" s="1"/>
  <c r="N387" i="3" a="1"/>
  <c r="N387" i="3" s="1"/>
  <c r="L387" i="3"/>
  <c r="K387" i="3"/>
  <c r="J387" i="3"/>
  <c r="I387" i="3"/>
  <c r="H387" i="3"/>
  <c r="G387" i="3"/>
  <c r="F387" i="3"/>
  <c r="D387" i="3" a="1"/>
  <c r="D387" i="3"/>
  <c r="C387" i="3" a="1"/>
  <c r="C387" i="3"/>
  <c r="B387" i="3" a="1"/>
  <c r="B387" i="3" s="1"/>
  <c r="M387" i="3" s="1" a="1"/>
  <c r="M387" i="3" s="1"/>
  <c r="N386" i="3" a="1"/>
  <c r="N386" i="3"/>
  <c r="L386" i="3"/>
  <c r="K386" i="3"/>
  <c r="H386" i="3"/>
  <c r="J386" i="3" s="1"/>
  <c r="G386" i="3"/>
  <c r="F386" i="3"/>
  <c r="D386" i="3" a="1"/>
  <c r="D386" i="3"/>
  <c r="C386" i="3" a="1"/>
  <c r="C386" i="3"/>
  <c r="B386" i="3" a="1"/>
  <c r="B386" i="3" s="1"/>
  <c r="M386" i="3" s="1" a="1"/>
  <c r="M386" i="3" s="1"/>
  <c r="N385" i="3" a="1"/>
  <c r="N385" i="3" s="1"/>
  <c r="L385" i="3"/>
  <c r="K385" i="3"/>
  <c r="H385" i="3"/>
  <c r="J385" i="3" s="1"/>
  <c r="G385" i="3"/>
  <c r="F385" i="3"/>
  <c r="D385" i="3" a="1"/>
  <c r="D385" i="3"/>
  <c r="C385" i="3" a="1"/>
  <c r="C385" i="3" s="1"/>
  <c r="B385" i="3" a="1"/>
  <c r="B385" i="3"/>
  <c r="M385" i="3" s="1" a="1"/>
  <c r="M385" i="3" s="1"/>
  <c r="N384" i="3" a="1"/>
  <c r="N384" i="3"/>
  <c r="M384" i="3" a="1"/>
  <c r="M384" i="3" s="1"/>
  <c r="L384" i="3"/>
  <c r="K384" i="3"/>
  <c r="H384" i="3"/>
  <c r="J384" i="3" s="1"/>
  <c r="G384" i="3"/>
  <c r="F384" i="3"/>
  <c r="D384" i="3" a="1"/>
  <c r="D384" i="3" s="1"/>
  <c r="C384" i="3" a="1"/>
  <c r="C384" i="3"/>
  <c r="B384" i="3" a="1"/>
  <c r="B384" i="3"/>
  <c r="N383" i="3" a="1"/>
  <c r="N383" i="3"/>
  <c r="M383" i="3" a="1"/>
  <c r="M383" i="3" s="1"/>
  <c r="L383" i="3"/>
  <c r="K383" i="3"/>
  <c r="H383" i="3"/>
  <c r="J383" i="3" s="1"/>
  <c r="G383" i="3"/>
  <c r="F383" i="3"/>
  <c r="D383" i="3" a="1"/>
  <c r="D383" i="3"/>
  <c r="C383" i="3" a="1"/>
  <c r="C383" i="3"/>
  <c r="B383" i="3" a="1"/>
  <c r="B383" i="3" s="1"/>
  <c r="N382" i="3" a="1"/>
  <c r="N382" i="3"/>
  <c r="L382" i="3"/>
  <c r="K382" i="3"/>
  <c r="J382" i="3"/>
  <c r="H382" i="3"/>
  <c r="G382" i="3"/>
  <c r="F382" i="3"/>
  <c r="D382" i="3" a="1"/>
  <c r="D382" i="3"/>
  <c r="C382" i="3" a="1"/>
  <c r="C382" i="3"/>
  <c r="B382" i="3" a="1"/>
  <c r="B382" i="3" s="1"/>
  <c r="M382" i="3" s="1" a="1"/>
  <c r="M382" i="3" s="1"/>
  <c r="N381" i="3" a="1"/>
  <c r="N381" i="3" s="1"/>
  <c r="M381" i="3"/>
  <c r="L381" i="3"/>
  <c r="K381" i="3"/>
  <c r="H381" i="3"/>
  <c r="G381" i="3"/>
  <c r="F381" i="3"/>
  <c r="D381" i="3" a="1"/>
  <c r="D381" i="3"/>
  <c r="C381" i="3" a="1"/>
  <c r="C381" i="3"/>
  <c r="B381" i="3" a="1"/>
  <c r="B381" i="3" s="1"/>
  <c r="M381" i="3" s="1" a="1"/>
  <c r="N380" i="3" a="1"/>
  <c r="N380" i="3"/>
  <c r="L380" i="3"/>
  <c r="K380" i="3"/>
  <c r="J380" i="3"/>
  <c r="I380" i="3"/>
  <c r="H380" i="3"/>
  <c r="G380" i="3"/>
  <c r="F380" i="3"/>
  <c r="D380" i="3" a="1"/>
  <c r="D380" i="3"/>
  <c r="C380" i="3" a="1"/>
  <c r="C380" i="3"/>
  <c r="B380" i="3" a="1"/>
  <c r="B380" i="3" s="1"/>
  <c r="M380" i="3" s="1" a="1"/>
  <c r="M380" i="3" s="1"/>
  <c r="N379" i="3" a="1"/>
  <c r="N379" i="3" s="1"/>
  <c r="L379" i="3"/>
  <c r="K379" i="3"/>
  <c r="J379" i="3"/>
  <c r="I379" i="3"/>
  <c r="H379" i="3"/>
  <c r="G379" i="3"/>
  <c r="F379" i="3"/>
  <c r="D379" i="3" a="1"/>
  <c r="D379" i="3" s="1"/>
  <c r="C379" i="3" a="1"/>
  <c r="C379" i="3"/>
  <c r="B379" i="3" a="1"/>
  <c r="B379" i="3"/>
  <c r="M379" i="3" s="1" a="1"/>
  <c r="M379" i="3" s="1"/>
  <c r="N378" i="3" a="1"/>
  <c r="N378" i="3" s="1"/>
  <c r="L378" i="3"/>
  <c r="K378" i="3"/>
  <c r="H378" i="3"/>
  <c r="J378" i="3" s="1"/>
  <c r="G378" i="3"/>
  <c r="F378" i="3"/>
  <c r="D378" i="3" a="1"/>
  <c r="D378" i="3"/>
  <c r="C378" i="3" a="1"/>
  <c r="C378" i="3" s="1"/>
  <c r="B378" i="3" a="1"/>
  <c r="B378" i="3"/>
  <c r="M378" i="3" s="1" a="1"/>
  <c r="M378" i="3" s="1"/>
  <c r="N377" i="3" a="1"/>
  <c r="N377" i="3"/>
  <c r="M377" i="3" a="1"/>
  <c r="M377" i="3" s="1"/>
  <c r="L377" i="3"/>
  <c r="K377" i="3"/>
  <c r="H377" i="3"/>
  <c r="G377" i="3"/>
  <c r="F377" i="3"/>
  <c r="D377" i="3" a="1"/>
  <c r="D377" i="3" s="1"/>
  <c r="C377" i="3" a="1"/>
  <c r="C377" i="3" s="1"/>
  <c r="B377" i="3" a="1"/>
  <c r="B377" i="3"/>
  <c r="N376" i="3" a="1"/>
  <c r="N376" i="3"/>
  <c r="L376" i="3"/>
  <c r="K376" i="3"/>
  <c r="J376" i="3"/>
  <c r="H376" i="3"/>
  <c r="I376" i="3" s="1"/>
  <c r="G376" i="3"/>
  <c r="F376" i="3"/>
  <c r="D376" i="3" a="1"/>
  <c r="D376" i="3" s="1"/>
  <c r="C376" i="3" a="1"/>
  <c r="C376" i="3"/>
  <c r="B376" i="3" a="1"/>
  <c r="B376" i="3" s="1"/>
  <c r="M376" i="3" s="1" a="1"/>
  <c r="M376" i="3" s="1"/>
  <c r="N375" i="3" a="1"/>
  <c r="N375" i="3"/>
  <c r="L375" i="3"/>
  <c r="K375" i="3"/>
  <c r="I375" i="3"/>
  <c r="H375" i="3"/>
  <c r="J375" i="3" s="1"/>
  <c r="G375" i="3"/>
  <c r="F375" i="3"/>
  <c r="D375" i="3" a="1"/>
  <c r="D375" i="3" s="1"/>
  <c r="C375" i="3" a="1"/>
  <c r="C375" i="3" s="1"/>
  <c r="B375" i="3" a="1"/>
  <c r="B375" i="3" s="1"/>
  <c r="M375" i="3" s="1" a="1"/>
  <c r="M375" i="3" s="1"/>
  <c r="N374" i="3" a="1"/>
  <c r="N374" i="3"/>
  <c r="L374" i="3"/>
  <c r="K374" i="3"/>
  <c r="H374" i="3"/>
  <c r="J374" i="3" s="1"/>
  <c r="G374" i="3"/>
  <c r="F374" i="3"/>
  <c r="D374" i="3" a="1"/>
  <c r="D374" i="3"/>
  <c r="C374" i="3" a="1"/>
  <c r="C374" i="3"/>
  <c r="B374" i="3" a="1"/>
  <c r="B374" i="3" s="1"/>
  <c r="M374" i="3" s="1" a="1"/>
  <c r="M374" i="3" s="1"/>
  <c r="N373" i="3" a="1"/>
  <c r="N373" i="3" s="1"/>
  <c r="L373" i="3"/>
  <c r="K373" i="3"/>
  <c r="J373" i="3"/>
  <c r="I373" i="3"/>
  <c r="H373" i="3"/>
  <c r="G373" i="3"/>
  <c r="F373" i="3"/>
  <c r="D373" i="3" a="1"/>
  <c r="D373" i="3"/>
  <c r="C373" i="3" a="1"/>
  <c r="C373" i="3"/>
  <c r="B373" i="3" a="1"/>
  <c r="B373" i="3" s="1"/>
  <c r="M373" i="3" s="1" a="1"/>
  <c r="M373" i="3" s="1"/>
  <c r="N372" i="3" a="1"/>
  <c r="N372" i="3"/>
  <c r="L372" i="3"/>
  <c r="K372" i="3"/>
  <c r="H372" i="3"/>
  <c r="J372" i="3" s="1"/>
  <c r="G372" i="3"/>
  <c r="F372" i="3"/>
  <c r="D372" i="3" a="1"/>
  <c r="D372" i="3" s="1"/>
  <c r="C372" i="3" a="1"/>
  <c r="C372" i="3"/>
  <c r="B372" i="3" a="1"/>
  <c r="B372" i="3"/>
  <c r="M372" i="3" s="1" a="1"/>
  <c r="M372" i="3" s="1"/>
  <c r="N371" i="3" a="1"/>
  <c r="N371" i="3" s="1"/>
  <c r="L371" i="3"/>
  <c r="K371" i="3"/>
  <c r="H371" i="3"/>
  <c r="G371" i="3"/>
  <c r="F371" i="3"/>
  <c r="D371" i="3" a="1"/>
  <c r="D371" i="3"/>
  <c r="C371" i="3" a="1"/>
  <c r="C371" i="3"/>
  <c r="B371" i="3" a="1"/>
  <c r="B371" i="3"/>
  <c r="M371" i="3" s="1" a="1"/>
  <c r="M371" i="3" s="1"/>
  <c r="N370" i="3" a="1"/>
  <c r="N370" i="3" s="1"/>
  <c r="L370" i="3"/>
  <c r="K370" i="3"/>
  <c r="H370" i="3"/>
  <c r="J370" i="3" s="1"/>
  <c r="G370" i="3"/>
  <c r="F370" i="3"/>
  <c r="D370" i="3" a="1"/>
  <c r="D370" i="3" s="1"/>
  <c r="C370" i="3" a="1"/>
  <c r="C370" i="3"/>
  <c r="B370" i="3" a="1"/>
  <c r="B370" i="3"/>
  <c r="M370" i="3" s="1" a="1"/>
  <c r="M370" i="3" s="1"/>
  <c r="N369" i="3" a="1"/>
  <c r="N369" i="3"/>
  <c r="L369" i="3"/>
  <c r="K369" i="3"/>
  <c r="H369" i="3"/>
  <c r="J369" i="3" s="1"/>
  <c r="G369" i="3"/>
  <c r="F369" i="3"/>
  <c r="D369" i="3" a="1"/>
  <c r="D369" i="3" s="1"/>
  <c r="C369" i="3" a="1"/>
  <c r="C369" i="3"/>
  <c r="B369" i="3" a="1"/>
  <c r="B369" i="3" s="1"/>
  <c r="M369" i="3" s="1" a="1"/>
  <c r="M369" i="3" s="1"/>
  <c r="N368" i="3" a="1"/>
  <c r="N368" i="3"/>
  <c r="M368" i="3" a="1"/>
  <c r="M368" i="3"/>
  <c r="L368" i="3"/>
  <c r="K368" i="3"/>
  <c r="J368" i="3"/>
  <c r="I368" i="3"/>
  <c r="H368" i="3"/>
  <c r="G368" i="3"/>
  <c r="F368" i="3"/>
  <c r="D368" i="3" a="1"/>
  <c r="D368" i="3"/>
  <c r="C368" i="3" a="1"/>
  <c r="C368" i="3" s="1"/>
  <c r="B368" i="3" a="1"/>
  <c r="B368" i="3"/>
  <c r="N367" i="3" a="1"/>
  <c r="N367" i="3"/>
  <c r="M367" i="3" a="1"/>
  <c r="M367" i="3"/>
  <c r="L367" i="3"/>
  <c r="K367" i="3"/>
  <c r="J367" i="3"/>
  <c r="I367" i="3"/>
  <c r="H367" i="3"/>
  <c r="G367" i="3"/>
  <c r="F367" i="3"/>
  <c r="D367" i="3" a="1"/>
  <c r="D367" i="3"/>
  <c r="C367" i="3" a="1"/>
  <c r="C367" i="3" s="1"/>
  <c r="B367" i="3" a="1"/>
  <c r="B367" i="3"/>
  <c r="N366" i="3" a="1"/>
  <c r="N366" i="3" s="1"/>
  <c r="L366" i="3"/>
  <c r="K366" i="3"/>
  <c r="H366" i="3"/>
  <c r="G366" i="3"/>
  <c r="F366" i="3"/>
  <c r="D366" i="3" a="1"/>
  <c r="D366" i="3"/>
  <c r="C366" i="3" a="1"/>
  <c r="C366" i="3" s="1"/>
  <c r="B366" i="3" a="1"/>
  <c r="B366" i="3" s="1"/>
  <c r="M366" i="3" s="1" a="1"/>
  <c r="M366" i="3" s="1"/>
  <c r="N365" i="3" a="1"/>
  <c r="N365" i="3"/>
  <c r="M365" i="3"/>
  <c r="L365" i="3"/>
  <c r="K365" i="3"/>
  <c r="J365" i="3"/>
  <c r="I365" i="3"/>
  <c r="H365" i="3"/>
  <c r="G365" i="3"/>
  <c r="F365" i="3"/>
  <c r="D365" i="3" a="1"/>
  <c r="D365" i="3"/>
  <c r="C365" i="3" a="1"/>
  <c r="C365" i="3"/>
  <c r="B365" i="3" a="1"/>
  <c r="B365" i="3"/>
  <c r="M365" i="3" s="1" a="1"/>
  <c r="N364" i="3" a="1"/>
  <c r="N364" i="3"/>
  <c r="L364" i="3"/>
  <c r="K364" i="3"/>
  <c r="J364" i="3"/>
  <c r="I364" i="3"/>
  <c r="H364" i="3"/>
  <c r="G364" i="3"/>
  <c r="F364" i="3"/>
  <c r="D364" i="3" a="1"/>
  <c r="D364" i="3" s="1"/>
  <c r="C364" i="3" a="1"/>
  <c r="C364" i="3"/>
  <c r="B364" i="3" a="1"/>
  <c r="B364" i="3"/>
  <c r="M364" i="3" s="1" a="1"/>
  <c r="M364" i="3" s="1"/>
  <c r="N363" i="3" a="1"/>
  <c r="N363" i="3" s="1"/>
  <c r="L363" i="3"/>
  <c r="K363" i="3"/>
  <c r="J363" i="3"/>
  <c r="H363" i="3"/>
  <c r="G363" i="3"/>
  <c r="F363" i="3"/>
  <c r="D363" i="3" a="1"/>
  <c r="D363" i="3"/>
  <c r="C363" i="3" a="1"/>
  <c r="C363" i="3" s="1"/>
  <c r="B363" i="3" a="1"/>
  <c r="B363" i="3"/>
  <c r="M363" i="3" s="1" a="1"/>
  <c r="M363" i="3" s="1"/>
  <c r="N362" i="3" a="1"/>
  <c r="N362" i="3"/>
  <c r="M362" i="3" a="1"/>
  <c r="M362" i="3" s="1"/>
  <c r="L362" i="3"/>
  <c r="K362" i="3"/>
  <c r="H362" i="3"/>
  <c r="J362" i="3" s="1"/>
  <c r="G362" i="3"/>
  <c r="F362" i="3"/>
  <c r="D362" i="3" a="1"/>
  <c r="D362" i="3" s="1"/>
  <c r="C362" i="3" a="1"/>
  <c r="C362" i="3" s="1"/>
  <c r="B362" i="3" a="1"/>
  <c r="B362" i="3"/>
  <c r="N361" i="3" a="1"/>
  <c r="N361" i="3"/>
  <c r="L361" i="3"/>
  <c r="K361" i="3"/>
  <c r="H361" i="3"/>
  <c r="I361" i="3" s="1"/>
  <c r="G361" i="3"/>
  <c r="F361" i="3"/>
  <c r="D361" i="3" a="1"/>
  <c r="D361" i="3" s="1"/>
  <c r="C361" i="3" a="1"/>
  <c r="C361" i="3"/>
  <c r="B361" i="3" a="1"/>
  <c r="B361" i="3" s="1"/>
  <c r="M361" i="3" s="1" a="1"/>
  <c r="M361" i="3" s="1"/>
  <c r="N360" i="3" a="1"/>
  <c r="N360" i="3"/>
  <c r="M360" i="3" a="1"/>
  <c r="M360" i="3" s="1"/>
  <c r="L360" i="3"/>
  <c r="K360" i="3"/>
  <c r="I360" i="3"/>
  <c r="H360" i="3"/>
  <c r="J360" i="3" s="1"/>
  <c r="G360" i="3"/>
  <c r="F360" i="3"/>
  <c r="D360" i="3" a="1"/>
  <c r="D360" i="3" s="1"/>
  <c r="C360" i="3" a="1"/>
  <c r="C360" i="3" s="1"/>
  <c r="B360" i="3" a="1"/>
  <c r="B360" i="3" s="1"/>
  <c r="N359" i="3" a="1"/>
  <c r="N359" i="3"/>
  <c r="L359" i="3"/>
  <c r="K359" i="3"/>
  <c r="H359" i="3"/>
  <c r="J359" i="3" s="1"/>
  <c r="G359" i="3"/>
  <c r="F359" i="3"/>
  <c r="D359" i="3" a="1"/>
  <c r="D359" i="3" s="1"/>
  <c r="C359" i="3" a="1"/>
  <c r="C359" i="3"/>
  <c r="B359" i="3" a="1"/>
  <c r="B359" i="3" s="1"/>
  <c r="M359" i="3" s="1" a="1"/>
  <c r="M359" i="3" s="1"/>
  <c r="N358" i="3" a="1"/>
  <c r="N358" i="3" s="1"/>
  <c r="L358" i="3"/>
  <c r="K358" i="3"/>
  <c r="J358" i="3"/>
  <c r="I358" i="3"/>
  <c r="H358" i="3"/>
  <c r="G358" i="3"/>
  <c r="F358" i="3"/>
  <c r="D358" i="3" a="1"/>
  <c r="D358" i="3"/>
  <c r="C358" i="3" a="1"/>
  <c r="C358" i="3"/>
  <c r="B358" i="3" a="1"/>
  <c r="B358" i="3"/>
  <c r="M358" i="3" s="1" a="1"/>
  <c r="M358" i="3" s="1"/>
  <c r="N357" i="3" a="1"/>
  <c r="N357" i="3"/>
  <c r="L357" i="3"/>
  <c r="K357" i="3"/>
  <c r="J357" i="3"/>
  <c r="I357" i="3"/>
  <c r="H357" i="3"/>
  <c r="G357" i="3"/>
  <c r="F357" i="3"/>
  <c r="D357" i="3" a="1"/>
  <c r="D357" i="3" s="1"/>
  <c r="C357" i="3" a="1"/>
  <c r="C357" i="3" s="1"/>
  <c r="B357" i="3" a="1"/>
  <c r="B357" i="3" s="1"/>
  <c r="M357" i="3" s="1" a="1"/>
  <c r="M357" i="3" s="1"/>
  <c r="N356" i="3" a="1"/>
  <c r="N356" i="3" s="1"/>
  <c r="L356" i="3"/>
  <c r="K356" i="3"/>
  <c r="H356" i="3"/>
  <c r="J356" i="3" s="1"/>
  <c r="G356" i="3"/>
  <c r="F356" i="3"/>
  <c r="D356" i="3" a="1"/>
  <c r="D356" i="3"/>
  <c r="C356" i="3" a="1"/>
  <c r="C356" i="3"/>
  <c r="B356" i="3" a="1"/>
  <c r="B356" i="3" s="1"/>
  <c r="M356" i="3" s="1" a="1"/>
  <c r="M356" i="3" s="1"/>
  <c r="N355" i="3" a="1"/>
  <c r="N355" i="3" s="1"/>
  <c r="M355" i="3"/>
  <c r="L355" i="3"/>
  <c r="K355" i="3"/>
  <c r="H355" i="3"/>
  <c r="J355" i="3" s="1"/>
  <c r="G355" i="3"/>
  <c r="F355" i="3"/>
  <c r="D355" i="3" a="1"/>
  <c r="D355" i="3" s="1"/>
  <c r="C355" i="3" a="1"/>
  <c r="C355" i="3"/>
  <c r="B355" i="3" a="1"/>
  <c r="B355" i="3"/>
  <c r="M355" i="3" s="1" a="1"/>
  <c r="N354" i="3" a="1"/>
  <c r="N354" i="3" s="1"/>
  <c r="M354" i="3" a="1"/>
  <c r="M354" i="3" s="1"/>
  <c r="L354" i="3"/>
  <c r="K354" i="3"/>
  <c r="H354" i="3"/>
  <c r="J354" i="3" s="1"/>
  <c r="G354" i="3"/>
  <c r="F354" i="3"/>
  <c r="D354" i="3" a="1"/>
  <c r="D354" i="3" s="1"/>
  <c r="C354" i="3" a="1"/>
  <c r="C354" i="3"/>
  <c r="B354" i="3" a="1"/>
  <c r="B354" i="3" s="1"/>
  <c r="N353" i="3" a="1"/>
  <c r="N353" i="3" s="1"/>
  <c r="M353" i="3" a="1"/>
  <c r="M353" i="3"/>
  <c r="L353" i="3"/>
  <c r="K353" i="3"/>
  <c r="J353" i="3"/>
  <c r="I353" i="3"/>
  <c r="H353" i="3"/>
  <c r="G353" i="3"/>
  <c r="F353" i="3"/>
  <c r="D353" i="3" a="1"/>
  <c r="D353" i="3" s="1"/>
  <c r="C353" i="3" a="1"/>
  <c r="C353" i="3" s="1"/>
  <c r="B353" i="3" a="1"/>
  <c r="B353" i="3"/>
  <c r="N352" i="3" a="1"/>
  <c r="N352" i="3"/>
  <c r="M352" i="3" a="1"/>
  <c r="M352" i="3" s="1"/>
  <c r="L352" i="3"/>
  <c r="K352" i="3"/>
  <c r="J352" i="3"/>
  <c r="I352" i="3"/>
  <c r="H352" i="3"/>
  <c r="G352" i="3"/>
  <c r="F352" i="3"/>
  <c r="D352" i="3" a="1"/>
  <c r="D352" i="3"/>
  <c r="C352" i="3" a="1"/>
  <c r="C352" i="3" s="1"/>
  <c r="B352" i="3" a="1"/>
  <c r="B352" i="3"/>
  <c r="N351" i="3" a="1"/>
  <c r="N351" i="3"/>
  <c r="L351" i="3"/>
  <c r="K351" i="3"/>
  <c r="J351" i="3"/>
  <c r="H351" i="3"/>
  <c r="G351" i="3"/>
  <c r="F351" i="3"/>
  <c r="D351" i="3" a="1"/>
  <c r="D351" i="3"/>
  <c r="C351" i="3" a="1"/>
  <c r="C351" i="3" s="1"/>
  <c r="B351" i="3" a="1"/>
  <c r="B351" i="3" s="1"/>
  <c r="M351" i="3" s="1" a="1"/>
  <c r="M351" i="3" s="1"/>
  <c r="N350" i="3" a="1"/>
  <c r="N350" i="3"/>
  <c r="L350" i="3"/>
  <c r="K350" i="3"/>
  <c r="H350" i="3"/>
  <c r="J350" i="3" s="1"/>
  <c r="G350" i="3"/>
  <c r="F350" i="3"/>
  <c r="D350" i="3" a="1"/>
  <c r="D350" i="3" s="1"/>
  <c r="C350" i="3" a="1"/>
  <c r="C350" i="3"/>
  <c r="B350" i="3" a="1"/>
  <c r="B350" i="3" s="1"/>
  <c r="M350" i="3" s="1" a="1"/>
  <c r="M350" i="3" s="1"/>
  <c r="N349" i="3" a="1"/>
  <c r="N349" i="3" s="1"/>
  <c r="L349" i="3"/>
  <c r="K349" i="3"/>
  <c r="I349" i="3"/>
  <c r="H349" i="3"/>
  <c r="J349" i="3" s="1"/>
  <c r="G349" i="3"/>
  <c r="F349" i="3"/>
  <c r="D349" i="3" a="1"/>
  <c r="D349" i="3" s="1"/>
  <c r="C349" i="3" a="1"/>
  <c r="C349" i="3"/>
  <c r="B349" i="3" a="1"/>
  <c r="B349" i="3"/>
  <c r="M349" i="3" s="1" a="1"/>
  <c r="M349" i="3" s="1"/>
  <c r="N348" i="3" a="1"/>
  <c r="N348" i="3" s="1"/>
  <c r="L348" i="3"/>
  <c r="K348" i="3"/>
  <c r="J348" i="3"/>
  <c r="H348" i="3"/>
  <c r="I348" i="3" s="1"/>
  <c r="G348" i="3"/>
  <c r="F348" i="3"/>
  <c r="D348" i="3" a="1"/>
  <c r="D348" i="3"/>
  <c r="C348" i="3" a="1"/>
  <c r="C348" i="3" s="1"/>
  <c r="B348" i="3" a="1"/>
  <c r="B348" i="3"/>
  <c r="M348" i="3" s="1" a="1"/>
  <c r="M348" i="3" s="1"/>
  <c r="N347" i="3" a="1"/>
  <c r="N347" i="3"/>
  <c r="L347" i="3"/>
  <c r="K347" i="3"/>
  <c r="H347" i="3"/>
  <c r="J347" i="3" s="1"/>
  <c r="G347" i="3"/>
  <c r="F347" i="3"/>
  <c r="D347" i="3" a="1"/>
  <c r="D347" i="3"/>
  <c r="C347" i="3" a="1"/>
  <c r="C347" i="3"/>
  <c r="B347" i="3" a="1"/>
  <c r="B347" i="3" s="1"/>
  <c r="M347" i="3" s="1" a="1"/>
  <c r="M347" i="3" s="1"/>
  <c r="N346" i="3" a="1"/>
  <c r="N346" i="3"/>
  <c r="L346" i="3"/>
  <c r="K346" i="3"/>
  <c r="H346" i="3"/>
  <c r="J346" i="3" s="1"/>
  <c r="G346" i="3"/>
  <c r="F346" i="3"/>
  <c r="D346" i="3" a="1"/>
  <c r="D346" i="3" s="1"/>
  <c r="C346" i="3" a="1"/>
  <c r="C346" i="3" s="1"/>
  <c r="B346" i="3" a="1"/>
  <c r="B346" i="3" s="1"/>
  <c r="M346" i="3" s="1" a="1"/>
  <c r="M346" i="3" s="1"/>
  <c r="N345" i="3" a="1"/>
  <c r="N345" i="3"/>
  <c r="L345" i="3"/>
  <c r="K345" i="3"/>
  <c r="H345" i="3"/>
  <c r="G345" i="3"/>
  <c r="F345" i="3"/>
  <c r="D345" i="3" a="1"/>
  <c r="D345" i="3"/>
  <c r="C345" i="3" a="1"/>
  <c r="C345" i="3" s="1"/>
  <c r="B345" i="3" a="1"/>
  <c r="B345" i="3" s="1"/>
  <c r="M345" i="3" s="1" a="1"/>
  <c r="M345" i="3" s="1"/>
  <c r="N344" i="3" a="1"/>
  <c r="N344" i="3" s="1"/>
  <c r="L344" i="3"/>
  <c r="K344" i="3"/>
  <c r="J344" i="3"/>
  <c r="H344" i="3"/>
  <c r="I344" i="3" s="1"/>
  <c r="G344" i="3"/>
  <c r="F344" i="3"/>
  <c r="D344" i="3" a="1"/>
  <c r="D344" i="3"/>
  <c r="C344" i="3" a="1"/>
  <c r="C344" i="3" s="1"/>
  <c r="B344" i="3" a="1"/>
  <c r="B344" i="3" s="1"/>
  <c r="M344" i="3" s="1" a="1"/>
  <c r="M344" i="3" s="1"/>
  <c r="N343" i="3" a="1"/>
  <c r="N343" i="3" s="1"/>
  <c r="L343" i="3"/>
  <c r="K343" i="3"/>
  <c r="H343" i="3"/>
  <c r="J343" i="3" s="1"/>
  <c r="G343" i="3"/>
  <c r="F343" i="3"/>
  <c r="D343" i="3" a="1"/>
  <c r="D343" i="3" s="1"/>
  <c r="C343" i="3" a="1"/>
  <c r="C343" i="3" s="1"/>
  <c r="B343" i="3" a="1"/>
  <c r="B343" i="3"/>
  <c r="M343" i="3" s="1" a="1"/>
  <c r="M343" i="3" s="1"/>
  <c r="N342" i="3" a="1"/>
  <c r="N342" i="3" s="1"/>
  <c r="L342" i="3"/>
  <c r="K342" i="3"/>
  <c r="H342" i="3"/>
  <c r="J342" i="3" s="1"/>
  <c r="G342" i="3"/>
  <c r="F342" i="3"/>
  <c r="D342" i="3" a="1"/>
  <c r="D342" i="3"/>
  <c r="C342" i="3" a="1"/>
  <c r="C342" i="3" s="1"/>
  <c r="B342" i="3" a="1"/>
  <c r="B342" i="3" s="1"/>
  <c r="M342" i="3" s="1" a="1"/>
  <c r="M342" i="3" s="1"/>
  <c r="N341" i="3" a="1"/>
  <c r="N341" i="3"/>
  <c r="M341" i="3" a="1"/>
  <c r="M341" i="3" s="1"/>
  <c r="L341" i="3"/>
  <c r="K341" i="3"/>
  <c r="J341" i="3"/>
  <c r="I341" i="3"/>
  <c r="H341" i="3"/>
  <c r="G341" i="3"/>
  <c r="F341" i="3"/>
  <c r="D341" i="3" a="1"/>
  <c r="D341" i="3"/>
  <c r="C341" i="3" a="1"/>
  <c r="C341" i="3"/>
  <c r="B341" i="3" a="1"/>
  <c r="B341" i="3"/>
  <c r="N340" i="3" a="1"/>
  <c r="N340" i="3"/>
  <c r="L340" i="3"/>
  <c r="K340" i="3"/>
  <c r="I340" i="3"/>
  <c r="H340" i="3"/>
  <c r="J340" i="3" s="1"/>
  <c r="G340" i="3"/>
  <c r="F340" i="3"/>
  <c r="D340" i="3" a="1"/>
  <c r="D340" i="3" s="1"/>
  <c r="C340" i="3" a="1"/>
  <c r="C340" i="3"/>
  <c r="B340" i="3" a="1"/>
  <c r="B340" i="3" s="1"/>
  <c r="M340" i="3" s="1" a="1"/>
  <c r="M340" i="3" s="1"/>
  <c r="N339" i="3" a="1"/>
  <c r="N339" i="3" s="1"/>
  <c r="M339" i="3" a="1"/>
  <c r="M339" i="3" s="1"/>
  <c r="L339" i="3"/>
  <c r="K339" i="3"/>
  <c r="J339" i="3"/>
  <c r="H339" i="3"/>
  <c r="G339" i="3"/>
  <c r="F339" i="3"/>
  <c r="D339" i="3" a="1"/>
  <c r="D339" i="3"/>
  <c r="C339" i="3" a="1"/>
  <c r="C339" i="3" s="1"/>
  <c r="B339" i="3" a="1"/>
  <c r="B339" i="3"/>
  <c r="N338" i="3" a="1"/>
  <c r="N338" i="3" s="1"/>
  <c r="M338" i="3" a="1"/>
  <c r="M338" i="3"/>
  <c r="L338" i="3"/>
  <c r="K338" i="3"/>
  <c r="J338" i="3"/>
  <c r="I338" i="3"/>
  <c r="H338" i="3"/>
  <c r="G338" i="3"/>
  <c r="F338" i="3"/>
  <c r="D338" i="3" a="1"/>
  <c r="D338" i="3" s="1"/>
  <c r="C338" i="3" a="1"/>
  <c r="C338" i="3"/>
  <c r="B338" i="3" a="1"/>
  <c r="B338" i="3"/>
  <c r="N337" i="3" a="1"/>
  <c r="N337" i="3"/>
  <c r="L337" i="3"/>
  <c r="K337" i="3"/>
  <c r="H337" i="3"/>
  <c r="J337" i="3" s="1"/>
  <c r="G337" i="3"/>
  <c r="F337" i="3"/>
  <c r="D337" i="3" a="1"/>
  <c r="D337" i="3"/>
  <c r="C337" i="3" a="1"/>
  <c r="C337" i="3" s="1"/>
  <c r="B337" i="3" a="1"/>
  <c r="B337" i="3" s="1"/>
  <c r="M337" i="3" s="1" a="1"/>
  <c r="M337" i="3" s="1"/>
  <c r="N336" i="3" a="1"/>
  <c r="N336" i="3"/>
  <c r="L336" i="3"/>
  <c r="K336" i="3"/>
  <c r="J336" i="3"/>
  <c r="H336" i="3"/>
  <c r="I336" i="3" s="1"/>
  <c r="G336" i="3"/>
  <c r="F336" i="3"/>
  <c r="D336" i="3" a="1"/>
  <c r="D336" i="3"/>
  <c r="C336" i="3" a="1"/>
  <c r="C336" i="3"/>
  <c r="B336" i="3" a="1"/>
  <c r="B336" i="3" s="1"/>
  <c r="M336" i="3" s="1" a="1"/>
  <c r="M336" i="3" s="1"/>
  <c r="N335" i="3" a="1"/>
  <c r="N335" i="3"/>
  <c r="L335" i="3"/>
  <c r="K335" i="3"/>
  <c r="H335" i="3"/>
  <c r="J335" i="3" s="1"/>
  <c r="G335" i="3"/>
  <c r="F335" i="3"/>
  <c r="D335" i="3" a="1"/>
  <c r="D335" i="3" s="1"/>
  <c r="C335" i="3" a="1"/>
  <c r="C335" i="3"/>
  <c r="B335" i="3" a="1"/>
  <c r="B335" i="3" s="1"/>
  <c r="M335" i="3" s="1" a="1"/>
  <c r="M335" i="3" s="1"/>
  <c r="N334" i="3" a="1"/>
  <c r="N334" i="3" s="1"/>
  <c r="L334" i="3"/>
  <c r="K334" i="3"/>
  <c r="J334" i="3"/>
  <c r="H334" i="3"/>
  <c r="I334" i="3" s="1"/>
  <c r="G334" i="3"/>
  <c r="F334" i="3"/>
  <c r="D334" i="3" a="1"/>
  <c r="D334" i="3" s="1"/>
  <c r="C334" i="3" a="1"/>
  <c r="C334" i="3" s="1"/>
  <c r="B334" i="3" a="1"/>
  <c r="B334" i="3"/>
  <c r="M334" i="3" s="1" a="1"/>
  <c r="M334" i="3" s="1"/>
  <c r="N333" i="3" a="1"/>
  <c r="N333" i="3"/>
  <c r="M333" i="3" a="1"/>
  <c r="M333" i="3" s="1"/>
  <c r="L333" i="3"/>
  <c r="K333" i="3"/>
  <c r="J333" i="3"/>
  <c r="I333" i="3"/>
  <c r="H333" i="3"/>
  <c r="G333" i="3"/>
  <c r="F333" i="3"/>
  <c r="D333" i="3" a="1"/>
  <c r="D333" i="3" s="1"/>
  <c r="C333" i="3" a="1"/>
  <c r="C333" i="3" s="1"/>
  <c r="B333" i="3" a="1"/>
  <c r="B333" i="3"/>
  <c r="N332" i="3" a="1"/>
  <c r="N332" i="3"/>
  <c r="M332" i="3" a="1"/>
  <c r="M332" i="3"/>
  <c r="L332" i="3"/>
  <c r="K332" i="3"/>
  <c r="J332" i="3"/>
  <c r="I332" i="3"/>
  <c r="H332" i="3"/>
  <c r="G332" i="3"/>
  <c r="F332" i="3"/>
  <c r="D332" i="3" a="1"/>
  <c r="D332" i="3" s="1"/>
  <c r="C332" i="3" a="1"/>
  <c r="C332" i="3" s="1"/>
  <c r="B332" i="3" a="1"/>
  <c r="B332" i="3" s="1"/>
  <c r="N331" i="3" a="1"/>
  <c r="N331" i="3" s="1"/>
  <c r="L331" i="3"/>
  <c r="K331" i="3"/>
  <c r="J331" i="3"/>
  <c r="H331" i="3"/>
  <c r="G331" i="3"/>
  <c r="F331" i="3"/>
  <c r="D331" i="3" a="1"/>
  <c r="D331" i="3"/>
  <c r="C331" i="3" a="1"/>
  <c r="C331" i="3"/>
  <c r="B331" i="3" a="1"/>
  <c r="B331" i="3"/>
  <c r="M331" i="3" s="1" a="1"/>
  <c r="M331" i="3" s="1"/>
  <c r="N330" i="3" a="1"/>
  <c r="N330" i="3" s="1"/>
  <c r="L330" i="3"/>
  <c r="K330" i="3"/>
  <c r="H330" i="3"/>
  <c r="I330" i="3" s="1"/>
  <c r="G330" i="3"/>
  <c r="F330" i="3"/>
  <c r="D330" i="3" a="1"/>
  <c r="D330" i="3"/>
  <c r="C330" i="3" a="1"/>
  <c r="C330" i="3" s="1"/>
  <c r="B330" i="3" a="1"/>
  <c r="B330" i="3" s="1"/>
  <c r="M330" i="3" s="1" a="1"/>
  <c r="M330" i="3" s="1"/>
  <c r="N329" i="3" a="1"/>
  <c r="N329" i="3" s="1"/>
  <c r="L329" i="3"/>
  <c r="K329" i="3"/>
  <c r="J329" i="3"/>
  <c r="I329" i="3"/>
  <c r="H329" i="3"/>
  <c r="G329" i="3"/>
  <c r="F329" i="3"/>
  <c r="D329" i="3" a="1"/>
  <c r="D329" i="3"/>
  <c r="C329" i="3" a="1"/>
  <c r="C329" i="3"/>
  <c r="B329" i="3" a="1"/>
  <c r="B329" i="3" s="1"/>
  <c r="M329" i="3" s="1" a="1"/>
  <c r="M329" i="3" s="1"/>
  <c r="N328" i="3" a="1"/>
  <c r="N328" i="3" s="1"/>
  <c r="M328" i="3" a="1"/>
  <c r="M328" i="3" s="1"/>
  <c r="L328" i="3"/>
  <c r="K328" i="3"/>
  <c r="H328" i="3"/>
  <c r="J328" i="3" s="1"/>
  <c r="G328" i="3"/>
  <c r="F328" i="3"/>
  <c r="D328" i="3" a="1"/>
  <c r="D328" i="3"/>
  <c r="C328" i="3" a="1"/>
  <c r="C328" i="3"/>
  <c r="B328" i="3" a="1"/>
  <c r="B328" i="3"/>
  <c r="N327" i="3" a="1"/>
  <c r="N327" i="3" s="1"/>
  <c r="L327" i="3"/>
  <c r="K327" i="3"/>
  <c r="J327" i="3"/>
  <c r="I327" i="3"/>
  <c r="H327" i="3"/>
  <c r="G327" i="3"/>
  <c r="F327" i="3"/>
  <c r="D327" i="3" a="1"/>
  <c r="D327" i="3" s="1"/>
  <c r="C327" i="3" a="1"/>
  <c r="C327" i="3"/>
  <c r="B327" i="3" a="1"/>
  <c r="B327" i="3" s="1"/>
  <c r="M327" i="3" s="1" a="1"/>
  <c r="M327" i="3" s="1"/>
  <c r="N326" i="3" a="1"/>
  <c r="N326" i="3" s="1"/>
  <c r="L326" i="3"/>
  <c r="K326" i="3"/>
  <c r="I326" i="3"/>
  <c r="H326" i="3"/>
  <c r="J326" i="3" s="1"/>
  <c r="G326" i="3"/>
  <c r="F326" i="3"/>
  <c r="D326" i="3" a="1"/>
  <c r="D326" i="3"/>
  <c r="C326" i="3" a="1"/>
  <c r="C326" i="3"/>
  <c r="B326" i="3" a="1"/>
  <c r="B326" i="3"/>
  <c r="M326" i="3" s="1" a="1"/>
  <c r="M326" i="3" s="1"/>
  <c r="N325" i="3" a="1"/>
  <c r="N325" i="3"/>
  <c r="L325" i="3"/>
  <c r="K325" i="3"/>
  <c r="I325" i="3"/>
  <c r="H325" i="3"/>
  <c r="J325" i="3" s="1"/>
  <c r="G325" i="3"/>
  <c r="F325" i="3"/>
  <c r="D325" i="3" a="1"/>
  <c r="D325" i="3"/>
  <c r="C325" i="3" a="1"/>
  <c r="C325" i="3"/>
  <c r="B325" i="3" a="1"/>
  <c r="B325" i="3" s="1"/>
  <c r="M325" i="3" s="1" a="1"/>
  <c r="M325" i="3" s="1"/>
  <c r="N324" i="3" a="1"/>
  <c r="N324" i="3"/>
  <c r="M324" i="3" a="1"/>
  <c r="M324" i="3"/>
  <c r="L324" i="3"/>
  <c r="K324" i="3"/>
  <c r="J324" i="3"/>
  <c r="H324" i="3"/>
  <c r="G324" i="3"/>
  <c r="F324" i="3"/>
  <c r="D324" i="3" a="1"/>
  <c r="D324" i="3" s="1"/>
  <c r="C324" i="3" a="1"/>
  <c r="C324" i="3"/>
  <c r="B324" i="3" a="1"/>
  <c r="B324" i="3"/>
  <c r="N323" i="3" a="1"/>
  <c r="N323" i="3" s="1"/>
  <c r="L323" i="3"/>
  <c r="K323" i="3"/>
  <c r="H323" i="3"/>
  <c r="J323" i="3" s="1"/>
  <c r="G323" i="3"/>
  <c r="F323" i="3"/>
  <c r="D323" i="3" a="1"/>
  <c r="D323" i="3"/>
  <c r="C323" i="3" a="1"/>
  <c r="C323" i="3" s="1"/>
  <c r="B323" i="3" a="1"/>
  <c r="B323" i="3" s="1"/>
  <c r="M323" i="3" s="1" a="1"/>
  <c r="M323" i="3" s="1"/>
  <c r="N322" i="3" a="1"/>
  <c r="N322" i="3"/>
  <c r="L322" i="3"/>
  <c r="K322" i="3"/>
  <c r="J322" i="3"/>
  <c r="I322" i="3"/>
  <c r="H322" i="3"/>
  <c r="G322" i="3"/>
  <c r="F322" i="3"/>
  <c r="D322" i="3" a="1"/>
  <c r="D322" i="3" s="1"/>
  <c r="C322" i="3" a="1"/>
  <c r="C322" i="3" s="1"/>
  <c r="B322" i="3" a="1"/>
  <c r="B322" i="3"/>
  <c r="M322" i="3" s="1" a="1"/>
  <c r="M322" i="3" s="1"/>
  <c r="N321" i="3" a="1"/>
  <c r="N321" i="3"/>
  <c r="L321" i="3"/>
  <c r="K321" i="3"/>
  <c r="I321" i="3"/>
  <c r="H321" i="3"/>
  <c r="J321" i="3" s="1"/>
  <c r="G321" i="3"/>
  <c r="F321" i="3"/>
  <c r="D321" i="3" a="1"/>
  <c r="D321" i="3"/>
  <c r="C321" i="3" a="1"/>
  <c r="C321" i="3"/>
  <c r="B321" i="3" a="1"/>
  <c r="B321" i="3" s="1"/>
  <c r="M321" i="3" s="1" a="1"/>
  <c r="M321" i="3" s="1"/>
  <c r="N320" i="3" a="1"/>
  <c r="N320" i="3" s="1"/>
  <c r="L320" i="3"/>
  <c r="K320" i="3"/>
  <c r="J320" i="3"/>
  <c r="H320" i="3"/>
  <c r="G320" i="3"/>
  <c r="F320" i="3"/>
  <c r="D320" i="3" a="1"/>
  <c r="D320" i="3"/>
  <c r="C320" i="3" a="1"/>
  <c r="C320" i="3"/>
  <c r="B320" i="3" a="1"/>
  <c r="B320" i="3"/>
  <c r="M320" i="3" s="1" a="1"/>
  <c r="M320" i="3" s="1"/>
  <c r="N319" i="3" a="1"/>
  <c r="N319" i="3" s="1"/>
  <c r="L319" i="3"/>
  <c r="K319" i="3"/>
  <c r="H319" i="3"/>
  <c r="J319" i="3" s="1"/>
  <c r="G319" i="3"/>
  <c r="F319" i="3"/>
  <c r="D319" i="3" a="1"/>
  <c r="D319" i="3" s="1"/>
  <c r="C319" i="3" a="1"/>
  <c r="C319" i="3" s="1"/>
  <c r="B319" i="3" a="1"/>
  <c r="B319" i="3" s="1"/>
  <c r="M319" i="3" s="1" a="1"/>
  <c r="M319" i="3" s="1"/>
  <c r="N318" i="3" a="1"/>
  <c r="N318" i="3" s="1"/>
  <c r="L318" i="3"/>
  <c r="K318" i="3"/>
  <c r="H318" i="3"/>
  <c r="J318" i="3" s="1"/>
  <c r="G318" i="3"/>
  <c r="F318" i="3"/>
  <c r="D318" i="3" a="1"/>
  <c r="D318" i="3" s="1"/>
  <c r="C318" i="3" a="1"/>
  <c r="C318" i="3"/>
  <c r="B318" i="3" a="1"/>
  <c r="B318" i="3"/>
  <c r="M318" i="3" s="1" a="1"/>
  <c r="M318" i="3" s="1"/>
  <c r="N317" i="3" a="1"/>
  <c r="N317" i="3"/>
  <c r="L317" i="3"/>
  <c r="K317" i="3"/>
  <c r="I317" i="3"/>
  <c r="H317" i="3"/>
  <c r="J317" i="3" s="1"/>
  <c r="G317" i="3"/>
  <c r="F317" i="3"/>
  <c r="D317" i="3" a="1"/>
  <c r="D317" i="3"/>
  <c r="C317" i="3" a="1"/>
  <c r="C317" i="3" s="1"/>
  <c r="B317" i="3" a="1"/>
  <c r="B317" i="3" s="1"/>
  <c r="M317" i="3" s="1" a="1"/>
  <c r="M317" i="3" s="1"/>
  <c r="N316" i="3" a="1"/>
  <c r="N316" i="3" s="1"/>
  <c r="L316" i="3"/>
  <c r="K316" i="3"/>
  <c r="H316" i="3"/>
  <c r="J316" i="3" s="1"/>
  <c r="G316" i="3"/>
  <c r="F316" i="3"/>
  <c r="D316" i="3" a="1"/>
  <c r="D316" i="3"/>
  <c r="C316" i="3" a="1"/>
  <c r="C316" i="3"/>
  <c r="B316" i="3" a="1"/>
  <c r="B316" i="3" s="1"/>
  <c r="M316" i="3" s="1" a="1"/>
  <c r="M316" i="3" s="1"/>
  <c r="N315" i="3" a="1"/>
  <c r="N315" i="3" s="1"/>
  <c r="L315" i="3"/>
  <c r="K315" i="3"/>
  <c r="J315" i="3"/>
  <c r="I315" i="3"/>
  <c r="H315" i="3"/>
  <c r="G315" i="3"/>
  <c r="F315" i="3"/>
  <c r="D315" i="3" a="1"/>
  <c r="D315" i="3"/>
  <c r="C315" i="3" a="1"/>
  <c r="C315" i="3" s="1"/>
  <c r="B315" i="3" a="1"/>
  <c r="B315" i="3" s="1"/>
  <c r="M315" i="3" s="1" a="1"/>
  <c r="M315" i="3" s="1"/>
  <c r="N314" i="3" a="1"/>
  <c r="N314" i="3"/>
  <c r="L314" i="3"/>
  <c r="K314" i="3"/>
  <c r="H314" i="3"/>
  <c r="J314" i="3" s="1"/>
  <c r="G314" i="3"/>
  <c r="F314" i="3"/>
  <c r="D314" i="3" a="1"/>
  <c r="D314" i="3" s="1"/>
  <c r="C314" i="3" a="1"/>
  <c r="C314" i="3"/>
  <c r="B314" i="3" a="1"/>
  <c r="B314" i="3"/>
  <c r="M314" i="3" s="1" a="1"/>
  <c r="M314" i="3" s="1"/>
  <c r="N313" i="3" a="1"/>
  <c r="N313" i="3" s="1"/>
  <c r="L313" i="3"/>
  <c r="K313" i="3"/>
  <c r="J313" i="3"/>
  <c r="I313" i="3"/>
  <c r="H313" i="3"/>
  <c r="G313" i="3"/>
  <c r="F313" i="3"/>
  <c r="D313" i="3" a="1"/>
  <c r="D313" i="3"/>
  <c r="C313" i="3" a="1"/>
  <c r="C313" i="3"/>
  <c r="B313" i="3" a="1"/>
  <c r="B313" i="3" s="1"/>
  <c r="M313" i="3" s="1" a="1"/>
  <c r="M313" i="3" s="1"/>
  <c r="N312" i="3" a="1"/>
  <c r="N312" i="3" s="1"/>
  <c r="L312" i="3"/>
  <c r="K312" i="3"/>
  <c r="H312" i="3"/>
  <c r="J312" i="3" s="1"/>
  <c r="G312" i="3"/>
  <c r="F312" i="3"/>
  <c r="D312" i="3" a="1"/>
  <c r="D312" i="3" s="1"/>
  <c r="C312" i="3" a="1"/>
  <c r="C312" i="3"/>
  <c r="B312" i="3" a="1"/>
  <c r="B312" i="3"/>
  <c r="M312" i="3" s="1" a="1"/>
  <c r="M312" i="3" s="1"/>
  <c r="N311" i="3" a="1"/>
  <c r="N311" i="3" s="1"/>
  <c r="L311" i="3"/>
  <c r="K311" i="3"/>
  <c r="I311" i="3"/>
  <c r="H311" i="3"/>
  <c r="J311" i="3" s="1"/>
  <c r="G311" i="3"/>
  <c r="F311" i="3"/>
  <c r="D311" i="3" a="1"/>
  <c r="D311" i="3"/>
  <c r="C311" i="3" a="1"/>
  <c r="C311" i="3"/>
  <c r="B311" i="3" a="1"/>
  <c r="B311" i="3" s="1"/>
  <c r="M311" i="3" s="1" a="1"/>
  <c r="M311" i="3" s="1"/>
  <c r="N310" i="3" a="1"/>
  <c r="N310" i="3"/>
  <c r="L310" i="3"/>
  <c r="K310" i="3"/>
  <c r="H310" i="3"/>
  <c r="J310" i="3" s="1"/>
  <c r="G310" i="3"/>
  <c r="F310" i="3"/>
  <c r="D310" i="3" a="1"/>
  <c r="D310" i="3" s="1"/>
  <c r="C310" i="3" a="1"/>
  <c r="C310" i="3" s="1"/>
  <c r="B310" i="3" a="1"/>
  <c r="B310" i="3"/>
  <c r="M310" i="3" s="1" a="1"/>
  <c r="M310" i="3" s="1"/>
  <c r="N309" i="3" a="1"/>
  <c r="N309" i="3"/>
  <c r="M309" i="3" a="1"/>
  <c r="M309" i="3" s="1"/>
  <c r="L309" i="3"/>
  <c r="K309" i="3"/>
  <c r="J309" i="3"/>
  <c r="I309" i="3"/>
  <c r="H309" i="3"/>
  <c r="G309" i="3"/>
  <c r="F309" i="3"/>
  <c r="D309" i="3" a="1"/>
  <c r="D309" i="3" s="1"/>
  <c r="C309" i="3" a="1"/>
  <c r="C309" i="3"/>
  <c r="B309" i="3" a="1"/>
  <c r="B309" i="3"/>
  <c r="N308" i="3" a="1"/>
  <c r="N308" i="3" s="1"/>
  <c r="L308" i="3"/>
  <c r="K308" i="3"/>
  <c r="J308" i="3"/>
  <c r="H308" i="3"/>
  <c r="G308" i="3"/>
  <c r="F308" i="3"/>
  <c r="D308" i="3" a="1"/>
  <c r="D308" i="3" s="1"/>
  <c r="C308" i="3" a="1"/>
  <c r="C308" i="3" s="1"/>
  <c r="B308" i="3" a="1"/>
  <c r="B308" i="3"/>
  <c r="M308" i="3" s="1" a="1"/>
  <c r="M308" i="3" s="1"/>
  <c r="N307" i="3" a="1"/>
  <c r="N307" i="3"/>
  <c r="L307" i="3"/>
  <c r="K307" i="3"/>
  <c r="J307" i="3"/>
  <c r="I307" i="3"/>
  <c r="H307" i="3"/>
  <c r="G307" i="3"/>
  <c r="F307" i="3"/>
  <c r="D307" i="3" a="1"/>
  <c r="D307" i="3"/>
  <c r="C307" i="3" a="1"/>
  <c r="C307" i="3"/>
  <c r="B307" i="3" a="1"/>
  <c r="B307" i="3" s="1"/>
  <c r="M307" i="3" s="1" a="1"/>
  <c r="M307" i="3" s="1"/>
  <c r="N306" i="3" a="1"/>
  <c r="N306" i="3" s="1"/>
  <c r="L306" i="3"/>
  <c r="K306" i="3"/>
  <c r="J306" i="3"/>
  <c r="H306" i="3"/>
  <c r="I306" i="3" s="1"/>
  <c r="G306" i="3"/>
  <c r="F306" i="3"/>
  <c r="D306" i="3" a="1"/>
  <c r="D306" i="3" s="1"/>
  <c r="C306" i="3" a="1"/>
  <c r="C306" i="3" s="1"/>
  <c r="B306" i="3" a="1"/>
  <c r="B306" i="3" s="1"/>
  <c r="M306" i="3" s="1" a="1"/>
  <c r="M306" i="3" s="1"/>
  <c r="N305" i="3" a="1"/>
  <c r="N305" i="3"/>
  <c r="L305" i="3"/>
  <c r="K305" i="3"/>
  <c r="J305" i="3"/>
  <c r="I305" i="3"/>
  <c r="H305" i="3"/>
  <c r="G305" i="3"/>
  <c r="F305" i="3"/>
  <c r="D305" i="3" a="1"/>
  <c r="D305" i="3"/>
  <c r="C305" i="3" a="1"/>
  <c r="C305" i="3"/>
  <c r="B305" i="3" a="1"/>
  <c r="B305" i="3"/>
  <c r="M305" i="3" s="1" a="1"/>
  <c r="M305" i="3" s="1"/>
  <c r="N304" i="3" a="1"/>
  <c r="N304" i="3" s="1"/>
  <c r="M304" i="3" a="1"/>
  <c r="M304" i="3" s="1"/>
  <c r="L304" i="3"/>
  <c r="K304" i="3"/>
  <c r="H304" i="3"/>
  <c r="J304" i="3" s="1"/>
  <c r="G304" i="3"/>
  <c r="F304" i="3"/>
  <c r="D304" i="3" a="1"/>
  <c r="D304" i="3" s="1"/>
  <c r="C304" i="3" a="1"/>
  <c r="C304" i="3"/>
  <c r="B304" i="3" a="1"/>
  <c r="B304" i="3"/>
  <c r="N303" i="3" a="1"/>
  <c r="N303" i="3"/>
  <c r="L303" i="3"/>
  <c r="K303" i="3"/>
  <c r="I303" i="3"/>
  <c r="H303" i="3"/>
  <c r="J303" i="3" s="1"/>
  <c r="G303" i="3"/>
  <c r="F303" i="3"/>
  <c r="D303" i="3" a="1"/>
  <c r="D303" i="3"/>
  <c r="C303" i="3" a="1"/>
  <c r="C303" i="3" s="1"/>
  <c r="B303" i="3" a="1"/>
  <c r="B303" i="3" s="1"/>
  <c r="M303" i="3" s="1" a="1"/>
  <c r="M303" i="3" s="1"/>
  <c r="N302" i="3" a="1"/>
  <c r="N302" i="3" s="1"/>
  <c r="M302" i="3" a="1"/>
  <c r="M302" i="3" s="1"/>
  <c r="L302" i="3"/>
  <c r="K302" i="3"/>
  <c r="H302" i="3"/>
  <c r="J302" i="3" s="1"/>
  <c r="G302" i="3"/>
  <c r="F302" i="3"/>
  <c r="D302" i="3" a="1"/>
  <c r="D302" i="3" s="1"/>
  <c r="C302" i="3" a="1"/>
  <c r="C302" i="3" s="1"/>
  <c r="B302" i="3" a="1"/>
  <c r="B302" i="3"/>
  <c r="N301" i="3" a="1"/>
  <c r="N301" i="3"/>
  <c r="L301" i="3"/>
  <c r="K301" i="3"/>
  <c r="J301" i="3"/>
  <c r="H301" i="3"/>
  <c r="I301" i="3" s="1"/>
  <c r="G301" i="3"/>
  <c r="F301" i="3"/>
  <c r="D301" i="3" a="1"/>
  <c r="D301" i="3"/>
  <c r="C301" i="3" a="1"/>
  <c r="C301" i="3"/>
  <c r="B301" i="3" a="1"/>
  <c r="B301" i="3" s="1"/>
  <c r="M301" i="3" s="1" a="1"/>
  <c r="M301" i="3" s="1"/>
  <c r="N300" i="3" a="1"/>
  <c r="N300" i="3" s="1"/>
  <c r="M300" i="3" a="1"/>
  <c r="M300" i="3" s="1"/>
  <c r="L300" i="3"/>
  <c r="K300" i="3"/>
  <c r="H300" i="3"/>
  <c r="J300" i="3" s="1"/>
  <c r="G300" i="3"/>
  <c r="F300" i="3"/>
  <c r="D300" i="3" a="1"/>
  <c r="D300" i="3" s="1"/>
  <c r="C300" i="3" a="1"/>
  <c r="C300" i="3"/>
  <c r="B300" i="3" a="1"/>
  <c r="B300" i="3"/>
  <c r="N299" i="3" a="1"/>
  <c r="N299" i="3" s="1"/>
  <c r="L299" i="3"/>
  <c r="K299" i="3"/>
  <c r="J299" i="3"/>
  <c r="I299" i="3"/>
  <c r="H299" i="3"/>
  <c r="G299" i="3"/>
  <c r="F299" i="3"/>
  <c r="D299" i="3" a="1"/>
  <c r="D299" i="3"/>
  <c r="C299" i="3" a="1"/>
  <c r="C299" i="3"/>
  <c r="B299" i="3" a="1"/>
  <c r="B299" i="3" s="1"/>
  <c r="M299" i="3" s="1" a="1"/>
  <c r="M299" i="3" s="1"/>
  <c r="N298" i="3" a="1"/>
  <c r="N298" i="3" s="1"/>
  <c r="L298" i="3"/>
  <c r="K298" i="3"/>
  <c r="I298" i="3"/>
  <c r="H298" i="3"/>
  <c r="J298" i="3" s="1"/>
  <c r="G298" i="3"/>
  <c r="F298" i="3"/>
  <c r="D298" i="3" a="1"/>
  <c r="D298" i="3"/>
  <c r="C298" i="3" a="1"/>
  <c r="C298" i="3" s="1"/>
  <c r="B298" i="3" a="1"/>
  <c r="B298" i="3"/>
  <c r="M298" i="3" s="1" a="1"/>
  <c r="M298" i="3" s="1"/>
  <c r="N297" i="3" a="1"/>
  <c r="N297" i="3"/>
  <c r="L297" i="3"/>
  <c r="K297" i="3"/>
  <c r="J297" i="3"/>
  <c r="H297" i="3"/>
  <c r="I297" i="3" s="1"/>
  <c r="G297" i="3"/>
  <c r="F297" i="3"/>
  <c r="D297" i="3" a="1"/>
  <c r="D297" i="3" s="1"/>
  <c r="C297" i="3" a="1"/>
  <c r="C297" i="3"/>
  <c r="B297" i="3" a="1"/>
  <c r="B297" i="3"/>
  <c r="M297" i="3" s="1" a="1"/>
  <c r="M297" i="3" s="1"/>
  <c r="N296" i="3" a="1"/>
  <c r="N296" i="3" s="1"/>
  <c r="M296" i="3" a="1"/>
  <c r="M296" i="3" s="1"/>
  <c r="L296" i="3"/>
  <c r="K296" i="3"/>
  <c r="H296" i="3"/>
  <c r="J296" i="3" s="1"/>
  <c r="G296" i="3"/>
  <c r="F296" i="3"/>
  <c r="D296" i="3" a="1"/>
  <c r="D296" i="3" s="1"/>
  <c r="C296" i="3" a="1"/>
  <c r="C296" i="3" s="1"/>
  <c r="B296" i="3" a="1"/>
  <c r="B296" i="3"/>
  <c r="N295" i="3" a="1"/>
  <c r="N295" i="3"/>
  <c r="M295" i="3" a="1"/>
  <c r="M295" i="3" s="1"/>
  <c r="L295" i="3"/>
  <c r="K295" i="3"/>
  <c r="J295" i="3"/>
  <c r="I295" i="3"/>
  <c r="H295" i="3"/>
  <c r="G295" i="3"/>
  <c r="F295" i="3"/>
  <c r="D295" i="3" a="1"/>
  <c r="D295" i="3" s="1"/>
  <c r="C295" i="3" a="1"/>
  <c r="C295" i="3"/>
  <c r="B295" i="3" a="1"/>
  <c r="B295" i="3"/>
  <c r="N294" i="3" a="1"/>
  <c r="N294" i="3" s="1"/>
  <c r="L294" i="3"/>
  <c r="K294" i="3"/>
  <c r="H294" i="3"/>
  <c r="J294" i="3" s="1"/>
  <c r="G294" i="3"/>
  <c r="F294" i="3"/>
  <c r="D294" i="3" a="1"/>
  <c r="D294" i="3"/>
  <c r="C294" i="3" a="1"/>
  <c r="C294" i="3" s="1"/>
  <c r="B294" i="3" a="1"/>
  <c r="B294" i="3" s="1"/>
  <c r="M294" i="3" s="1" a="1"/>
  <c r="M294" i="3" s="1"/>
  <c r="N293" i="3" a="1"/>
  <c r="N293" i="3"/>
  <c r="L293" i="3"/>
  <c r="K293" i="3"/>
  <c r="J293" i="3"/>
  <c r="I293" i="3"/>
  <c r="H293" i="3"/>
  <c r="G293" i="3"/>
  <c r="F293" i="3"/>
  <c r="D293" i="3" a="1"/>
  <c r="D293" i="3" s="1"/>
  <c r="C293" i="3" a="1"/>
  <c r="C293" i="3" s="1"/>
  <c r="B293" i="3" a="1"/>
  <c r="B293" i="3"/>
  <c r="M293" i="3" s="1" a="1"/>
  <c r="M293" i="3" s="1"/>
  <c r="N292" i="3" a="1"/>
  <c r="N292" i="3"/>
  <c r="L292" i="3"/>
  <c r="K292" i="3"/>
  <c r="H292" i="3"/>
  <c r="J292" i="3" s="1"/>
  <c r="G292" i="3"/>
  <c r="F292" i="3"/>
  <c r="D292" i="3" a="1"/>
  <c r="D292" i="3" s="1"/>
  <c r="C292" i="3" a="1"/>
  <c r="C292" i="3" s="1"/>
  <c r="B292" i="3" a="1"/>
  <c r="B292" i="3" s="1"/>
  <c r="M292" i="3" s="1" a="1"/>
  <c r="M292" i="3" s="1"/>
  <c r="N291" i="3" a="1"/>
  <c r="N291" i="3"/>
  <c r="L291" i="3"/>
  <c r="K291" i="3"/>
  <c r="J291" i="3"/>
  <c r="I291" i="3"/>
  <c r="H291" i="3"/>
  <c r="G291" i="3"/>
  <c r="F291" i="3"/>
  <c r="D291" i="3" a="1"/>
  <c r="D291" i="3"/>
  <c r="C291" i="3" a="1"/>
  <c r="C291" i="3"/>
  <c r="B291" i="3" a="1"/>
  <c r="B291" i="3"/>
  <c r="M291" i="3" s="1" a="1"/>
  <c r="M291" i="3" s="1"/>
  <c r="N290" i="3" a="1"/>
  <c r="N290" i="3" s="1"/>
  <c r="L290" i="3"/>
  <c r="K290" i="3"/>
  <c r="H290" i="3"/>
  <c r="J290" i="3" s="1"/>
  <c r="G290" i="3"/>
  <c r="F290" i="3"/>
  <c r="D290" i="3" a="1"/>
  <c r="D290" i="3" s="1"/>
  <c r="C290" i="3" a="1"/>
  <c r="C290" i="3" s="1"/>
  <c r="B290" i="3" a="1"/>
  <c r="B290" i="3" s="1"/>
  <c r="M290" i="3" s="1" a="1"/>
  <c r="M290" i="3" s="1"/>
  <c r="N289" i="3" a="1"/>
  <c r="N289" i="3" s="1"/>
  <c r="L289" i="3"/>
  <c r="K289" i="3"/>
  <c r="H289" i="3"/>
  <c r="J289" i="3" s="1"/>
  <c r="G289" i="3"/>
  <c r="F289" i="3"/>
  <c r="D289" i="3" a="1"/>
  <c r="D289" i="3" s="1"/>
  <c r="C289" i="3" a="1"/>
  <c r="C289" i="3"/>
  <c r="B289" i="3" a="1"/>
  <c r="B289" i="3"/>
  <c r="M289" i="3" s="1" a="1"/>
  <c r="M289" i="3" s="1"/>
  <c r="N288" i="3" a="1"/>
  <c r="N288" i="3"/>
  <c r="L288" i="3"/>
  <c r="K288" i="3"/>
  <c r="I288" i="3"/>
  <c r="H288" i="3"/>
  <c r="J288" i="3" s="1"/>
  <c r="G288" i="3"/>
  <c r="F288" i="3"/>
  <c r="D288" i="3" a="1"/>
  <c r="D288" i="3"/>
  <c r="C288" i="3" a="1"/>
  <c r="C288" i="3" s="1"/>
  <c r="B288" i="3" a="1"/>
  <c r="B288" i="3" s="1"/>
  <c r="M288" i="3" s="1" a="1"/>
  <c r="M288" i="3" s="1"/>
  <c r="N287" i="3" a="1"/>
  <c r="N287" i="3" s="1"/>
  <c r="M287" i="3" a="1"/>
  <c r="M287" i="3" s="1"/>
  <c r="L287" i="3"/>
  <c r="K287" i="3"/>
  <c r="H287" i="3"/>
  <c r="J287" i="3" s="1"/>
  <c r="G287" i="3"/>
  <c r="F287" i="3"/>
  <c r="D287" i="3" a="1"/>
  <c r="D287" i="3" s="1"/>
  <c r="C287" i="3" a="1"/>
  <c r="C287" i="3" s="1"/>
  <c r="B287" i="3" a="1"/>
  <c r="B287" i="3"/>
  <c r="N286" i="3" a="1"/>
  <c r="N286" i="3"/>
  <c r="L286" i="3"/>
  <c r="K286" i="3"/>
  <c r="J286" i="3"/>
  <c r="H286" i="3"/>
  <c r="I286" i="3" s="1"/>
  <c r="G286" i="3"/>
  <c r="F286" i="3"/>
  <c r="D286" i="3" a="1"/>
  <c r="D286" i="3"/>
  <c r="C286" i="3" a="1"/>
  <c r="C286" i="3"/>
  <c r="B286" i="3" a="1"/>
  <c r="B286" i="3" s="1"/>
  <c r="M286" i="3" s="1" a="1"/>
  <c r="M286" i="3" s="1"/>
  <c r="N285" i="3" a="1"/>
  <c r="N285" i="3" s="1"/>
  <c r="M285" i="3" a="1"/>
  <c r="M285" i="3" s="1"/>
  <c r="L285" i="3"/>
  <c r="K285" i="3"/>
  <c r="H285" i="3"/>
  <c r="J285" i="3" s="1"/>
  <c r="G285" i="3"/>
  <c r="F285" i="3"/>
  <c r="D285" i="3" a="1"/>
  <c r="D285" i="3" s="1"/>
  <c r="C285" i="3" a="1"/>
  <c r="C285" i="3"/>
  <c r="B285" i="3" a="1"/>
  <c r="B285" i="3"/>
  <c r="N284" i="3" a="1"/>
  <c r="N284" i="3" s="1"/>
  <c r="L284" i="3"/>
  <c r="K284" i="3"/>
  <c r="J284" i="3"/>
  <c r="I284" i="3"/>
  <c r="H284" i="3"/>
  <c r="G284" i="3"/>
  <c r="F284" i="3"/>
  <c r="D284" i="3" a="1"/>
  <c r="D284" i="3"/>
  <c r="C284" i="3" a="1"/>
  <c r="C284" i="3"/>
  <c r="B284" i="3" a="1"/>
  <c r="B284" i="3" s="1"/>
  <c r="M284" i="3" s="1" a="1"/>
  <c r="M284" i="3" s="1"/>
  <c r="N283" i="3" a="1"/>
  <c r="N283" i="3" s="1"/>
  <c r="L283" i="3"/>
  <c r="K283" i="3"/>
  <c r="I283" i="3"/>
  <c r="H283" i="3"/>
  <c r="J283" i="3" s="1"/>
  <c r="G283" i="3"/>
  <c r="F283" i="3"/>
  <c r="D283" i="3" a="1"/>
  <c r="D283" i="3"/>
  <c r="C283" i="3" a="1"/>
  <c r="C283" i="3" s="1"/>
  <c r="B283" i="3" a="1"/>
  <c r="B283" i="3"/>
  <c r="M283" i="3" s="1" a="1"/>
  <c r="M283" i="3" s="1"/>
  <c r="N282" i="3" a="1"/>
  <c r="N282" i="3"/>
  <c r="L282" i="3"/>
  <c r="K282" i="3"/>
  <c r="J282" i="3"/>
  <c r="H282" i="3"/>
  <c r="I282" i="3" s="1"/>
  <c r="G282" i="3"/>
  <c r="F282" i="3"/>
  <c r="D282" i="3" a="1"/>
  <c r="D282" i="3" s="1"/>
  <c r="C282" i="3" a="1"/>
  <c r="C282" i="3"/>
  <c r="B282" i="3" a="1"/>
  <c r="B282" i="3"/>
  <c r="M282" i="3" s="1" a="1"/>
  <c r="M282" i="3" s="1"/>
  <c r="N281" i="3" a="1"/>
  <c r="N281" i="3" s="1"/>
  <c r="M281" i="3" a="1"/>
  <c r="M281" i="3" s="1"/>
  <c r="L281" i="3"/>
  <c r="K281" i="3"/>
  <c r="H281" i="3"/>
  <c r="J281" i="3" s="1"/>
  <c r="G281" i="3"/>
  <c r="F281" i="3"/>
  <c r="D281" i="3" a="1"/>
  <c r="D281" i="3" s="1"/>
  <c r="C281" i="3" a="1"/>
  <c r="C281" i="3" s="1"/>
  <c r="B281" i="3" a="1"/>
  <c r="B281" i="3"/>
  <c r="N280" i="3" a="1"/>
  <c r="N280" i="3"/>
  <c r="M280" i="3" a="1"/>
  <c r="M280" i="3" s="1"/>
  <c r="L280" i="3"/>
  <c r="K280" i="3"/>
  <c r="J280" i="3"/>
  <c r="I280" i="3"/>
  <c r="H280" i="3"/>
  <c r="G280" i="3"/>
  <c r="F280" i="3"/>
  <c r="D280" i="3" a="1"/>
  <c r="D280" i="3" s="1"/>
  <c r="C280" i="3" a="1"/>
  <c r="C280" i="3"/>
  <c r="B280" i="3" a="1"/>
  <c r="B280" i="3"/>
  <c r="N279" i="3" a="1"/>
  <c r="N279" i="3" s="1"/>
  <c r="L279" i="3"/>
  <c r="K279" i="3"/>
  <c r="H279" i="3"/>
  <c r="J279" i="3" s="1"/>
  <c r="G279" i="3"/>
  <c r="F279" i="3"/>
  <c r="D279" i="3" a="1"/>
  <c r="D279" i="3"/>
  <c r="C279" i="3" a="1"/>
  <c r="C279" i="3" s="1"/>
  <c r="B279" i="3" a="1"/>
  <c r="B279" i="3" s="1"/>
  <c r="M279" i="3" s="1" a="1"/>
  <c r="M279" i="3" s="1"/>
  <c r="N278" i="3" a="1"/>
  <c r="N278" i="3"/>
  <c r="L278" i="3"/>
  <c r="K278" i="3"/>
  <c r="J278" i="3"/>
  <c r="I278" i="3"/>
  <c r="H278" i="3"/>
  <c r="G278" i="3"/>
  <c r="F278" i="3"/>
  <c r="D278" i="3" a="1"/>
  <c r="D278" i="3" s="1"/>
  <c r="C278" i="3" a="1"/>
  <c r="C278" i="3" s="1"/>
  <c r="B278" i="3" a="1"/>
  <c r="B278" i="3"/>
  <c r="M278" i="3" s="1" a="1"/>
  <c r="M278" i="3" s="1"/>
  <c r="N277" i="3" a="1"/>
  <c r="N277" i="3"/>
  <c r="L277" i="3"/>
  <c r="K277" i="3"/>
  <c r="H277" i="3"/>
  <c r="J277" i="3" s="1"/>
  <c r="G277" i="3"/>
  <c r="F277" i="3"/>
  <c r="D277" i="3" a="1"/>
  <c r="D277" i="3" s="1"/>
  <c r="C277" i="3" a="1"/>
  <c r="C277" i="3" s="1"/>
  <c r="B277" i="3" a="1"/>
  <c r="B277" i="3" s="1"/>
  <c r="M277" i="3" s="1" a="1"/>
  <c r="M277" i="3" s="1"/>
  <c r="N276" i="3" a="1"/>
  <c r="N276" i="3"/>
  <c r="L276" i="3"/>
  <c r="K276" i="3"/>
  <c r="J276" i="3"/>
  <c r="I276" i="3"/>
  <c r="H276" i="3"/>
  <c r="G276" i="3"/>
  <c r="F276" i="3"/>
  <c r="D276" i="3" a="1"/>
  <c r="D276" i="3"/>
  <c r="C276" i="3" a="1"/>
  <c r="C276" i="3"/>
  <c r="B276" i="3" a="1"/>
  <c r="B276" i="3"/>
  <c r="M276" i="3" s="1" a="1"/>
  <c r="M276" i="3" s="1"/>
  <c r="N275" i="3" a="1"/>
  <c r="N275" i="3" s="1"/>
  <c r="L275" i="3"/>
  <c r="K275" i="3"/>
  <c r="H275" i="3"/>
  <c r="J275" i="3" s="1"/>
  <c r="G275" i="3"/>
  <c r="F275" i="3"/>
  <c r="D275" i="3" a="1"/>
  <c r="D275" i="3" s="1"/>
  <c r="C275" i="3" a="1"/>
  <c r="C275" i="3" s="1"/>
  <c r="B275" i="3" a="1"/>
  <c r="B275" i="3" s="1"/>
  <c r="M275" i="3" s="1" a="1"/>
  <c r="M275" i="3" s="1"/>
  <c r="N274" i="3" a="1"/>
  <c r="N274" i="3" s="1"/>
  <c r="L274" i="3"/>
  <c r="K274" i="3"/>
  <c r="J274" i="3"/>
  <c r="H274" i="3"/>
  <c r="I274" i="3" s="1"/>
  <c r="G274" i="3"/>
  <c r="F274" i="3"/>
  <c r="D274" i="3" a="1"/>
  <c r="D274" i="3" s="1"/>
  <c r="C274" i="3" a="1"/>
  <c r="C274" i="3"/>
  <c r="B274" i="3" a="1"/>
  <c r="B274" i="3"/>
  <c r="M274" i="3" s="1" a="1"/>
  <c r="M274" i="3" s="1"/>
  <c r="N273" i="3" a="1"/>
  <c r="N273" i="3"/>
  <c r="L273" i="3"/>
  <c r="K273" i="3"/>
  <c r="H273" i="3"/>
  <c r="J273" i="3" s="1"/>
  <c r="G273" i="3"/>
  <c r="F273" i="3"/>
  <c r="D273" i="3" a="1"/>
  <c r="D273" i="3" s="1"/>
  <c r="C273" i="3" a="1"/>
  <c r="C273" i="3" s="1"/>
  <c r="B273" i="3" a="1"/>
  <c r="B273" i="3"/>
  <c r="M273" i="3" s="1" a="1"/>
  <c r="M273" i="3" s="1"/>
  <c r="N272" i="3" a="1"/>
  <c r="N272" i="3"/>
  <c r="L272" i="3"/>
  <c r="K272" i="3"/>
  <c r="J272" i="3"/>
  <c r="H272" i="3"/>
  <c r="I272" i="3" s="1"/>
  <c r="G272" i="3"/>
  <c r="F272" i="3"/>
  <c r="D272" i="3" a="1"/>
  <c r="D272" i="3"/>
  <c r="C272" i="3" a="1"/>
  <c r="C272" i="3"/>
  <c r="B272" i="3" a="1"/>
  <c r="B272" i="3" s="1"/>
  <c r="M272" i="3" s="1" a="1"/>
  <c r="M272" i="3" s="1"/>
  <c r="N271" i="3" a="1"/>
  <c r="N271" i="3" s="1"/>
  <c r="L271" i="3"/>
  <c r="K271" i="3"/>
  <c r="J271" i="3"/>
  <c r="I271" i="3"/>
  <c r="H271" i="3"/>
  <c r="G271" i="3"/>
  <c r="F271" i="3"/>
  <c r="D271" i="3" a="1"/>
  <c r="D271" i="3"/>
  <c r="C271" i="3" a="1"/>
  <c r="C271" i="3" s="1"/>
  <c r="B271" i="3" a="1"/>
  <c r="B271" i="3" s="1"/>
  <c r="M271" i="3" s="1" a="1"/>
  <c r="M271" i="3" s="1"/>
  <c r="N270" i="3" a="1"/>
  <c r="N270" i="3"/>
  <c r="L270" i="3"/>
  <c r="K270" i="3"/>
  <c r="H270" i="3"/>
  <c r="J270" i="3" s="1"/>
  <c r="G270" i="3"/>
  <c r="F270" i="3"/>
  <c r="D270" i="3" a="1"/>
  <c r="D270" i="3" s="1"/>
  <c r="C270" i="3" a="1"/>
  <c r="C270" i="3"/>
  <c r="B270" i="3" a="1"/>
  <c r="B270" i="3"/>
  <c r="M270" i="3" s="1" a="1"/>
  <c r="M270" i="3" s="1"/>
  <c r="N269" i="3" a="1"/>
  <c r="N269" i="3" s="1"/>
  <c r="L269" i="3"/>
  <c r="K269" i="3"/>
  <c r="J269" i="3"/>
  <c r="H269" i="3"/>
  <c r="G269" i="3"/>
  <c r="F269" i="3"/>
  <c r="D269" i="3" a="1"/>
  <c r="D269" i="3"/>
  <c r="C269" i="3" a="1"/>
  <c r="C269" i="3" s="1"/>
  <c r="B269" i="3" a="1"/>
  <c r="B269" i="3"/>
  <c r="M269" i="3" s="1" a="1"/>
  <c r="M269" i="3" s="1"/>
  <c r="N268" i="3" a="1"/>
  <c r="N268" i="3"/>
  <c r="L268" i="3"/>
  <c r="K268" i="3"/>
  <c r="J268" i="3"/>
  <c r="H268" i="3"/>
  <c r="I268" i="3" s="1"/>
  <c r="G268" i="3"/>
  <c r="F268" i="3"/>
  <c r="D268" i="3" a="1"/>
  <c r="D268" i="3" s="1"/>
  <c r="C268" i="3" a="1"/>
  <c r="C268" i="3"/>
  <c r="B268" i="3" a="1"/>
  <c r="B268" i="3"/>
  <c r="M268" i="3" s="1" a="1"/>
  <c r="M268" i="3" s="1"/>
  <c r="N267" i="3" a="1"/>
  <c r="N267" i="3" s="1"/>
  <c r="L267" i="3"/>
  <c r="K267" i="3"/>
  <c r="I267" i="3"/>
  <c r="H267" i="3"/>
  <c r="J267" i="3" s="1"/>
  <c r="G267" i="3"/>
  <c r="F267" i="3"/>
  <c r="D267" i="3" a="1"/>
  <c r="D267" i="3"/>
  <c r="C267" i="3" a="1"/>
  <c r="C267" i="3"/>
  <c r="B267" i="3" a="1"/>
  <c r="B267" i="3" s="1"/>
  <c r="M267" i="3" s="1" a="1"/>
  <c r="M267" i="3" s="1"/>
  <c r="N266" i="3" a="1"/>
  <c r="N266" i="3"/>
  <c r="L266" i="3"/>
  <c r="K266" i="3"/>
  <c r="H266" i="3"/>
  <c r="J266" i="3" s="1"/>
  <c r="G266" i="3"/>
  <c r="F266" i="3"/>
  <c r="D266" i="3" a="1"/>
  <c r="D266" i="3" s="1"/>
  <c r="C266" i="3" a="1"/>
  <c r="C266" i="3" s="1"/>
  <c r="B266" i="3" a="1"/>
  <c r="B266" i="3"/>
  <c r="M266" i="3" s="1" a="1"/>
  <c r="M266" i="3" s="1"/>
  <c r="N265" i="3" a="1"/>
  <c r="N265" i="3"/>
  <c r="L265" i="3"/>
  <c r="K265" i="3"/>
  <c r="H265" i="3"/>
  <c r="J265" i="3" s="1"/>
  <c r="G265" i="3"/>
  <c r="F265" i="3"/>
  <c r="D265" i="3" a="1"/>
  <c r="D265" i="3"/>
  <c r="C265" i="3" a="1"/>
  <c r="C265" i="3" s="1"/>
  <c r="B265" i="3" a="1"/>
  <c r="B265" i="3" s="1"/>
  <c r="M265" i="3" s="1" a="1"/>
  <c r="M265" i="3" s="1"/>
  <c r="N264" i="3" a="1"/>
  <c r="N264" i="3"/>
  <c r="L264" i="3"/>
  <c r="K264" i="3"/>
  <c r="J264" i="3"/>
  <c r="I264" i="3"/>
  <c r="H264" i="3"/>
  <c r="G264" i="3"/>
  <c r="F264" i="3"/>
  <c r="D264" i="3" a="1"/>
  <c r="D264" i="3" s="1"/>
  <c r="C264" i="3" a="1"/>
  <c r="C264" i="3" s="1"/>
  <c r="B264" i="3" a="1"/>
  <c r="B264" i="3"/>
  <c r="M264" i="3" s="1" a="1"/>
  <c r="M264" i="3" s="1"/>
  <c r="N263" i="3" a="1"/>
  <c r="N263" i="3"/>
  <c r="L263" i="3"/>
  <c r="K263" i="3"/>
  <c r="I263" i="3"/>
  <c r="H263" i="3"/>
  <c r="J263" i="3" s="1"/>
  <c r="G263" i="3"/>
  <c r="F263" i="3"/>
  <c r="D263" i="3" a="1"/>
  <c r="D263" i="3"/>
  <c r="C263" i="3" a="1"/>
  <c r="C263" i="3"/>
  <c r="B263" i="3" a="1"/>
  <c r="B263" i="3" s="1"/>
  <c r="M263" i="3" s="1" a="1"/>
  <c r="M263" i="3" s="1"/>
  <c r="N262" i="3" a="1"/>
  <c r="N262" i="3" s="1"/>
  <c r="L262" i="3"/>
  <c r="K262" i="3"/>
  <c r="J262" i="3"/>
  <c r="H262" i="3"/>
  <c r="I262" i="3" s="1"/>
  <c r="G262" i="3"/>
  <c r="F262" i="3"/>
  <c r="D262" i="3" a="1"/>
  <c r="D262" i="3" s="1"/>
  <c r="C262" i="3" a="1"/>
  <c r="C262" i="3" s="1"/>
  <c r="B262" i="3" a="1"/>
  <c r="B262" i="3" s="1"/>
  <c r="M262" i="3" s="1" a="1"/>
  <c r="M262" i="3" s="1"/>
  <c r="N261" i="3" a="1"/>
  <c r="N261" i="3"/>
  <c r="L261" i="3"/>
  <c r="K261" i="3"/>
  <c r="H261" i="3"/>
  <c r="J261" i="3" s="1"/>
  <c r="G261" i="3"/>
  <c r="F261" i="3"/>
  <c r="D261" i="3" a="1"/>
  <c r="D261" i="3" s="1"/>
  <c r="C261" i="3" a="1"/>
  <c r="C261" i="3" s="1"/>
  <c r="B261" i="3" a="1"/>
  <c r="B261" i="3" s="1"/>
  <c r="M261" i="3" s="1" a="1"/>
  <c r="M261" i="3" s="1"/>
  <c r="N260" i="3" a="1"/>
  <c r="N260" i="3" s="1"/>
  <c r="L260" i="3"/>
  <c r="K260" i="3"/>
  <c r="J260" i="3"/>
  <c r="H260" i="3"/>
  <c r="I260" i="3" s="1"/>
  <c r="G260" i="3"/>
  <c r="F260" i="3"/>
  <c r="D260" i="3" a="1"/>
  <c r="D260" i="3" s="1"/>
  <c r="C260" i="3" a="1"/>
  <c r="C260" i="3"/>
  <c r="B260" i="3" a="1"/>
  <c r="B260" i="3"/>
  <c r="M260" i="3" s="1" a="1"/>
  <c r="M260" i="3" s="1"/>
  <c r="N259" i="3" a="1"/>
  <c r="N259" i="3"/>
  <c r="L259" i="3"/>
  <c r="K259" i="3"/>
  <c r="I259" i="3"/>
  <c r="H259" i="3"/>
  <c r="J259" i="3" s="1"/>
  <c r="G259" i="3"/>
  <c r="F259" i="3"/>
  <c r="D259" i="3" a="1"/>
  <c r="D259" i="3"/>
  <c r="C259" i="3" a="1"/>
  <c r="C259" i="3" s="1"/>
  <c r="B259" i="3" a="1"/>
  <c r="B259" i="3" s="1"/>
  <c r="M259" i="3" s="1" a="1"/>
  <c r="M259" i="3" s="1"/>
  <c r="N258" i="3" a="1"/>
  <c r="N258" i="3" s="1"/>
  <c r="M258" i="3" a="1"/>
  <c r="M258" i="3" s="1"/>
  <c r="L258" i="3"/>
  <c r="K258" i="3"/>
  <c r="H258" i="3"/>
  <c r="J258" i="3" s="1"/>
  <c r="G258" i="3"/>
  <c r="F258" i="3"/>
  <c r="D258" i="3" a="1"/>
  <c r="D258" i="3" s="1"/>
  <c r="C258" i="3" a="1"/>
  <c r="C258" i="3" s="1"/>
  <c r="B258" i="3" a="1"/>
  <c r="B258" i="3"/>
  <c r="N257" i="3" a="1"/>
  <c r="N257" i="3"/>
  <c r="L257" i="3"/>
  <c r="K257" i="3"/>
  <c r="J257" i="3"/>
  <c r="H257" i="3"/>
  <c r="G257" i="3"/>
  <c r="F257" i="3"/>
  <c r="D257" i="3" a="1"/>
  <c r="D257" i="3"/>
  <c r="C257" i="3" a="1"/>
  <c r="C257" i="3" s="1"/>
  <c r="B257" i="3" a="1"/>
  <c r="B257" i="3" s="1"/>
  <c r="M257" i="3" s="1" a="1"/>
  <c r="M257" i="3" s="1"/>
  <c r="N256" i="3" a="1"/>
  <c r="N256" i="3"/>
  <c r="L256" i="3"/>
  <c r="K256" i="3"/>
  <c r="H256" i="3"/>
  <c r="J256" i="3" s="1"/>
  <c r="G256" i="3"/>
  <c r="F256" i="3"/>
  <c r="D256" i="3" a="1"/>
  <c r="D256" i="3" s="1"/>
  <c r="C256" i="3" a="1"/>
  <c r="C256" i="3"/>
  <c r="B256" i="3" a="1"/>
  <c r="B256" i="3"/>
  <c r="M256" i="3" s="1" a="1"/>
  <c r="M256" i="3" s="1"/>
  <c r="N255" i="3" a="1"/>
  <c r="N255" i="3" s="1"/>
  <c r="L255" i="3"/>
  <c r="K255" i="3"/>
  <c r="J255" i="3"/>
  <c r="I255" i="3"/>
  <c r="H255" i="3"/>
  <c r="G255" i="3"/>
  <c r="F255" i="3"/>
  <c r="D255" i="3" a="1"/>
  <c r="D255" i="3"/>
  <c r="C255" i="3" a="1"/>
  <c r="C255" i="3"/>
  <c r="B255" i="3" a="1"/>
  <c r="B255" i="3" s="1"/>
  <c r="M255" i="3" s="1" a="1"/>
  <c r="M255" i="3" s="1"/>
  <c r="N254" i="3" a="1"/>
  <c r="N254" i="3" s="1"/>
  <c r="L254" i="3"/>
  <c r="K254" i="3"/>
  <c r="I254" i="3"/>
  <c r="H254" i="3"/>
  <c r="J254" i="3" s="1"/>
  <c r="G254" i="3"/>
  <c r="F254" i="3"/>
  <c r="D254" i="3" a="1"/>
  <c r="D254" i="3"/>
  <c r="C254" i="3" a="1"/>
  <c r="C254" i="3" s="1"/>
  <c r="B254" i="3" a="1"/>
  <c r="B254" i="3"/>
  <c r="M254" i="3" s="1" a="1"/>
  <c r="M254" i="3" s="1"/>
  <c r="N253" i="3" a="1"/>
  <c r="N253" i="3"/>
  <c r="L253" i="3"/>
  <c r="K253" i="3"/>
  <c r="J253" i="3"/>
  <c r="H253" i="3"/>
  <c r="G253" i="3"/>
  <c r="F253" i="3"/>
  <c r="D253" i="3" a="1"/>
  <c r="D253" i="3"/>
  <c r="C253" i="3" a="1"/>
  <c r="C253" i="3"/>
  <c r="B253" i="3" a="1"/>
  <c r="B253" i="3" s="1"/>
  <c r="M253" i="3" s="1" a="1"/>
  <c r="M253" i="3" s="1"/>
  <c r="N252" i="3" a="1"/>
  <c r="N252" i="3"/>
  <c r="L252" i="3"/>
  <c r="K252" i="3"/>
  <c r="H252" i="3"/>
  <c r="G252" i="3"/>
  <c r="F252" i="3"/>
  <c r="D252" i="3" a="1"/>
  <c r="D252" i="3" s="1"/>
  <c r="C252" i="3" a="1"/>
  <c r="C252" i="3" s="1"/>
  <c r="B252" i="3" a="1"/>
  <c r="B252" i="3"/>
  <c r="M252" i="3" s="1" a="1"/>
  <c r="M252" i="3" s="1"/>
  <c r="N251" i="3" a="1"/>
  <c r="N251" i="3"/>
  <c r="M251" i="3" a="1"/>
  <c r="M251" i="3" s="1"/>
  <c r="L251" i="3"/>
  <c r="K251" i="3"/>
  <c r="J251" i="3"/>
  <c r="I251" i="3"/>
  <c r="H251" i="3"/>
  <c r="G251" i="3"/>
  <c r="F251" i="3"/>
  <c r="D251" i="3" a="1"/>
  <c r="D251" i="3" s="1"/>
  <c r="C251" i="3" a="1"/>
  <c r="C251" i="3"/>
  <c r="B251" i="3" a="1"/>
  <c r="B251" i="3"/>
  <c r="N250" i="3" a="1"/>
  <c r="N250" i="3" s="1"/>
  <c r="L250" i="3"/>
  <c r="K250" i="3"/>
  <c r="H250" i="3"/>
  <c r="J250" i="3" s="1"/>
  <c r="G250" i="3"/>
  <c r="F250" i="3"/>
  <c r="D250" i="3" a="1"/>
  <c r="D250" i="3"/>
  <c r="C250" i="3" a="1"/>
  <c r="C250" i="3"/>
  <c r="B250" i="3" a="1"/>
  <c r="B250" i="3" s="1"/>
  <c r="M250" i="3" s="1" a="1"/>
  <c r="M250" i="3" s="1"/>
  <c r="N249" i="3" a="1"/>
  <c r="N249" i="3"/>
  <c r="L249" i="3"/>
  <c r="K249" i="3"/>
  <c r="J249" i="3"/>
  <c r="I249" i="3"/>
  <c r="H249" i="3"/>
  <c r="G249" i="3"/>
  <c r="F249" i="3"/>
  <c r="D249" i="3" a="1"/>
  <c r="D249" i="3" s="1"/>
  <c r="C249" i="3" a="1"/>
  <c r="C249" i="3" s="1"/>
  <c r="B249" i="3" a="1"/>
  <c r="B249" i="3"/>
  <c r="M249" i="3" s="1" a="1"/>
  <c r="M249" i="3" s="1"/>
  <c r="N248" i="3" a="1"/>
  <c r="N248" i="3"/>
  <c r="M248" i="3" a="1"/>
  <c r="M248" i="3" s="1"/>
  <c r="L248" i="3"/>
  <c r="K248" i="3"/>
  <c r="I248" i="3"/>
  <c r="H248" i="3"/>
  <c r="J248" i="3" s="1"/>
  <c r="G248" i="3"/>
  <c r="F248" i="3"/>
  <c r="D248" i="3" a="1"/>
  <c r="D248" i="3"/>
  <c r="C248" i="3" a="1"/>
  <c r="C248" i="3"/>
  <c r="B248" i="3" a="1"/>
  <c r="B248" i="3"/>
  <c r="N247" i="3" a="1"/>
  <c r="N247" i="3" s="1"/>
  <c r="L247" i="3"/>
  <c r="K247" i="3"/>
  <c r="J247" i="3"/>
  <c r="H247" i="3"/>
  <c r="I247" i="3" s="1"/>
  <c r="G247" i="3"/>
  <c r="F247" i="3"/>
  <c r="D247" i="3" a="1"/>
  <c r="D247" i="3" s="1"/>
  <c r="C247" i="3" a="1"/>
  <c r="C247" i="3" s="1"/>
  <c r="B247" i="3" a="1"/>
  <c r="B247" i="3" s="1"/>
  <c r="M247" i="3" s="1" a="1"/>
  <c r="M247" i="3" s="1"/>
  <c r="N246" i="3" a="1"/>
  <c r="N246" i="3"/>
  <c r="L246" i="3"/>
  <c r="K246" i="3"/>
  <c r="H246" i="3"/>
  <c r="J246" i="3" s="1"/>
  <c r="G246" i="3"/>
  <c r="F246" i="3"/>
  <c r="D246" i="3" a="1"/>
  <c r="D246" i="3" s="1"/>
  <c r="C246" i="3" a="1"/>
  <c r="C246" i="3" s="1"/>
  <c r="B246" i="3" a="1"/>
  <c r="B246" i="3" s="1"/>
  <c r="M246" i="3" s="1" a="1"/>
  <c r="M246" i="3" s="1"/>
  <c r="N245" i="3" a="1"/>
  <c r="N245" i="3" s="1"/>
  <c r="L245" i="3"/>
  <c r="K245" i="3"/>
  <c r="J245" i="3"/>
  <c r="H245" i="3"/>
  <c r="I245" i="3" s="1"/>
  <c r="G245" i="3"/>
  <c r="F245" i="3"/>
  <c r="D245" i="3" a="1"/>
  <c r="D245" i="3" s="1"/>
  <c r="C245" i="3" a="1"/>
  <c r="C245" i="3"/>
  <c r="B245" i="3" a="1"/>
  <c r="B245" i="3"/>
  <c r="M245" i="3" s="1" a="1"/>
  <c r="M245" i="3" s="1"/>
  <c r="N244" i="3" a="1"/>
  <c r="N244" i="3"/>
  <c r="L244" i="3"/>
  <c r="K244" i="3"/>
  <c r="I244" i="3"/>
  <c r="H244" i="3"/>
  <c r="J244" i="3" s="1"/>
  <c r="G244" i="3"/>
  <c r="F244" i="3"/>
  <c r="D244" i="3" a="1"/>
  <c r="D244" i="3"/>
  <c r="C244" i="3" a="1"/>
  <c r="C244" i="3" s="1"/>
  <c r="B244" i="3" a="1"/>
  <c r="B244" i="3" s="1"/>
  <c r="M244" i="3" s="1" a="1"/>
  <c r="M244" i="3" s="1"/>
  <c r="N243" i="3" a="1"/>
  <c r="N243" i="3" s="1"/>
  <c r="M243" i="3" a="1"/>
  <c r="M243" i="3" s="1"/>
  <c r="L243" i="3"/>
  <c r="K243" i="3"/>
  <c r="H243" i="3"/>
  <c r="J243" i="3" s="1"/>
  <c r="G243" i="3"/>
  <c r="F243" i="3"/>
  <c r="D243" i="3" a="1"/>
  <c r="D243" i="3" s="1"/>
  <c r="C243" i="3" a="1"/>
  <c r="C243" i="3" s="1"/>
  <c r="B243" i="3" a="1"/>
  <c r="B243" i="3"/>
  <c r="N242" i="3" a="1"/>
  <c r="N242" i="3"/>
  <c r="L242" i="3"/>
  <c r="K242" i="3"/>
  <c r="J242" i="3"/>
  <c r="H242" i="3"/>
  <c r="G242" i="3"/>
  <c r="F242" i="3"/>
  <c r="D242" i="3" a="1"/>
  <c r="D242" i="3"/>
  <c r="C242" i="3" a="1"/>
  <c r="C242" i="3" s="1"/>
  <c r="B242" i="3" a="1"/>
  <c r="B242" i="3" s="1"/>
  <c r="M242" i="3" s="1" a="1"/>
  <c r="M242" i="3" s="1"/>
  <c r="N241" i="3" a="1"/>
  <c r="N241" i="3"/>
  <c r="L241" i="3"/>
  <c r="K241" i="3"/>
  <c r="H241" i="3"/>
  <c r="G241" i="3"/>
  <c r="F241" i="3"/>
  <c r="D241" i="3" a="1"/>
  <c r="D241" i="3" s="1"/>
  <c r="C241" i="3" a="1"/>
  <c r="C241" i="3"/>
  <c r="B241" i="3" a="1"/>
  <c r="B241" i="3"/>
  <c r="M241" i="3" s="1" a="1"/>
  <c r="M241" i="3" s="1"/>
  <c r="N240" i="3" a="1"/>
  <c r="N240" i="3" s="1"/>
  <c r="L240" i="3"/>
  <c r="K240" i="3"/>
  <c r="J240" i="3"/>
  <c r="H240" i="3"/>
  <c r="I240" i="3" s="1"/>
  <c r="G240" i="3"/>
  <c r="F240" i="3"/>
  <c r="D240" i="3" a="1"/>
  <c r="D240" i="3"/>
  <c r="C240" i="3" a="1"/>
  <c r="C240" i="3"/>
  <c r="B240" i="3" a="1"/>
  <c r="B240" i="3" s="1"/>
  <c r="M240" i="3" s="1" a="1"/>
  <c r="M240" i="3" s="1"/>
  <c r="N239" i="3" a="1"/>
  <c r="N239" i="3" s="1"/>
  <c r="L239" i="3"/>
  <c r="K239" i="3"/>
  <c r="I239" i="3"/>
  <c r="H239" i="3"/>
  <c r="J239" i="3" s="1"/>
  <c r="G239" i="3"/>
  <c r="F239" i="3"/>
  <c r="D239" i="3" a="1"/>
  <c r="D239" i="3"/>
  <c r="C239" i="3" a="1"/>
  <c r="C239" i="3" s="1"/>
  <c r="B239" i="3" a="1"/>
  <c r="B239" i="3"/>
  <c r="M239" i="3" s="1" a="1"/>
  <c r="M239" i="3" s="1"/>
  <c r="N238" i="3" a="1"/>
  <c r="N238" i="3"/>
  <c r="L238" i="3"/>
  <c r="K238" i="3"/>
  <c r="J238" i="3"/>
  <c r="H238" i="3"/>
  <c r="G238" i="3"/>
  <c r="F238" i="3"/>
  <c r="D238" i="3" a="1"/>
  <c r="D238" i="3"/>
  <c r="C238" i="3" a="1"/>
  <c r="C238" i="3"/>
  <c r="B238" i="3" a="1"/>
  <c r="B238" i="3" s="1"/>
  <c r="M238" i="3" s="1" a="1"/>
  <c r="M238" i="3" s="1"/>
  <c r="N237" i="3" a="1"/>
  <c r="N237" i="3"/>
  <c r="L237" i="3"/>
  <c r="K237" i="3"/>
  <c r="H237" i="3"/>
  <c r="G237" i="3"/>
  <c r="F237" i="3"/>
  <c r="D237" i="3" a="1"/>
  <c r="D237" i="3"/>
  <c r="C237" i="3" a="1"/>
  <c r="C237" i="3" s="1"/>
  <c r="B237" i="3" a="1"/>
  <c r="B237" i="3"/>
  <c r="M237" i="3" s="1" a="1"/>
  <c r="M237" i="3" s="1"/>
  <c r="N236" i="3" a="1"/>
  <c r="N236" i="3"/>
  <c r="M236" i="3" a="1"/>
  <c r="M236" i="3" s="1"/>
  <c r="L236" i="3"/>
  <c r="K236" i="3"/>
  <c r="J236" i="3"/>
  <c r="I236" i="3"/>
  <c r="H236" i="3"/>
  <c r="G236" i="3"/>
  <c r="F236" i="3"/>
  <c r="D236" i="3" a="1"/>
  <c r="D236" i="3" s="1"/>
  <c r="C236" i="3" a="1"/>
  <c r="C236" i="3"/>
  <c r="B236" i="3" a="1"/>
  <c r="B236" i="3"/>
  <c r="N235" i="3" a="1"/>
  <c r="N235" i="3" s="1"/>
  <c r="L235" i="3"/>
  <c r="K235" i="3"/>
  <c r="H235" i="3"/>
  <c r="J235" i="3" s="1"/>
  <c r="G235" i="3"/>
  <c r="F235" i="3"/>
  <c r="D235" i="3" a="1"/>
  <c r="D235" i="3"/>
  <c r="C235" i="3" a="1"/>
  <c r="C235" i="3"/>
  <c r="B235" i="3" a="1"/>
  <c r="B235" i="3" s="1"/>
  <c r="M235" i="3" s="1" a="1"/>
  <c r="M235" i="3" s="1"/>
  <c r="N234" i="3" a="1"/>
  <c r="N234" i="3"/>
  <c r="L234" i="3"/>
  <c r="K234" i="3"/>
  <c r="J234" i="3"/>
  <c r="H234" i="3"/>
  <c r="G234" i="3"/>
  <c r="F234" i="3"/>
  <c r="D234" i="3" a="1"/>
  <c r="D234" i="3"/>
  <c r="C234" i="3" a="1"/>
  <c r="C234" i="3"/>
  <c r="B234" i="3" a="1"/>
  <c r="B234" i="3"/>
  <c r="M234" i="3" s="1" a="1"/>
  <c r="M234" i="3" s="1"/>
  <c r="N233" i="3" a="1"/>
  <c r="N233" i="3" s="1"/>
  <c r="L233" i="3"/>
  <c r="K233" i="3"/>
  <c r="J233" i="3"/>
  <c r="H233" i="3"/>
  <c r="I233" i="3" s="1"/>
  <c r="G233" i="3"/>
  <c r="F233" i="3"/>
  <c r="D233" i="3" a="1"/>
  <c r="D233" i="3" s="1"/>
  <c r="C233" i="3" a="1"/>
  <c r="C233" i="3" s="1"/>
  <c r="B233" i="3" a="1"/>
  <c r="B233" i="3" s="1"/>
  <c r="M233" i="3" s="1" a="1"/>
  <c r="M233" i="3" s="1"/>
  <c r="N232" i="3" a="1"/>
  <c r="N232" i="3"/>
  <c r="L232" i="3"/>
  <c r="K232" i="3"/>
  <c r="J232" i="3"/>
  <c r="I232" i="3"/>
  <c r="H232" i="3"/>
  <c r="G232" i="3"/>
  <c r="F232" i="3"/>
  <c r="D232" i="3" a="1"/>
  <c r="D232" i="3"/>
  <c r="C232" i="3" a="1"/>
  <c r="C232" i="3"/>
  <c r="B232" i="3" a="1"/>
  <c r="B232" i="3"/>
  <c r="M232" i="3" s="1" a="1"/>
  <c r="M232" i="3" s="1"/>
  <c r="N231" i="3" a="1"/>
  <c r="N231" i="3"/>
  <c r="L231" i="3"/>
  <c r="K231" i="3"/>
  <c r="H231" i="3"/>
  <c r="G231" i="3"/>
  <c r="F231" i="3"/>
  <c r="D231" i="3" a="1"/>
  <c r="D231" i="3" s="1"/>
  <c r="C231" i="3" a="1"/>
  <c r="C231" i="3" s="1"/>
  <c r="B231" i="3" a="1"/>
  <c r="B231" i="3" s="1"/>
  <c r="M231" i="3" s="1" a="1"/>
  <c r="M231" i="3" s="1"/>
  <c r="N230" i="3" a="1"/>
  <c r="N230" i="3" s="1"/>
  <c r="L230" i="3"/>
  <c r="K230" i="3"/>
  <c r="J230" i="3"/>
  <c r="H230" i="3"/>
  <c r="G230" i="3"/>
  <c r="F230" i="3"/>
  <c r="D230" i="3" a="1"/>
  <c r="D230" i="3"/>
  <c r="C230" i="3" a="1"/>
  <c r="C230" i="3" s="1"/>
  <c r="B230" i="3" a="1"/>
  <c r="B230" i="3" s="1"/>
  <c r="M230" i="3" s="1" a="1"/>
  <c r="M230" i="3" s="1"/>
  <c r="N229" i="3" a="1"/>
  <c r="N229" i="3" s="1"/>
  <c r="M229" i="3" a="1"/>
  <c r="M229" i="3" s="1"/>
  <c r="L229" i="3"/>
  <c r="K229" i="3"/>
  <c r="H229" i="3"/>
  <c r="G229" i="3"/>
  <c r="F229" i="3"/>
  <c r="D229" i="3" a="1"/>
  <c r="D229" i="3" s="1"/>
  <c r="C229" i="3" a="1"/>
  <c r="C229" i="3" s="1"/>
  <c r="B229" i="3" a="1"/>
  <c r="B229" i="3"/>
  <c r="N228" i="3" a="1"/>
  <c r="N228" i="3"/>
  <c r="L228" i="3"/>
  <c r="K228" i="3"/>
  <c r="J228" i="3"/>
  <c r="H228" i="3"/>
  <c r="I228" i="3" s="1"/>
  <c r="G228" i="3"/>
  <c r="F228" i="3"/>
  <c r="D228" i="3" a="1"/>
  <c r="D228" i="3"/>
  <c r="C228" i="3" a="1"/>
  <c r="C228" i="3"/>
  <c r="B228" i="3" a="1"/>
  <c r="B228" i="3" s="1"/>
  <c r="M228" i="3" s="1" a="1"/>
  <c r="M228" i="3" s="1"/>
  <c r="N227" i="3" a="1"/>
  <c r="N227" i="3" s="1"/>
  <c r="L227" i="3"/>
  <c r="K227" i="3"/>
  <c r="J227" i="3"/>
  <c r="I227" i="3"/>
  <c r="H227" i="3"/>
  <c r="G227" i="3"/>
  <c r="F227" i="3"/>
  <c r="D227" i="3" a="1"/>
  <c r="D227" i="3"/>
  <c r="C227" i="3" a="1"/>
  <c r="C227" i="3" s="1"/>
  <c r="B227" i="3" a="1"/>
  <c r="B227" i="3" s="1"/>
  <c r="M227" i="3" s="1" a="1"/>
  <c r="M227" i="3" s="1"/>
  <c r="N226" i="3" a="1"/>
  <c r="N226" i="3"/>
  <c r="M226" i="3"/>
  <c r="L226" i="3"/>
  <c r="K226" i="3"/>
  <c r="H226" i="3"/>
  <c r="J226" i="3" s="1"/>
  <c r="G226" i="3"/>
  <c r="F226" i="3"/>
  <c r="D226" i="3" a="1"/>
  <c r="D226" i="3"/>
  <c r="C226" i="3" a="1"/>
  <c r="C226" i="3"/>
  <c r="B226" i="3" a="1"/>
  <c r="B226" i="3" s="1"/>
  <c r="M226" i="3" s="1" a="1"/>
  <c r="N225" i="3" a="1"/>
  <c r="N225" i="3" s="1"/>
  <c r="L225" i="3"/>
  <c r="K225" i="3"/>
  <c r="I225" i="3"/>
  <c r="H225" i="3"/>
  <c r="J225" i="3" s="1"/>
  <c r="G225" i="3"/>
  <c r="F225" i="3"/>
  <c r="D225" i="3" a="1"/>
  <c r="D225" i="3"/>
  <c r="C225" i="3" a="1"/>
  <c r="C225" i="3" s="1"/>
  <c r="B225" i="3" a="1"/>
  <c r="B225" i="3"/>
  <c r="M225" i="3" s="1" a="1"/>
  <c r="M225" i="3" s="1"/>
  <c r="N224" i="3" a="1"/>
  <c r="N224" i="3"/>
  <c r="L224" i="3"/>
  <c r="K224" i="3"/>
  <c r="H224" i="3"/>
  <c r="I224" i="3" s="1"/>
  <c r="G224" i="3"/>
  <c r="F224" i="3"/>
  <c r="D224" i="3" a="1"/>
  <c r="D224" i="3" s="1"/>
  <c r="C224" i="3" a="1"/>
  <c r="C224" i="3"/>
  <c r="B224" i="3" a="1"/>
  <c r="B224" i="3"/>
  <c r="M224" i="3" s="1" a="1"/>
  <c r="M224" i="3" s="1"/>
  <c r="N223" i="3" a="1"/>
  <c r="N223" i="3" s="1"/>
  <c r="L223" i="3"/>
  <c r="K223" i="3"/>
  <c r="I223" i="3"/>
  <c r="H223" i="3"/>
  <c r="J223" i="3" s="1"/>
  <c r="G223" i="3"/>
  <c r="F223" i="3"/>
  <c r="D223" i="3" a="1"/>
  <c r="D223" i="3"/>
  <c r="C223" i="3" a="1"/>
  <c r="C223" i="3"/>
  <c r="B223" i="3" a="1"/>
  <c r="B223" i="3" s="1"/>
  <c r="M223" i="3" s="1" a="1"/>
  <c r="M223" i="3" s="1"/>
  <c r="N222" i="3" a="1"/>
  <c r="N222" i="3"/>
  <c r="M222" i="3" a="1"/>
  <c r="M222" i="3"/>
  <c r="L222" i="3"/>
  <c r="K222" i="3"/>
  <c r="J222" i="3"/>
  <c r="H222" i="3"/>
  <c r="G222" i="3"/>
  <c r="F222" i="3"/>
  <c r="D222" i="3" a="1"/>
  <c r="D222" i="3" s="1"/>
  <c r="C222" i="3" a="1"/>
  <c r="C222" i="3"/>
  <c r="B222" i="3" a="1"/>
  <c r="B222" i="3"/>
  <c r="N221" i="3" a="1"/>
  <c r="N221" i="3" s="1"/>
  <c r="M221" i="3"/>
  <c r="L221" i="3"/>
  <c r="K221" i="3"/>
  <c r="H221" i="3"/>
  <c r="J221" i="3" s="1"/>
  <c r="G221" i="3"/>
  <c r="F221" i="3"/>
  <c r="D221" i="3" a="1"/>
  <c r="D221" i="3"/>
  <c r="C221" i="3" a="1"/>
  <c r="C221" i="3"/>
  <c r="B221" i="3" a="1"/>
  <c r="B221" i="3" s="1"/>
  <c r="M221" i="3" s="1" a="1"/>
  <c r="N220" i="3" a="1"/>
  <c r="N220" i="3"/>
  <c r="L220" i="3"/>
  <c r="K220" i="3"/>
  <c r="J220" i="3"/>
  <c r="I220" i="3"/>
  <c r="H220" i="3"/>
  <c r="G220" i="3"/>
  <c r="F220" i="3"/>
  <c r="D220" i="3" a="1"/>
  <c r="D220" i="3" s="1"/>
  <c r="C220" i="3" a="1"/>
  <c r="C220" i="3" s="1"/>
  <c r="B220" i="3" a="1"/>
  <c r="B220" i="3"/>
  <c r="M220" i="3" s="1" a="1"/>
  <c r="M220" i="3" s="1"/>
  <c r="N219" i="3" a="1"/>
  <c r="N219" i="3"/>
  <c r="M219" i="3" a="1"/>
  <c r="M219" i="3" s="1"/>
  <c r="L219" i="3"/>
  <c r="K219" i="3"/>
  <c r="J219" i="3"/>
  <c r="I219" i="3"/>
  <c r="H219" i="3"/>
  <c r="G219" i="3"/>
  <c r="F219" i="3"/>
  <c r="D219" i="3" a="1"/>
  <c r="D219" i="3"/>
  <c r="C219" i="3" a="1"/>
  <c r="C219" i="3"/>
  <c r="B219" i="3" a="1"/>
  <c r="B219" i="3"/>
  <c r="N218" i="3" a="1"/>
  <c r="N218" i="3" s="1"/>
  <c r="L218" i="3"/>
  <c r="K218" i="3"/>
  <c r="J218" i="3"/>
  <c r="H218" i="3"/>
  <c r="G218" i="3"/>
  <c r="F218" i="3"/>
  <c r="D218" i="3" a="1"/>
  <c r="D218" i="3"/>
  <c r="C218" i="3" a="1"/>
  <c r="C218" i="3"/>
  <c r="B218" i="3" a="1"/>
  <c r="B218" i="3"/>
  <c r="M218" i="3" s="1" a="1"/>
  <c r="M218" i="3" s="1"/>
  <c r="N217" i="3" a="1"/>
  <c r="N217" i="3"/>
  <c r="L217" i="3"/>
  <c r="K217" i="3"/>
  <c r="H217" i="3"/>
  <c r="G217" i="3"/>
  <c r="F217" i="3"/>
  <c r="D217" i="3" a="1"/>
  <c r="D217" i="3" s="1"/>
  <c r="C217" i="3" a="1"/>
  <c r="C217" i="3" s="1"/>
  <c r="B217" i="3" a="1"/>
  <c r="B217" i="3" s="1"/>
  <c r="M217" i="3" s="1" a="1"/>
  <c r="M217" i="3" s="1"/>
  <c r="N216" i="3" a="1"/>
  <c r="N216" i="3" s="1"/>
  <c r="M216" i="3"/>
  <c r="L216" i="3"/>
  <c r="K216" i="3"/>
  <c r="J216" i="3"/>
  <c r="H216" i="3"/>
  <c r="I216" i="3" s="1"/>
  <c r="G216" i="3"/>
  <c r="F216" i="3"/>
  <c r="D216" i="3" a="1"/>
  <c r="D216" i="3" s="1"/>
  <c r="C216" i="3" a="1"/>
  <c r="C216" i="3"/>
  <c r="B216" i="3" a="1"/>
  <c r="B216" i="3"/>
  <c r="M216" i="3" s="1" a="1"/>
  <c r="N215" i="3" a="1"/>
  <c r="N215" i="3"/>
  <c r="L215" i="3"/>
  <c r="K215" i="3"/>
  <c r="I215" i="3"/>
  <c r="H215" i="3"/>
  <c r="J215" i="3" s="1"/>
  <c r="G215" i="3"/>
  <c r="F215" i="3"/>
  <c r="D215" i="3" a="1"/>
  <c r="D215" i="3"/>
  <c r="C215" i="3" a="1"/>
  <c r="C215" i="3" s="1"/>
  <c r="B215" i="3" a="1"/>
  <c r="B215" i="3" s="1"/>
  <c r="M215" i="3" s="1" a="1"/>
  <c r="M215" i="3" s="1"/>
  <c r="N214" i="3" a="1"/>
  <c r="N214" i="3" s="1"/>
  <c r="M214" i="3" a="1"/>
  <c r="M214" i="3" s="1"/>
  <c r="L214" i="3"/>
  <c r="K214" i="3"/>
  <c r="H214" i="3"/>
  <c r="J214" i="3" s="1"/>
  <c r="G214" i="3"/>
  <c r="F214" i="3"/>
  <c r="D214" i="3" a="1"/>
  <c r="D214" i="3"/>
  <c r="C214" i="3" a="1"/>
  <c r="C214" i="3"/>
  <c r="B214" i="3" a="1"/>
  <c r="B214" i="3" s="1"/>
  <c r="N213" i="3" a="1"/>
  <c r="N213" i="3" s="1"/>
  <c r="M213" i="3" a="1"/>
  <c r="M213" i="3" s="1"/>
  <c r="L213" i="3"/>
  <c r="K213" i="3"/>
  <c r="J213" i="3"/>
  <c r="I213" i="3"/>
  <c r="H213" i="3"/>
  <c r="G213" i="3"/>
  <c r="F213" i="3"/>
  <c r="D213" i="3" a="1"/>
  <c r="D213" i="3"/>
  <c r="C213" i="3" a="1"/>
  <c r="C213" i="3" s="1"/>
  <c r="B213" i="3" a="1"/>
  <c r="B213" i="3" s="1"/>
  <c r="N212" i="3" a="1"/>
  <c r="N212" i="3"/>
  <c r="L212" i="3"/>
  <c r="K212" i="3"/>
  <c r="H212" i="3"/>
  <c r="G212" i="3"/>
  <c r="F212" i="3"/>
  <c r="D212" i="3" a="1"/>
  <c r="D212" i="3" s="1"/>
  <c r="C212" i="3" a="1"/>
  <c r="C212" i="3"/>
  <c r="B212" i="3" a="1"/>
  <c r="B212" i="3"/>
  <c r="M212" i="3" s="1" a="1"/>
  <c r="M212" i="3" s="1"/>
  <c r="N211" i="3" a="1"/>
  <c r="N211" i="3" s="1"/>
  <c r="L211" i="3"/>
  <c r="K211" i="3"/>
  <c r="J211" i="3"/>
  <c r="H211" i="3"/>
  <c r="I211" i="3" s="1"/>
  <c r="G211" i="3"/>
  <c r="F211" i="3"/>
  <c r="D211" i="3" a="1"/>
  <c r="D211" i="3"/>
  <c r="C211" i="3" a="1"/>
  <c r="C211" i="3"/>
  <c r="B211" i="3" a="1"/>
  <c r="B211" i="3" s="1"/>
  <c r="M211" i="3" s="1" a="1"/>
  <c r="M211" i="3" s="1"/>
  <c r="N210" i="3" a="1"/>
  <c r="N210" i="3" s="1"/>
  <c r="L210" i="3"/>
  <c r="K210" i="3"/>
  <c r="J210" i="3"/>
  <c r="I210" i="3"/>
  <c r="H210" i="3"/>
  <c r="G210" i="3"/>
  <c r="F210" i="3"/>
  <c r="D210" i="3" a="1"/>
  <c r="D210" i="3"/>
  <c r="C210" i="3" a="1"/>
  <c r="C210" i="3" s="1"/>
  <c r="B210" i="3" a="1"/>
  <c r="B210" i="3" s="1"/>
  <c r="M210" i="3" s="1" a="1"/>
  <c r="M210" i="3" s="1"/>
  <c r="N209" i="3" a="1"/>
  <c r="N209" i="3"/>
  <c r="L209" i="3"/>
  <c r="K209" i="3"/>
  <c r="J209" i="3"/>
  <c r="H209" i="3"/>
  <c r="I209" i="3" s="1"/>
  <c r="G209" i="3"/>
  <c r="F209" i="3"/>
  <c r="D209" i="3" a="1"/>
  <c r="D209" i="3" s="1"/>
  <c r="C209" i="3" a="1"/>
  <c r="C209" i="3"/>
  <c r="B209" i="3" a="1"/>
  <c r="B209" i="3"/>
  <c r="M209" i="3" s="1" a="1"/>
  <c r="M209" i="3" s="1"/>
  <c r="N208" i="3" a="1"/>
  <c r="N208" i="3" s="1"/>
  <c r="M208" i="3" a="1"/>
  <c r="M208" i="3" s="1"/>
  <c r="L208" i="3"/>
  <c r="K208" i="3"/>
  <c r="I208" i="3"/>
  <c r="H208" i="3"/>
  <c r="J208" i="3" s="1"/>
  <c r="G208" i="3"/>
  <c r="F208" i="3"/>
  <c r="D208" i="3" a="1"/>
  <c r="D208" i="3"/>
  <c r="C208" i="3" a="1"/>
  <c r="C208" i="3"/>
  <c r="B208" i="3" a="1"/>
  <c r="B208" i="3" s="1"/>
  <c r="N207" i="3" a="1"/>
  <c r="N207" i="3" s="1"/>
  <c r="M207" i="3" a="1"/>
  <c r="M207" i="3"/>
  <c r="L207" i="3"/>
  <c r="K207" i="3"/>
  <c r="J207" i="3"/>
  <c r="H207" i="3"/>
  <c r="G207" i="3"/>
  <c r="F207" i="3"/>
  <c r="D207" i="3" a="1"/>
  <c r="D207" i="3" s="1"/>
  <c r="C207" i="3" a="1"/>
  <c r="C207" i="3"/>
  <c r="B207" i="3" a="1"/>
  <c r="B207" i="3"/>
  <c r="N206" i="3" a="1"/>
  <c r="N206" i="3" s="1"/>
  <c r="L206" i="3"/>
  <c r="K206" i="3"/>
  <c r="H206" i="3"/>
  <c r="J206" i="3" s="1"/>
  <c r="G206" i="3"/>
  <c r="F206" i="3"/>
  <c r="D206" i="3" a="1"/>
  <c r="D206" i="3"/>
  <c r="C206" i="3" a="1"/>
  <c r="C206" i="3"/>
  <c r="B206" i="3" a="1"/>
  <c r="B206" i="3" s="1"/>
  <c r="M206" i="3" s="1" a="1"/>
  <c r="M206" i="3" s="1"/>
  <c r="N205" i="3" a="1"/>
  <c r="N205" i="3"/>
  <c r="L205" i="3"/>
  <c r="K205" i="3"/>
  <c r="J205" i="3"/>
  <c r="I205" i="3"/>
  <c r="H205" i="3"/>
  <c r="G205" i="3"/>
  <c r="F205" i="3"/>
  <c r="D205" i="3" a="1"/>
  <c r="D205" i="3" s="1"/>
  <c r="C205" i="3" a="1"/>
  <c r="C205" i="3" s="1"/>
  <c r="B205" i="3" a="1"/>
  <c r="B205" i="3"/>
  <c r="M205" i="3" s="1" a="1"/>
  <c r="M205" i="3" s="1"/>
  <c r="N204" i="3" a="1"/>
  <c r="N204" i="3"/>
  <c r="M204" i="3" a="1"/>
  <c r="M204" i="3" s="1"/>
  <c r="L204" i="3"/>
  <c r="K204" i="3"/>
  <c r="J204" i="3"/>
  <c r="I204" i="3"/>
  <c r="H204" i="3"/>
  <c r="G204" i="3"/>
  <c r="F204" i="3"/>
  <c r="D204" i="3" a="1"/>
  <c r="D204" i="3"/>
  <c r="C204" i="3" a="1"/>
  <c r="C204" i="3"/>
  <c r="B204" i="3" a="1"/>
  <c r="B204" i="3"/>
  <c r="N203" i="3" a="1"/>
  <c r="N203" i="3" s="1"/>
  <c r="M203" i="3"/>
  <c r="L203" i="3"/>
  <c r="K203" i="3"/>
  <c r="J203" i="3"/>
  <c r="H203" i="3"/>
  <c r="G203" i="3"/>
  <c r="F203" i="3"/>
  <c r="D203" i="3" a="1"/>
  <c r="D203" i="3"/>
  <c r="C203" i="3" a="1"/>
  <c r="C203" i="3"/>
  <c r="B203" i="3" a="1"/>
  <c r="B203" i="3"/>
  <c r="M203" i="3" s="1" a="1"/>
  <c r="N202" i="3" a="1"/>
  <c r="N202" i="3"/>
  <c r="M202" i="3" a="1"/>
  <c r="M202" i="3" s="1"/>
  <c r="L202" i="3"/>
  <c r="K202" i="3"/>
  <c r="H202" i="3"/>
  <c r="J202" i="3" s="1"/>
  <c r="G202" i="3"/>
  <c r="F202" i="3"/>
  <c r="D202" i="3" a="1"/>
  <c r="D202" i="3" s="1"/>
  <c r="C202" i="3" a="1"/>
  <c r="C202" i="3" s="1"/>
  <c r="B202" i="3" a="1"/>
  <c r="B202" i="3" s="1"/>
  <c r="N201" i="3" a="1"/>
  <c r="N201" i="3" s="1"/>
  <c r="M201" i="3"/>
  <c r="L201" i="3"/>
  <c r="K201" i="3"/>
  <c r="J201" i="3"/>
  <c r="H201" i="3"/>
  <c r="I201" i="3" s="1"/>
  <c r="G201" i="3"/>
  <c r="F201" i="3"/>
  <c r="D201" i="3" a="1"/>
  <c r="D201" i="3" s="1"/>
  <c r="C201" i="3" a="1"/>
  <c r="C201" i="3"/>
  <c r="B201" i="3" a="1"/>
  <c r="B201" i="3"/>
  <c r="M201" i="3" s="1" a="1"/>
  <c r="N200" i="3" a="1"/>
  <c r="N200" i="3"/>
  <c r="L200" i="3"/>
  <c r="K200" i="3"/>
  <c r="I200" i="3"/>
  <c r="H200" i="3"/>
  <c r="J200" i="3" s="1"/>
  <c r="G200" i="3"/>
  <c r="F200" i="3"/>
  <c r="D200" i="3" a="1"/>
  <c r="D200" i="3"/>
  <c r="C200" i="3" a="1"/>
  <c r="C200" i="3" s="1"/>
  <c r="B200" i="3" a="1"/>
  <c r="B200" i="3" s="1"/>
  <c r="M200" i="3" s="1" a="1"/>
  <c r="M200" i="3" s="1"/>
  <c r="N199" i="3" a="1"/>
  <c r="N199" i="3" s="1"/>
  <c r="M199" i="3" a="1"/>
  <c r="M199" i="3" s="1"/>
  <c r="L199" i="3"/>
  <c r="K199" i="3"/>
  <c r="H199" i="3"/>
  <c r="J199" i="3" s="1"/>
  <c r="G199" i="3"/>
  <c r="F199" i="3"/>
  <c r="D199" i="3" a="1"/>
  <c r="D199" i="3" s="1"/>
  <c r="C199" i="3" a="1"/>
  <c r="C199" i="3"/>
  <c r="B199" i="3" a="1"/>
  <c r="B199" i="3" s="1"/>
  <c r="N198" i="3" a="1"/>
  <c r="N198" i="3" s="1"/>
  <c r="M198" i="3" a="1"/>
  <c r="M198" i="3" s="1"/>
  <c r="L198" i="3"/>
  <c r="K198" i="3"/>
  <c r="J198" i="3"/>
  <c r="I198" i="3"/>
  <c r="H198" i="3"/>
  <c r="G198" i="3"/>
  <c r="F198" i="3"/>
  <c r="D198" i="3" a="1"/>
  <c r="D198" i="3"/>
  <c r="C198" i="3" a="1"/>
  <c r="C198" i="3" s="1"/>
  <c r="B198" i="3" a="1"/>
  <c r="B198" i="3" s="1"/>
  <c r="N197" i="3" a="1"/>
  <c r="N197" i="3"/>
  <c r="L197" i="3"/>
  <c r="K197" i="3"/>
  <c r="H197" i="3"/>
  <c r="G197" i="3"/>
  <c r="F197" i="3"/>
  <c r="D197" i="3" a="1"/>
  <c r="D197" i="3" s="1"/>
  <c r="C197" i="3" a="1"/>
  <c r="C197" i="3"/>
  <c r="B197" i="3" a="1"/>
  <c r="B197" i="3"/>
  <c r="M197" i="3" s="1" a="1"/>
  <c r="M197" i="3" s="1"/>
  <c r="N196" i="3" a="1"/>
  <c r="N196" i="3" s="1"/>
  <c r="L196" i="3"/>
  <c r="K196" i="3"/>
  <c r="J196" i="3"/>
  <c r="H196" i="3"/>
  <c r="I196" i="3" s="1"/>
  <c r="G196" i="3"/>
  <c r="F196" i="3"/>
  <c r="D196" i="3" a="1"/>
  <c r="D196" i="3"/>
  <c r="C196" i="3" a="1"/>
  <c r="C196" i="3"/>
  <c r="B196" i="3" a="1"/>
  <c r="B196" i="3" s="1"/>
  <c r="M196" i="3" s="1" a="1"/>
  <c r="M196" i="3" s="1"/>
  <c r="N195" i="3" a="1"/>
  <c r="N195" i="3" s="1"/>
  <c r="L195" i="3"/>
  <c r="K195" i="3"/>
  <c r="H195" i="3"/>
  <c r="J195" i="3" s="1"/>
  <c r="G195" i="3"/>
  <c r="F195" i="3"/>
  <c r="D195" i="3" a="1"/>
  <c r="D195" i="3" s="1"/>
  <c r="C195" i="3" a="1"/>
  <c r="C195" i="3"/>
  <c r="B195" i="3" a="1"/>
  <c r="B195" i="3"/>
  <c r="M195" i="3" s="1" a="1"/>
  <c r="M195" i="3" s="1"/>
  <c r="N194" i="3" a="1"/>
  <c r="N194" i="3" s="1"/>
  <c r="L194" i="3"/>
  <c r="K194" i="3"/>
  <c r="I194" i="3"/>
  <c r="H194" i="3"/>
  <c r="J194" i="3" s="1"/>
  <c r="G194" i="3"/>
  <c r="F194" i="3"/>
  <c r="D194" i="3" a="1"/>
  <c r="D194" i="3"/>
  <c r="C194" i="3" a="1"/>
  <c r="C194" i="3"/>
  <c r="B194" i="3" a="1"/>
  <c r="B194" i="3" s="1"/>
  <c r="M194" i="3" s="1" a="1"/>
  <c r="M194" i="3" s="1"/>
  <c r="N193" i="3" a="1"/>
  <c r="N193" i="3"/>
  <c r="M193" i="3" a="1"/>
  <c r="M193" i="3"/>
  <c r="L193" i="3"/>
  <c r="K193" i="3"/>
  <c r="H193" i="3"/>
  <c r="G193" i="3"/>
  <c r="F193" i="3"/>
  <c r="D193" i="3" a="1"/>
  <c r="D193" i="3"/>
  <c r="C193" i="3" a="1"/>
  <c r="C193" i="3" s="1"/>
  <c r="B193" i="3" a="1"/>
  <c r="B193" i="3"/>
  <c r="N192" i="3" a="1"/>
  <c r="N192" i="3"/>
  <c r="M192" i="3" a="1"/>
  <c r="M192" i="3"/>
  <c r="L192" i="3"/>
  <c r="K192" i="3"/>
  <c r="J192" i="3"/>
  <c r="I192" i="3"/>
  <c r="H192" i="3"/>
  <c r="G192" i="3"/>
  <c r="F192" i="3"/>
  <c r="D192" i="3" a="1"/>
  <c r="D192" i="3" s="1"/>
  <c r="C192" i="3" a="1"/>
  <c r="C192" i="3"/>
  <c r="B192" i="3" a="1"/>
  <c r="B192" i="3"/>
  <c r="N191" i="3" a="1"/>
  <c r="N191" i="3" s="1"/>
  <c r="M191" i="3" a="1"/>
  <c r="M191" i="3" s="1"/>
  <c r="L191" i="3"/>
  <c r="K191" i="3"/>
  <c r="J191" i="3"/>
  <c r="H191" i="3"/>
  <c r="G191" i="3"/>
  <c r="F191" i="3"/>
  <c r="D191" i="3" a="1"/>
  <c r="D191" i="3" s="1"/>
  <c r="C191" i="3" a="1"/>
  <c r="C191" i="3" s="1"/>
  <c r="B191" i="3" a="1"/>
  <c r="B191" i="3"/>
  <c r="N190" i="3" a="1"/>
  <c r="N190" i="3"/>
  <c r="M190" i="3" a="1"/>
  <c r="M190" i="3" s="1"/>
  <c r="L190" i="3"/>
  <c r="K190" i="3"/>
  <c r="J190" i="3"/>
  <c r="I190" i="3"/>
  <c r="H190" i="3"/>
  <c r="G190" i="3"/>
  <c r="F190" i="3"/>
  <c r="D190" i="3" a="1"/>
  <c r="D190" i="3"/>
  <c r="C190" i="3" a="1"/>
  <c r="C190" i="3"/>
  <c r="B190" i="3" a="1"/>
  <c r="B190" i="3"/>
  <c r="N189" i="3" a="1"/>
  <c r="N189" i="3" s="1"/>
  <c r="L189" i="3"/>
  <c r="K189" i="3"/>
  <c r="J189" i="3"/>
  <c r="I189" i="3"/>
  <c r="H189" i="3"/>
  <c r="G189" i="3"/>
  <c r="F189" i="3"/>
  <c r="D189" i="3" a="1"/>
  <c r="D189" i="3" s="1"/>
  <c r="C189" i="3" a="1"/>
  <c r="C189" i="3" s="1"/>
  <c r="B189" i="3" a="1"/>
  <c r="B189" i="3" s="1"/>
  <c r="M189" i="3" s="1" a="1"/>
  <c r="M189" i="3" s="1"/>
  <c r="N188" i="3" a="1"/>
  <c r="N188" i="3" s="1"/>
  <c r="L188" i="3"/>
  <c r="K188" i="3"/>
  <c r="J188" i="3"/>
  <c r="H188" i="3"/>
  <c r="I188" i="3" s="1"/>
  <c r="G188" i="3"/>
  <c r="F188" i="3"/>
  <c r="D188" i="3" a="1"/>
  <c r="D188" i="3"/>
  <c r="C188" i="3" a="1"/>
  <c r="C188" i="3"/>
  <c r="B188" i="3" a="1"/>
  <c r="B188" i="3"/>
  <c r="M188" i="3" s="1" a="1"/>
  <c r="M188" i="3" s="1"/>
  <c r="N187" i="3" a="1"/>
  <c r="N187" i="3"/>
  <c r="L187" i="3"/>
  <c r="K187" i="3"/>
  <c r="H187" i="3"/>
  <c r="J187" i="3" s="1"/>
  <c r="G187" i="3"/>
  <c r="F187" i="3"/>
  <c r="D187" i="3" a="1"/>
  <c r="D187" i="3" s="1"/>
  <c r="C187" i="3" a="1"/>
  <c r="C187" i="3"/>
  <c r="B187" i="3" a="1"/>
  <c r="B187" i="3"/>
  <c r="M187" i="3" s="1" a="1"/>
  <c r="M187" i="3" s="1"/>
  <c r="N186" i="3" a="1"/>
  <c r="N186" i="3"/>
  <c r="L186" i="3"/>
  <c r="K186" i="3"/>
  <c r="I186" i="3"/>
  <c r="H186" i="3"/>
  <c r="J186" i="3" s="1"/>
  <c r="G186" i="3"/>
  <c r="F186" i="3"/>
  <c r="D186" i="3" a="1"/>
  <c r="D186" i="3"/>
  <c r="C186" i="3" a="1"/>
  <c r="C186" i="3" s="1"/>
  <c r="B186" i="3" a="1"/>
  <c r="B186" i="3" s="1"/>
  <c r="M186" i="3" s="1" a="1"/>
  <c r="M186" i="3" s="1"/>
  <c r="N185" i="3" a="1"/>
  <c r="N185" i="3" s="1"/>
  <c r="M185" i="3" a="1"/>
  <c r="M185" i="3" s="1"/>
  <c r="L185" i="3"/>
  <c r="K185" i="3"/>
  <c r="H185" i="3"/>
  <c r="G185" i="3"/>
  <c r="F185" i="3"/>
  <c r="D185" i="3" a="1"/>
  <c r="D185" i="3" s="1"/>
  <c r="C185" i="3" a="1"/>
  <c r="C185" i="3" s="1"/>
  <c r="B185" i="3" a="1"/>
  <c r="B185" i="3"/>
  <c r="N184" i="3" a="1"/>
  <c r="N184" i="3"/>
  <c r="M184" i="3"/>
  <c r="L184" i="3"/>
  <c r="K184" i="3"/>
  <c r="J184" i="3"/>
  <c r="H184" i="3"/>
  <c r="I184" i="3" s="1"/>
  <c r="G184" i="3"/>
  <c r="F184" i="3"/>
  <c r="D184" i="3" a="1"/>
  <c r="D184" i="3"/>
  <c r="C184" i="3" a="1"/>
  <c r="C184" i="3" s="1"/>
  <c r="B184" i="3" a="1"/>
  <c r="B184" i="3" s="1"/>
  <c r="M184" i="3" s="1" a="1"/>
  <c r="N183" i="3" a="1"/>
  <c r="N183" i="3" s="1"/>
  <c r="L183" i="3"/>
  <c r="K183" i="3"/>
  <c r="H183" i="3"/>
  <c r="J183" i="3" s="1"/>
  <c r="G183" i="3"/>
  <c r="F183" i="3"/>
  <c r="D183" i="3" a="1"/>
  <c r="D183" i="3" s="1"/>
  <c r="C183" i="3" a="1"/>
  <c r="C183" i="3" s="1"/>
  <c r="B183" i="3" a="1"/>
  <c r="B183" i="3" s="1"/>
  <c r="M183" i="3" s="1" a="1"/>
  <c r="M183" i="3" s="1"/>
  <c r="N182" i="3" a="1"/>
  <c r="N182" i="3" s="1"/>
  <c r="L182" i="3"/>
  <c r="K182" i="3"/>
  <c r="J182" i="3"/>
  <c r="H182" i="3"/>
  <c r="I182" i="3" s="1"/>
  <c r="G182" i="3"/>
  <c r="F182" i="3"/>
  <c r="D182" i="3" a="1"/>
  <c r="D182" i="3"/>
  <c r="C182" i="3" a="1"/>
  <c r="C182" i="3"/>
  <c r="B182" i="3" a="1"/>
  <c r="B182" i="3" s="1"/>
  <c r="M182" i="3" s="1" a="1"/>
  <c r="M182" i="3" s="1"/>
  <c r="N181" i="3" a="1"/>
  <c r="N181" i="3" s="1"/>
  <c r="L181" i="3"/>
  <c r="K181" i="3"/>
  <c r="J181" i="3"/>
  <c r="I181" i="3"/>
  <c r="H181" i="3"/>
  <c r="G181" i="3"/>
  <c r="F181" i="3"/>
  <c r="D181" i="3" a="1"/>
  <c r="D181" i="3"/>
  <c r="C181" i="3" a="1"/>
  <c r="C181" i="3" s="1"/>
  <c r="B181" i="3" a="1"/>
  <c r="B181" i="3" s="1"/>
  <c r="M181" i="3" s="1" a="1"/>
  <c r="M181" i="3" s="1"/>
  <c r="N180" i="3" a="1"/>
  <c r="N180" i="3" s="1"/>
  <c r="L180" i="3"/>
  <c r="K180" i="3"/>
  <c r="J180" i="3"/>
  <c r="H180" i="3"/>
  <c r="I180" i="3" s="1"/>
  <c r="G180" i="3"/>
  <c r="F180" i="3"/>
  <c r="D180" i="3" a="1"/>
  <c r="D180" i="3" s="1"/>
  <c r="C180" i="3" a="1"/>
  <c r="C180" i="3"/>
  <c r="B180" i="3" a="1"/>
  <c r="B180" i="3"/>
  <c r="M180" i="3" s="1" a="1"/>
  <c r="M180" i="3" s="1"/>
  <c r="N179" i="3" a="1"/>
  <c r="N179" i="3"/>
  <c r="L179" i="3"/>
  <c r="K179" i="3"/>
  <c r="H179" i="3"/>
  <c r="J179" i="3" s="1"/>
  <c r="G179" i="3"/>
  <c r="F179" i="3"/>
  <c r="D179" i="3" a="1"/>
  <c r="D179" i="3"/>
  <c r="C179" i="3" a="1"/>
  <c r="C179" i="3" s="1"/>
  <c r="B179" i="3" a="1"/>
  <c r="B179" i="3"/>
  <c r="M179" i="3" s="1" a="1"/>
  <c r="M179" i="3" s="1"/>
  <c r="N178" i="3" a="1"/>
  <c r="N178" i="3"/>
  <c r="M178" i="3" a="1"/>
  <c r="M178" i="3" s="1"/>
  <c r="L178" i="3"/>
  <c r="K178" i="3"/>
  <c r="J178" i="3"/>
  <c r="I178" i="3"/>
  <c r="H178" i="3"/>
  <c r="G178" i="3"/>
  <c r="F178" i="3"/>
  <c r="D178" i="3" a="1"/>
  <c r="D178" i="3" s="1"/>
  <c r="C178" i="3" a="1"/>
  <c r="C178" i="3" s="1"/>
  <c r="B178" i="3" a="1"/>
  <c r="B178" i="3"/>
  <c r="N177" i="3" a="1"/>
  <c r="N177" i="3" s="1"/>
  <c r="L177" i="3"/>
  <c r="K177" i="3"/>
  <c r="H177" i="3"/>
  <c r="G177" i="3"/>
  <c r="F177" i="3"/>
  <c r="D177" i="3" a="1"/>
  <c r="D177" i="3"/>
  <c r="C177" i="3" a="1"/>
  <c r="C177" i="3"/>
  <c r="B177" i="3" a="1"/>
  <c r="B177" i="3" s="1"/>
  <c r="M177" i="3" s="1" a="1"/>
  <c r="M177" i="3" s="1"/>
  <c r="N176" i="3" a="1"/>
  <c r="N176" i="3"/>
  <c r="L176" i="3"/>
  <c r="K176" i="3"/>
  <c r="J176" i="3"/>
  <c r="I176" i="3"/>
  <c r="H176" i="3"/>
  <c r="G176" i="3"/>
  <c r="F176" i="3"/>
  <c r="D176" i="3" a="1"/>
  <c r="D176" i="3" s="1"/>
  <c r="C176" i="3" a="1"/>
  <c r="C176" i="3" s="1"/>
  <c r="B176" i="3" a="1"/>
  <c r="B176" i="3"/>
  <c r="M176" i="3" s="1" a="1"/>
  <c r="M176" i="3" s="1"/>
  <c r="N175" i="3" a="1"/>
  <c r="N175" i="3"/>
  <c r="M175" i="3" a="1"/>
  <c r="M175" i="3" s="1"/>
  <c r="L175" i="3"/>
  <c r="K175" i="3"/>
  <c r="J175" i="3"/>
  <c r="H175" i="3"/>
  <c r="G175" i="3"/>
  <c r="F175" i="3"/>
  <c r="D175" i="3" a="1"/>
  <c r="D175" i="3" s="1"/>
  <c r="C175" i="3" a="1"/>
  <c r="C175" i="3" s="1"/>
  <c r="B175" i="3" a="1"/>
  <c r="B175" i="3" s="1"/>
  <c r="N174" i="3" a="1"/>
  <c r="N174" i="3"/>
  <c r="L174" i="3"/>
  <c r="K174" i="3"/>
  <c r="I174" i="3"/>
  <c r="H174" i="3"/>
  <c r="J174" i="3" s="1"/>
  <c r="G174" i="3"/>
  <c r="F174" i="3"/>
  <c r="D174" i="3" a="1"/>
  <c r="D174" i="3"/>
  <c r="C174" i="3" a="1"/>
  <c r="C174" i="3"/>
  <c r="B174" i="3" a="1"/>
  <c r="B174" i="3"/>
  <c r="M174" i="3" s="1" a="1"/>
  <c r="M174" i="3" s="1"/>
  <c r="N173" i="3" a="1"/>
  <c r="N173" i="3"/>
  <c r="L173" i="3"/>
  <c r="K173" i="3"/>
  <c r="I173" i="3"/>
  <c r="H173" i="3"/>
  <c r="J173" i="3" s="1"/>
  <c r="G173" i="3"/>
  <c r="F173" i="3"/>
  <c r="D173" i="3" a="1"/>
  <c r="D173" i="3" s="1"/>
  <c r="C173" i="3" a="1"/>
  <c r="C173" i="3" s="1"/>
  <c r="B173" i="3" a="1"/>
  <c r="B173" i="3" s="1"/>
  <c r="M173" i="3" s="1" a="1"/>
  <c r="M173" i="3" s="1"/>
  <c r="N172" i="3" a="1"/>
  <c r="N172" i="3" s="1"/>
  <c r="L172" i="3"/>
  <c r="K172" i="3"/>
  <c r="H172" i="3"/>
  <c r="I172" i="3" s="1"/>
  <c r="G172" i="3"/>
  <c r="F172" i="3"/>
  <c r="D172" i="3" a="1"/>
  <c r="D172" i="3"/>
  <c r="C172" i="3" a="1"/>
  <c r="C172" i="3"/>
  <c r="B172" i="3" a="1"/>
  <c r="B172" i="3"/>
  <c r="M172" i="3" s="1" a="1"/>
  <c r="M172" i="3" s="1"/>
  <c r="N171" i="3" a="1"/>
  <c r="N171" i="3"/>
  <c r="L171" i="3"/>
  <c r="K171" i="3"/>
  <c r="I171" i="3"/>
  <c r="H171" i="3"/>
  <c r="J171" i="3" s="1"/>
  <c r="G171" i="3"/>
  <c r="F171" i="3"/>
  <c r="D171" i="3" a="1"/>
  <c r="D171" i="3" s="1"/>
  <c r="C171" i="3" a="1"/>
  <c r="C171" i="3" s="1"/>
  <c r="B171" i="3" a="1"/>
  <c r="B171" i="3" s="1"/>
  <c r="M171" i="3" s="1" a="1"/>
  <c r="M171" i="3" s="1"/>
  <c r="N170" i="3" a="1"/>
  <c r="N170" i="3" s="1"/>
  <c r="L170" i="3"/>
  <c r="K170" i="3"/>
  <c r="H170" i="3"/>
  <c r="G170" i="3"/>
  <c r="F170" i="3"/>
  <c r="D170" i="3" a="1"/>
  <c r="D170" i="3" s="1"/>
  <c r="C170" i="3" a="1"/>
  <c r="C170" i="3"/>
  <c r="B170" i="3" a="1"/>
  <c r="B170" i="3"/>
  <c r="M170" i="3" s="1" a="1"/>
  <c r="M170" i="3" s="1"/>
  <c r="N169" i="3" a="1"/>
  <c r="N169" i="3"/>
  <c r="M169" i="3" a="1"/>
  <c r="M169" i="3" s="1"/>
  <c r="L169" i="3"/>
  <c r="K169" i="3"/>
  <c r="J169" i="3"/>
  <c r="H169" i="3"/>
  <c r="I169" i="3" s="1"/>
  <c r="G169" i="3"/>
  <c r="F169" i="3"/>
  <c r="D169" i="3" a="1"/>
  <c r="D169" i="3"/>
  <c r="C169" i="3" a="1"/>
  <c r="C169" i="3" s="1"/>
  <c r="B169" i="3" a="1"/>
  <c r="B169" i="3" s="1"/>
  <c r="N168" i="3" a="1"/>
  <c r="N168" i="3" s="1"/>
  <c r="L168" i="3"/>
  <c r="K168" i="3"/>
  <c r="J168" i="3"/>
  <c r="H168" i="3"/>
  <c r="G168" i="3"/>
  <c r="F168" i="3"/>
  <c r="D168" i="3" a="1"/>
  <c r="D168" i="3" s="1"/>
  <c r="C168" i="3" a="1"/>
  <c r="C168" i="3" s="1"/>
  <c r="B168" i="3" a="1"/>
  <c r="B168" i="3" s="1"/>
  <c r="M168" i="3" s="1" a="1"/>
  <c r="M168" i="3" s="1"/>
  <c r="N167" i="3" a="1"/>
  <c r="N167" i="3" s="1"/>
  <c r="M167" i="3" a="1"/>
  <c r="M167" i="3" s="1"/>
  <c r="L167" i="3"/>
  <c r="K167" i="3"/>
  <c r="J167" i="3"/>
  <c r="H167" i="3"/>
  <c r="I167" i="3" s="1"/>
  <c r="G167" i="3"/>
  <c r="F167" i="3"/>
  <c r="D167" i="3" a="1"/>
  <c r="D167" i="3"/>
  <c r="C167" i="3" a="1"/>
  <c r="C167" i="3"/>
  <c r="B167" i="3" a="1"/>
  <c r="B167" i="3"/>
  <c r="N166" i="3" a="1"/>
  <c r="N166" i="3"/>
  <c r="L166" i="3"/>
  <c r="K166" i="3"/>
  <c r="H166" i="3"/>
  <c r="J166" i="3" s="1"/>
  <c r="G166" i="3"/>
  <c r="F166" i="3"/>
  <c r="D166" i="3" a="1"/>
  <c r="D166" i="3"/>
  <c r="C166" i="3" a="1"/>
  <c r="C166" i="3" s="1"/>
  <c r="B166" i="3" a="1"/>
  <c r="B166" i="3" s="1"/>
  <c r="M166" i="3" s="1" a="1"/>
  <c r="M166" i="3" s="1"/>
  <c r="N165" i="3" a="1"/>
  <c r="N165" i="3" s="1"/>
  <c r="M165" i="3" a="1"/>
  <c r="M165" i="3" s="1"/>
  <c r="L165" i="3"/>
  <c r="K165" i="3"/>
  <c r="I165" i="3"/>
  <c r="H165" i="3"/>
  <c r="J165" i="3" s="1"/>
  <c r="G165" i="3"/>
  <c r="F165" i="3"/>
  <c r="D165" i="3" a="1"/>
  <c r="D165" i="3" s="1"/>
  <c r="C165" i="3" a="1"/>
  <c r="C165" i="3"/>
  <c r="B165" i="3" a="1"/>
  <c r="B165" i="3"/>
  <c r="N164" i="3" a="1"/>
  <c r="N164" i="3" s="1"/>
  <c r="L164" i="3"/>
  <c r="K164" i="3"/>
  <c r="H164" i="3"/>
  <c r="J164" i="3" s="1"/>
  <c r="G164" i="3"/>
  <c r="F164" i="3"/>
  <c r="D164" i="3" a="1"/>
  <c r="D164" i="3" s="1"/>
  <c r="C164" i="3" a="1"/>
  <c r="C164" i="3" s="1"/>
  <c r="B164" i="3" a="1"/>
  <c r="B164" i="3"/>
  <c r="M164" i="3" s="1" a="1"/>
  <c r="M164" i="3" s="1"/>
  <c r="N163" i="3" a="1"/>
  <c r="N163" i="3"/>
  <c r="M163" i="3" a="1"/>
  <c r="M163" i="3" s="1"/>
  <c r="L163" i="3"/>
  <c r="K163" i="3"/>
  <c r="J163" i="3"/>
  <c r="I163" i="3"/>
  <c r="H163" i="3"/>
  <c r="G163" i="3"/>
  <c r="F163" i="3"/>
  <c r="D163" i="3" a="1"/>
  <c r="D163" i="3" s="1"/>
  <c r="C163" i="3" a="1"/>
  <c r="C163" i="3" s="1"/>
  <c r="B163" i="3" a="1"/>
  <c r="B163" i="3"/>
  <c r="N162" i="3" a="1"/>
  <c r="N162" i="3" s="1"/>
  <c r="L162" i="3"/>
  <c r="K162" i="3"/>
  <c r="J162" i="3"/>
  <c r="H162" i="3"/>
  <c r="I162" i="3" s="1"/>
  <c r="G162" i="3"/>
  <c r="F162" i="3"/>
  <c r="D162" i="3" a="1"/>
  <c r="D162" i="3"/>
  <c r="C162" i="3" a="1"/>
  <c r="C162" i="3"/>
  <c r="B162" i="3" a="1"/>
  <c r="B162" i="3" s="1"/>
  <c r="M162" i="3" s="1" a="1"/>
  <c r="M162" i="3" s="1"/>
  <c r="N161" i="3" a="1"/>
  <c r="N161" i="3"/>
  <c r="L161" i="3"/>
  <c r="K161" i="3"/>
  <c r="J161" i="3"/>
  <c r="I161" i="3"/>
  <c r="H161" i="3"/>
  <c r="G161" i="3"/>
  <c r="F161" i="3"/>
  <c r="D161" i="3" a="1"/>
  <c r="D161" i="3" s="1"/>
  <c r="C161" i="3" a="1"/>
  <c r="C161" i="3" s="1"/>
  <c r="B161" i="3" a="1"/>
  <c r="B161" i="3" s="1"/>
  <c r="M161" i="3" s="1" a="1"/>
  <c r="M161" i="3" s="1"/>
  <c r="N160" i="3" a="1"/>
  <c r="N160" i="3"/>
  <c r="L160" i="3"/>
  <c r="K160" i="3"/>
  <c r="H160" i="3"/>
  <c r="J160" i="3" s="1"/>
  <c r="G160" i="3"/>
  <c r="F160" i="3"/>
  <c r="D160" i="3" a="1"/>
  <c r="D160" i="3" s="1"/>
  <c r="C160" i="3" a="1"/>
  <c r="C160" i="3"/>
  <c r="B160" i="3" a="1"/>
  <c r="B160" i="3" s="1"/>
  <c r="M160" i="3" s="1" a="1"/>
  <c r="M160" i="3" s="1"/>
  <c r="N159" i="3" a="1"/>
  <c r="N159" i="3" s="1"/>
  <c r="L159" i="3"/>
  <c r="K159" i="3"/>
  <c r="J159" i="3"/>
  <c r="H159" i="3"/>
  <c r="I159" i="3" s="1"/>
  <c r="G159" i="3"/>
  <c r="F159" i="3"/>
  <c r="D159" i="3" a="1"/>
  <c r="D159" i="3"/>
  <c r="C159" i="3" a="1"/>
  <c r="C159" i="3"/>
  <c r="B159" i="3" a="1"/>
  <c r="B159" i="3" s="1"/>
  <c r="M159" i="3" s="1" a="1"/>
  <c r="M159" i="3" s="1"/>
  <c r="N158" i="3" a="1"/>
  <c r="N158" i="3" s="1"/>
  <c r="L158" i="3"/>
  <c r="K158" i="3"/>
  <c r="I158" i="3"/>
  <c r="H158" i="3"/>
  <c r="J158" i="3" s="1"/>
  <c r="G158" i="3"/>
  <c r="F158" i="3"/>
  <c r="D158" i="3" a="1"/>
  <c r="D158" i="3" s="1"/>
  <c r="C158" i="3" a="1"/>
  <c r="C158" i="3" s="1"/>
  <c r="B158" i="3" a="1"/>
  <c r="B158" i="3" s="1"/>
  <c r="M158" i="3" s="1" a="1"/>
  <c r="M158" i="3" s="1"/>
  <c r="N157" i="3" a="1"/>
  <c r="N157" i="3" s="1"/>
  <c r="M157" i="3" a="1"/>
  <c r="M157" i="3"/>
  <c r="L157" i="3"/>
  <c r="K157" i="3"/>
  <c r="J157" i="3"/>
  <c r="I157" i="3"/>
  <c r="H157" i="3"/>
  <c r="G157" i="3"/>
  <c r="F157" i="3"/>
  <c r="D157" i="3" a="1"/>
  <c r="D157" i="3"/>
  <c r="C157" i="3" a="1"/>
  <c r="C157" i="3"/>
  <c r="B157" i="3" a="1"/>
  <c r="B157" i="3"/>
  <c r="N156" i="3" a="1"/>
  <c r="N156" i="3"/>
  <c r="M156" i="3" a="1"/>
  <c r="M156" i="3"/>
  <c r="L156" i="3"/>
  <c r="K156" i="3"/>
  <c r="H156" i="3"/>
  <c r="J156" i="3" s="1"/>
  <c r="G156" i="3"/>
  <c r="F156" i="3"/>
  <c r="D156" i="3" a="1"/>
  <c r="D156" i="3" s="1"/>
  <c r="C156" i="3" a="1"/>
  <c r="C156" i="3" s="1"/>
  <c r="B156" i="3" a="1"/>
  <c r="B156" i="3"/>
  <c r="N155" i="3" a="1"/>
  <c r="N155" i="3"/>
  <c r="L155" i="3"/>
  <c r="K155" i="3"/>
  <c r="J155" i="3"/>
  <c r="H155" i="3"/>
  <c r="I155" i="3" s="1"/>
  <c r="G155" i="3"/>
  <c r="F155" i="3"/>
  <c r="D155" i="3" a="1"/>
  <c r="D155" i="3" s="1"/>
  <c r="C155" i="3" a="1"/>
  <c r="C155" i="3" s="1"/>
  <c r="B155" i="3" a="1"/>
  <c r="B155" i="3" s="1"/>
  <c r="M155" i="3" s="1" a="1"/>
  <c r="M155" i="3" s="1"/>
  <c r="N154" i="3" a="1"/>
  <c r="N154" i="3" s="1"/>
  <c r="M154" i="3" a="1"/>
  <c r="M154" i="3" s="1"/>
  <c r="L154" i="3"/>
  <c r="K154" i="3"/>
  <c r="J154" i="3"/>
  <c r="I154" i="3"/>
  <c r="H154" i="3"/>
  <c r="G154" i="3"/>
  <c r="F154" i="3"/>
  <c r="D154" i="3" a="1"/>
  <c r="D154" i="3" s="1"/>
  <c r="C154" i="3" a="1"/>
  <c r="C154" i="3" s="1"/>
  <c r="B154" i="3" a="1"/>
  <c r="B154" i="3"/>
  <c r="N153" i="3" a="1"/>
  <c r="N153" i="3"/>
  <c r="L153" i="3"/>
  <c r="K153" i="3"/>
  <c r="J153" i="3"/>
  <c r="I153" i="3"/>
  <c r="H153" i="3"/>
  <c r="G153" i="3"/>
  <c r="F153" i="3"/>
  <c r="D153" i="3" a="1"/>
  <c r="D153" i="3" s="1"/>
  <c r="C153" i="3" a="1"/>
  <c r="C153" i="3" s="1"/>
  <c r="B153" i="3" a="1"/>
  <c r="B153" i="3" s="1"/>
  <c r="M153" i="3" s="1" a="1"/>
  <c r="M153" i="3" s="1"/>
  <c r="N152" i="3" a="1"/>
  <c r="N152" i="3" s="1"/>
  <c r="L152" i="3"/>
  <c r="K152" i="3"/>
  <c r="H152" i="3"/>
  <c r="J152" i="3" s="1"/>
  <c r="G152" i="3"/>
  <c r="F152" i="3"/>
  <c r="D152" i="3" a="1"/>
  <c r="D152" i="3"/>
  <c r="C152" i="3" a="1"/>
  <c r="C152" i="3"/>
  <c r="B152" i="3" a="1"/>
  <c r="B152" i="3" s="1"/>
  <c r="M152" i="3" s="1" a="1"/>
  <c r="M152" i="3" s="1"/>
  <c r="N151" i="3" a="1"/>
  <c r="N151" i="3" s="1"/>
  <c r="L151" i="3"/>
  <c r="K151" i="3"/>
  <c r="H151" i="3"/>
  <c r="J151" i="3" s="1"/>
  <c r="G151" i="3"/>
  <c r="F151" i="3"/>
  <c r="D151" i="3" a="1"/>
  <c r="D151" i="3" s="1"/>
  <c r="C151" i="3" a="1"/>
  <c r="C151" i="3"/>
  <c r="B151" i="3" a="1"/>
  <c r="B151" i="3" s="1"/>
  <c r="M151" i="3" s="1" a="1"/>
  <c r="M151" i="3" s="1"/>
  <c r="N150" i="3" a="1"/>
  <c r="N150" i="3" s="1"/>
  <c r="L150" i="3"/>
  <c r="K150" i="3"/>
  <c r="I150" i="3"/>
  <c r="H150" i="3"/>
  <c r="J150" i="3" s="1"/>
  <c r="G150" i="3"/>
  <c r="F150" i="3"/>
  <c r="D150" i="3" a="1"/>
  <c r="D150" i="3" s="1"/>
  <c r="C150" i="3" a="1"/>
  <c r="C150" i="3"/>
  <c r="B150" i="3" a="1"/>
  <c r="B150" i="3" s="1"/>
  <c r="M150" i="3" s="1" a="1"/>
  <c r="M150" i="3" s="1"/>
  <c r="N149" i="3" a="1"/>
  <c r="N149" i="3" s="1"/>
  <c r="M149" i="3" a="1"/>
  <c r="M149" i="3" s="1"/>
  <c r="L149" i="3"/>
  <c r="K149" i="3"/>
  <c r="H149" i="3"/>
  <c r="I149" i="3" s="1"/>
  <c r="G149" i="3"/>
  <c r="F149" i="3"/>
  <c r="D149" i="3" a="1"/>
  <c r="D149" i="3" s="1"/>
  <c r="C149" i="3" a="1"/>
  <c r="C149" i="3" s="1"/>
  <c r="B149" i="3" a="1"/>
  <c r="B149" i="3"/>
  <c r="N148" i="3" a="1"/>
  <c r="N148" i="3"/>
  <c r="M148" i="3" a="1"/>
  <c r="M148" i="3" s="1"/>
  <c r="L148" i="3"/>
  <c r="K148" i="3"/>
  <c r="H148" i="3"/>
  <c r="J148" i="3" s="1"/>
  <c r="G148" i="3"/>
  <c r="F148" i="3"/>
  <c r="D148" i="3" a="1"/>
  <c r="D148" i="3"/>
  <c r="C148" i="3" a="1"/>
  <c r="C148" i="3" s="1"/>
  <c r="B148" i="3" a="1"/>
  <c r="B148" i="3" s="1"/>
  <c r="N147" i="3" a="1"/>
  <c r="N147" i="3"/>
  <c r="L147" i="3"/>
  <c r="K147" i="3"/>
  <c r="J147" i="3"/>
  <c r="I147" i="3"/>
  <c r="H147" i="3"/>
  <c r="G147" i="3"/>
  <c r="F147" i="3"/>
  <c r="D147" i="3" a="1"/>
  <c r="D147" i="3"/>
  <c r="C147" i="3" a="1"/>
  <c r="C147" i="3"/>
  <c r="B147" i="3" a="1"/>
  <c r="B147" i="3" s="1"/>
  <c r="M147" i="3" s="1" a="1"/>
  <c r="M147" i="3" s="1"/>
  <c r="N146" i="3" a="1"/>
  <c r="N146" i="3"/>
  <c r="L146" i="3"/>
  <c r="K146" i="3"/>
  <c r="J146" i="3"/>
  <c r="I146" i="3"/>
  <c r="H146" i="3"/>
  <c r="G146" i="3"/>
  <c r="F146" i="3"/>
  <c r="D146" i="3" a="1"/>
  <c r="D146" i="3"/>
  <c r="C146" i="3" a="1"/>
  <c r="C146" i="3" s="1"/>
  <c r="B146" i="3" a="1"/>
  <c r="B146" i="3" s="1"/>
  <c r="M146" i="3" s="1" a="1"/>
  <c r="M146" i="3" s="1"/>
  <c r="N145" i="3" a="1"/>
  <c r="N145" i="3" s="1"/>
  <c r="L145" i="3"/>
  <c r="K145" i="3"/>
  <c r="H145" i="3"/>
  <c r="J145" i="3" s="1"/>
  <c r="G145" i="3"/>
  <c r="F145" i="3"/>
  <c r="D145" i="3" a="1"/>
  <c r="D145" i="3" s="1"/>
  <c r="C145" i="3" a="1"/>
  <c r="C145" i="3" s="1"/>
  <c r="B145" i="3" a="1"/>
  <c r="B145" i="3"/>
  <c r="M145" i="3" s="1" a="1"/>
  <c r="M145" i="3" s="1"/>
  <c r="N144" i="3" a="1"/>
  <c r="N144" i="3"/>
  <c r="L144" i="3"/>
  <c r="K144" i="3"/>
  <c r="H144" i="3"/>
  <c r="J144" i="3" s="1"/>
  <c r="G144" i="3"/>
  <c r="F144" i="3"/>
  <c r="D144" i="3" a="1"/>
  <c r="D144" i="3" s="1"/>
  <c r="C144" i="3" a="1"/>
  <c r="C144" i="3" s="1"/>
  <c r="B144" i="3" a="1"/>
  <c r="B144" i="3" s="1"/>
  <c r="M144" i="3" s="1" a="1"/>
  <c r="M144" i="3" s="1"/>
  <c r="N143" i="3" a="1"/>
  <c r="N143" i="3"/>
  <c r="L143" i="3"/>
  <c r="K143" i="3"/>
  <c r="J143" i="3"/>
  <c r="I143" i="3"/>
  <c r="H143" i="3"/>
  <c r="G143" i="3"/>
  <c r="F143" i="3"/>
  <c r="D143" i="3" a="1"/>
  <c r="D143" i="3" s="1"/>
  <c r="C143" i="3" a="1"/>
  <c r="C143" i="3"/>
  <c r="B143" i="3" a="1"/>
  <c r="B143" i="3"/>
  <c r="M143" i="3" s="1" a="1"/>
  <c r="M143" i="3" s="1"/>
  <c r="N142" i="3" a="1"/>
  <c r="N142" i="3" s="1"/>
  <c r="M142" i="3" a="1"/>
  <c r="M142" i="3" s="1"/>
  <c r="L142" i="3"/>
  <c r="K142" i="3"/>
  <c r="I142" i="3"/>
  <c r="H142" i="3"/>
  <c r="J142" i="3" s="1"/>
  <c r="G142" i="3"/>
  <c r="F142" i="3"/>
  <c r="D142" i="3" a="1"/>
  <c r="D142" i="3"/>
  <c r="C142" i="3" a="1"/>
  <c r="C142" i="3" s="1"/>
  <c r="B142" i="3" a="1"/>
  <c r="B142" i="3" s="1"/>
  <c r="N141" i="3" a="1"/>
  <c r="N141" i="3"/>
  <c r="M141" i="3" a="1"/>
  <c r="M141" i="3" s="1"/>
  <c r="L141" i="3"/>
  <c r="K141" i="3"/>
  <c r="H141" i="3"/>
  <c r="J141" i="3" s="1"/>
  <c r="G141" i="3"/>
  <c r="F141" i="3"/>
  <c r="D141" i="3" a="1"/>
  <c r="D141" i="3" s="1"/>
  <c r="C141" i="3" a="1"/>
  <c r="C141" i="3"/>
  <c r="B141" i="3" a="1"/>
  <c r="B141" i="3"/>
  <c r="N140" i="3" a="1"/>
  <c r="N140" i="3"/>
  <c r="L140" i="3"/>
  <c r="K140" i="3"/>
  <c r="J140" i="3"/>
  <c r="H140" i="3"/>
  <c r="G140" i="3"/>
  <c r="F140" i="3"/>
  <c r="D140" i="3" a="1"/>
  <c r="D140" i="3" s="1"/>
  <c r="C140" i="3" a="1"/>
  <c r="C140" i="3" s="1"/>
  <c r="B140" i="3" a="1"/>
  <c r="B140" i="3" s="1"/>
  <c r="M140" i="3" s="1" a="1"/>
  <c r="M140" i="3" s="1"/>
  <c r="N139" i="3" a="1"/>
  <c r="N139" i="3"/>
  <c r="L139" i="3"/>
  <c r="K139" i="3"/>
  <c r="J139" i="3"/>
  <c r="I139" i="3"/>
  <c r="H139" i="3"/>
  <c r="G139" i="3"/>
  <c r="F139" i="3"/>
  <c r="D139" i="3" a="1"/>
  <c r="D139" i="3" s="1"/>
  <c r="C139" i="3" a="1"/>
  <c r="C139" i="3" s="1"/>
  <c r="B139" i="3" a="1"/>
  <c r="B139" i="3" s="1"/>
  <c r="M139" i="3" s="1" a="1"/>
  <c r="M139" i="3" s="1"/>
  <c r="N138" i="3" a="1"/>
  <c r="N138" i="3" s="1"/>
  <c r="L138" i="3"/>
  <c r="K138" i="3"/>
  <c r="I138" i="3"/>
  <c r="H138" i="3"/>
  <c r="J138" i="3" s="1"/>
  <c r="G138" i="3"/>
  <c r="F138" i="3"/>
  <c r="D138" i="3" a="1"/>
  <c r="D138" i="3" s="1"/>
  <c r="C138" i="3" a="1"/>
  <c r="C138" i="3" s="1"/>
  <c r="B138" i="3" a="1"/>
  <c r="B138" i="3"/>
  <c r="M138" i="3" s="1" a="1"/>
  <c r="M138" i="3" s="1"/>
  <c r="N137" i="3" a="1"/>
  <c r="N137" i="3"/>
  <c r="L137" i="3"/>
  <c r="K137" i="3"/>
  <c r="I137" i="3"/>
  <c r="H137" i="3"/>
  <c r="J137" i="3" s="1"/>
  <c r="G137" i="3"/>
  <c r="F137" i="3"/>
  <c r="D137" i="3" a="1"/>
  <c r="D137" i="3"/>
  <c r="C137" i="3" a="1"/>
  <c r="C137" i="3" s="1"/>
  <c r="B137" i="3" a="1"/>
  <c r="B137" i="3" s="1"/>
  <c r="M137" i="3" s="1" a="1"/>
  <c r="M137" i="3" s="1"/>
  <c r="N136" i="3" a="1"/>
  <c r="N136" i="3"/>
  <c r="L136" i="3"/>
  <c r="K136" i="3"/>
  <c r="J136" i="3"/>
  <c r="H136" i="3"/>
  <c r="G136" i="3"/>
  <c r="F136" i="3"/>
  <c r="D136" i="3" a="1"/>
  <c r="D136" i="3"/>
  <c r="C136" i="3" a="1"/>
  <c r="C136" i="3"/>
  <c r="B136" i="3" a="1"/>
  <c r="B136" i="3" s="1"/>
  <c r="M136" i="3" s="1" a="1"/>
  <c r="M136" i="3" s="1"/>
  <c r="N135" i="3" a="1"/>
  <c r="N135" i="3"/>
  <c r="L135" i="3"/>
  <c r="K135" i="3"/>
  <c r="J135" i="3"/>
  <c r="H135" i="3"/>
  <c r="I135" i="3" s="1"/>
  <c r="G135" i="3"/>
  <c r="F135" i="3"/>
  <c r="D135" i="3" a="1"/>
  <c r="D135" i="3"/>
  <c r="C135" i="3" a="1"/>
  <c r="C135" i="3" s="1"/>
  <c r="B135" i="3" a="1"/>
  <c r="B135" i="3" s="1"/>
  <c r="M135" i="3" s="1" a="1"/>
  <c r="M135" i="3" s="1"/>
  <c r="N134" i="3" a="1"/>
  <c r="N134" i="3"/>
  <c r="L134" i="3"/>
  <c r="K134" i="3"/>
  <c r="J134" i="3"/>
  <c r="I134" i="3"/>
  <c r="H134" i="3"/>
  <c r="G134" i="3"/>
  <c r="F134" i="3"/>
  <c r="D134" i="3" a="1"/>
  <c r="D134" i="3" s="1"/>
  <c r="C134" i="3" a="1"/>
  <c r="C134" i="3"/>
  <c r="B134" i="3" a="1"/>
  <c r="B134" i="3"/>
  <c r="M134" i="3" s="1" a="1"/>
  <c r="M134" i="3" s="1"/>
  <c r="N133" i="3" a="1"/>
  <c r="N133" i="3"/>
  <c r="M133" i="3" a="1"/>
  <c r="M133" i="3" s="1"/>
  <c r="L133" i="3"/>
  <c r="K133" i="3"/>
  <c r="H133" i="3"/>
  <c r="I133" i="3" s="1"/>
  <c r="G133" i="3"/>
  <c r="F133" i="3"/>
  <c r="D133" i="3" a="1"/>
  <c r="D133" i="3" s="1"/>
  <c r="C133" i="3" a="1"/>
  <c r="C133" i="3" s="1"/>
  <c r="B133" i="3" a="1"/>
  <c r="B133" i="3"/>
  <c r="N132" i="3" a="1"/>
  <c r="N132" i="3"/>
  <c r="L132" i="3"/>
  <c r="K132" i="3"/>
  <c r="J132" i="3"/>
  <c r="I132" i="3"/>
  <c r="H132" i="3"/>
  <c r="G132" i="3"/>
  <c r="F132" i="3"/>
  <c r="D132" i="3" a="1"/>
  <c r="D132" i="3"/>
  <c r="C132" i="3" a="1"/>
  <c r="C132" i="3" s="1"/>
  <c r="B132" i="3" a="1"/>
  <c r="B132" i="3" s="1"/>
  <c r="M132" i="3" s="1" a="1"/>
  <c r="M132" i="3" s="1"/>
  <c r="N131" i="3" a="1"/>
  <c r="N131" i="3" s="1"/>
  <c r="L131" i="3"/>
  <c r="K131" i="3"/>
  <c r="H131" i="3"/>
  <c r="J131" i="3" s="1"/>
  <c r="G131" i="3"/>
  <c r="F131" i="3"/>
  <c r="D131" i="3" a="1"/>
  <c r="D131" i="3"/>
  <c r="C131" i="3" a="1"/>
  <c r="C131" i="3" s="1"/>
  <c r="B131" i="3" a="1"/>
  <c r="B131" i="3" s="1"/>
  <c r="M131" i="3" s="1" a="1"/>
  <c r="M131" i="3" s="1"/>
  <c r="N130" i="3" a="1"/>
  <c r="N130" i="3"/>
  <c r="L130" i="3"/>
  <c r="K130" i="3"/>
  <c r="J130" i="3"/>
  <c r="I130" i="3"/>
  <c r="H130" i="3"/>
  <c r="G130" i="3"/>
  <c r="F130" i="3"/>
  <c r="D130" i="3" a="1"/>
  <c r="D130" i="3" s="1"/>
  <c r="C130" i="3" a="1"/>
  <c r="C130" i="3" s="1"/>
  <c r="B130" i="3" a="1"/>
  <c r="B130" i="3" s="1"/>
  <c r="M130" i="3" s="1" a="1"/>
  <c r="M130" i="3" s="1"/>
  <c r="N129" i="3" a="1"/>
  <c r="N129" i="3" s="1"/>
  <c r="L129" i="3"/>
  <c r="K129" i="3"/>
  <c r="H129" i="3"/>
  <c r="J129" i="3" s="1"/>
  <c r="G129" i="3"/>
  <c r="F129" i="3"/>
  <c r="D129" i="3" a="1"/>
  <c r="D129" i="3" s="1"/>
  <c r="C129" i="3" a="1"/>
  <c r="C129" i="3" s="1"/>
  <c r="B129" i="3" a="1"/>
  <c r="B129" i="3"/>
  <c r="M129" i="3" s="1" a="1"/>
  <c r="M129" i="3" s="1"/>
  <c r="N128" i="3" a="1"/>
  <c r="N128" i="3" s="1"/>
  <c r="M128" i="3" a="1"/>
  <c r="M128" i="3" s="1"/>
  <c r="L128" i="3"/>
  <c r="K128" i="3"/>
  <c r="I128" i="3"/>
  <c r="H128" i="3"/>
  <c r="J128" i="3" s="1"/>
  <c r="G128" i="3"/>
  <c r="F128" i="3"/>
  <c r="D128" i="3" a="1"/>
  <c r="D128" i="3"/>
  <c r="C128" i="3" a="1"/>
  <c r="C128" i="3"/>
  <c r="B128" i="3" a="1"/>
  <c r="B128" i="3"/>
  <c r="N127" i="3" a="1"/>
  <c r="N127" i="3"/>
  <c r="L127" i="3"/>
  <c r="K127" i="3"/>
  <c r="H127" i="3"/>
  <c r="J127" i="3" s="1"/>
  <c r="G127" i="3"/>
  <c r="F127" i="3"/>
  <c r="D127" i="3" a="1"/>
  <c r="D127" i="3"/>
  <c r="C127" i="3" a="1"/>
  <c r="C127" i="3" s="1"/>
  <c r="B127" i="3" a="1"/>
  <c r="B127" i="3" s="1"/>
  <c r="M127" i="3" s="1" a="1"/>
  <c r="M127" i="3" s="1"/>
  <c r="N126" i="3" a="1"/>
  <c r="N126" i="3"/>
  <c r="L126" i="3"/>
  <c r="K126" i="3"/>
  <c r="J126" i="3"/>
  <c r="I126" i="3"/>
  <c r="H126" i="3"/>
  <c r="G126" i="3"/>
  <c r="F126" i="3"/>
  <c r="D126" i="3" a="1"/>
  <c r="D126" i="3" s="1"/>
  <c r="C126" i="3" a="1"/>
  <c r="C126" i="3" s="1"/>
  <c r="B126" i="3" a="1"/>
  <c r="B126" i="3"/>
  <c r="M126" i="3" s="1" a="1"/>
  <c r="M126" i="3" s="1"/>
  <c r="N125" i="3" a="1"/>
  <c r="N125" i="3"/>
  <c r="L125" i="3"/>
  <c r="K125" i="3"/>
  <c r="H125" i="3"/>
  <c r="J125" i="3" s="1"/>
  <c r="G125" i="3"/>
  <c r="F125" i="3"/>
  <c r="D125" i="3" a="1"/>
  <c r="D125" i="3" s="1"/>
  <c r="C125" i="3" a="1"/>
  <c r="C125" i="3" s="1"/>
  <c r="B125" i="3" a="1"/>
  <c r="B125" i="3" s="1"/>
  <c r="M125" i="3" s="1" a="1"/>
  <c r="M125" i="3" s="1"/>
  <c r="N124" i="3" a="1"/>
  <c r="N124" i="3"/>
  <c r="L124" i="3"/>
  <c r="K124" i="3"/>
  <c r="H124" i="3"/>
  <c r="J124" i="3" s="1"/>
  <c r="G124" i="3"/>
  <c r="F124" i="3"/>
  <c r="D124" i="3" a="1"/>
  <c r="D124" i="3" s="1"/>
  <c r="C124" i="3" a="1"/>
  <c r="C124" i="3" s="1"/>
  <c r="B124" i="3" a="1"/>
  <c r="B124" i="3" s="1"/>
  <c r="M124" i="3" s="1" a="1"/>
  <c r="M124" i="3" s="1"/>
  <c r="N123" i="3" a="1"/>
  <c r="N123" i="3" s="1"/>
  <c r="L123" i="3"/>
  <c r="K123" i="3"/>
  <c r="H123" i="3"/>
  <c r="J123" i="3" s="1"/>
  <c r="G123" i="3"/>
  <c r="F123" i="3"/>
  <c r="D123" i="3" a="1"/>
  <c r="D123" i="3" s="1"/>
  <c r="C123" i="3" a="1"/>
  <c r="C123" i="3" s="1"/>
  <c r="B123" i="3" a="1"/>
  <c r="B123" i="3" s="1"/>
  <c r="M123" i="3" s="1" a="1"/>
  <c r="M123" i="3" s="1"/>
  <c r="N122" i="3" a="1"/>
  <c r="N122" i="3"/>
  <c r="L122" i="3"/>
  <c r="K122" i="3"/>
  <c r="J122" i="3"/>
  <c r="I122" i="3"/>
  <c r="H122" i="3"/>
  <c r="G122" i="3"/>
  <c r="F122" i="3"/>
  <c r="D122" i="3" a="1"/>
  <c r="D122" i="3" s="1"/>
  <c r="C122" i="3" a="1"/>
  <c r="C122" i="3" s="1"/>
  <c r="B122" i="3" a="1"/>
  <c r="B122" i="3" s="1"/>
  <c r="M122" i="3" s="1" a="1"/>
  <c r="M122" i="3" s="1"/>
  <c r="N121" i="3" a="1"/>
  <c r="N121" i="3" s="1"/>
  <c r="L121" i="3"/>
  <c r="K121" i="3"/>
  <c r="J121" i="3"/>
  <c r="H121" i="3"/>
  <c r="G121" i="3"/>
  <c r="F121" i="3"/>
  <c r="D121" i="3" a="1"/>
  <c r="D121" i="3" s="1"/>
  <c r="C121" i="3" a="1"/>
  <c r="C121" i="3" s="1"/>
  <c r="B121" i="3" a="1"/>
  <c r="B121" i="3"/>
  <c r="M121" i="3" s="1" a="1"/>
  <c r="M121" i="3" s="1"/>
  <c r="N120" i="3" a="1"/>
  <c r="N120" i="3"/>
  <c r="L120" i="3"/>
  <c r="K120" i="3"/>
  <c r="J120" i="3"/>
  <c r="H120" i="3"/>
  <c r="I120" i="3" s="1"/>
  <c r="G120" i="3"/>
  <c r="F120" i="3"/>
  <c r="D120" i="3" a="1"/>
  <c r="D120" i="3"/>
  <c r="C120" i="3" a="1"/>
  <c r="C120" i="3" s="1"/>
  <c r="B120" i="3" a="1"/>
  <c r="B120" i="3" s="1"/>
  <c r="M120" i="3" s="1" a="1"/>
  <c r="M120" i="3" s="1"/>
  <c r="N119" i="3" a="1"/>
  <c r="N119" i="3"/>
  <c r="L119" i="3"/>
  <c r="K119" i="3"/>
  <c r="J119" i="3"/>
  <c r="I119" i="3"/>
  <c r="H119" i="3"/>
  <c r="G119" i="3"/>
  <c r="F119" i="3"/>
  <c r="D119" i="3" a="1"/>
  <c r="D119" i="3"/>
  <c r="C119" i="3" a="1"/>
  <c r="C119" i="3" s="1"/>
  <c r="B119" i="3" a="1"/>
  <c r="B119" i="3"/>
  <c r="M119" i="3" s="1" a="1"/>
  <c r="M119" i="3" s="1"/>
  <c r="N118" i="3" a="1"/>
  <c r="N118" i="3"/>
  <c r="L118" i="3"/>
  <c r="K118" i="3"/>
  <c r="J118" i="3"/>
  <c r="H118" i="3"/>
  <c r="I118" i="3" s="1"/>
  <c r="G118" i="3"/>
  <c r="F118" i="3"/>
  <c r="D118" i="3" a="1"/>
  <c r="D118" i="3"/>
  <c r="C118" i="3" a="1"/>
  <c r="C118" i="3"/>
  <c r="B118" i="3" a="1"/>
  <c r="B118" i="3" s="1"/>
  <c r="M118" i="3" s="1" a="1"/>
  <c r="M118" i="3" s="1"/>
  <c r="N117" i="3" a="1"/>
  <c r="N117" i="3"/>
  <c r="L117" i="3"/>
  <c r="K117" i="3"/>
  <c r="J117" i="3"/>
  <c r="H117" i="3"/>
  <c r="G117" i="3"/>
  <c r="F117" i="3"/>
  <c r="D117" i="3" a="1"/>
  <c r="D117" i="3"/>
  <c r="C117" i="3" a="1"/>
  <c r="C117" i="3"/>
  <c r="B117" i="3" a="1"/>
  <c r="B117" i="3"/>
  <c r="M117" i="3" s="1" a="1"/>
  <c r="M117" i="3" s="1"/>
  <c r="N116" i="3" a="1"/>
  <c r="N116" i="3" s="1"/>
  <c r="L116" i="3"/>
  <c r="K116" i="3"/>
  <c r="H116" i="3"/>
  <c r="J116" i="3" s="1"/>
  <c r="G116" i="3"/>
  <c r="F116" i="3"/>
  <c r="D116" i="3" a="1"/>
  <c r="D116" i="3" s="1"/>
  <c r="C116" i="3" a="1"/>
  <c r="C116" i="3"/>
  <c r="B116" i="3" a="1"/>
  <c r="B116" i="3"/>
  <c r="M116" i="3" s="1" a="1"/>
  <c r="M116" i="3" s="1"/>
  <c r="N115" i="3" a="1"/>
  <c r="N115" i="3" s="1"/>
  <c r="L115" i="3"/>
  <c r="K115" i="3"/>
  <c r="H115" i="3"/>
  <c r="J115" i="3" s="1"/>
  <c r="G115" i="3"/>
  <c r="F115" i="3"/>
  <c r="D115" i="3" a="1"/>
  <c r="D115" i="3"/>
  <c r="C115" i="3" a="1"/>
  <c r="C115" i="3"/>
  <c r="B115" i="3" a="1"/>
  <c r="B115" i="3" s="1"/>
  <c r="M115" i="3" s="1" a="1"/>
  <c r="M115" i="3" s="1"/>
  <c r="N114" i="3" a="1"/>
  <c r="N114" i="3" s="1"/>
  <c r="L114" i="3"/>
  <c r="K114" i="3"/>
  <c r="J114" i="3"/>
  <c r="I114" i="3"/>
  <c r="H114" i="3"/>
  <c r="G114" i="3"/>
  <c r="F114" i="3"/>
  <c r="D114" i="3" a="1"/>
  <c r="D114" i="3" s="1"/>
  <c r="C114" i="3" a="1"/>
  <c r="C114" i="3" s="1"/>
  <c r="B114" i="3" a="1"/>
  <c r="B114" i="3" s="1"/>
  <c r="M114" i="3" s="1" a="1"/>
  <c r="M114" i="3" s="1"/>
  <c r="N113" i="3" a="1"/>
  <c r="N113" i="3"/>
  <c r="M113" i="3" a="1"/>
  <c r="M113" i="3"/>
  <c r="L113" i="3"/>
  <c r="K113" i="3"/>
  <c r="J113" i="3"/>
  <c r="H113" i="3"/>
  <c r="G113" i="3"/>
  <c r="F113" i="3"/>
  <c r="D113" i="3" a="1"/>
  <c r="D113" i="3" s="1"/>
  <c r="C113" i="3" a="1"/>
  <c r="C113" i="3" s="1"/>
  <c r="B113" i="3" a="1"/>
  <c r="B113" i="3" s="1"/>
  <c r="N112" i="3" a="1"/>
  <c r="N112" i="3" s="1"/>
  <c r="L112" i="3"/>
  <c r="K112" i="3"/>
  <c r="I112" i="3"/>
  <c r="H112" i="3"/>
  <c r="J112" i="3" s="1"/>
  <c r="G112" i="3"/>
  <c r="F112" i="3"/>
  <c r="D112" i="3" a="1"/>
  <c r="D112" i="3" s="1"/>
  <c r="C112" i="3" a="1"/>
  <c r="C112" i="3" s="1"/>
  <c r="B112" i="3" a="1"/>
  <c r="B112" i="3"/>
  <c r="M112" i="3" s="1" a="1"/>
  <c r="M112" i="3" s="1"/>
  <c r="N111" i="3" a="1"/>
  <c r="N111" i="3"/>
  <c r="L111" i="3"/>
  <c r="K111" i="3"/>
  <c r="H111" i="3"/>
  <c r="J111" i="3" s="1"/>
  <c r="G111" i="3"/>
  <c r="F111" i="3"/>
  <c r="D111" i="3" a="1"/>
  <c r="D111" i="3" s="1"/>
  <c r="C111" i="3" a="1"/>
  <c r="C111" i="3"/>
  <c r="B111" i="3" a="1"/>
  <c r="B111" i="3" s="1"/>
  <c r="M111" i="3" s="1" a="1"/>
  <c r="M111" i="3" s="1"/>
  <c r="N110" i="3" a="1"/>
  <c r="N110" i="3" s="1"/>
  <c r="L110" i="3"/>
  <c r="K110" i="3"/>
  <c r="H110" i="3"/>
  <c r="J110" i="3" s="1"/>
  <c r="G110" i="3"/>
  <c r="F110" i="3"/>
  <c r="D110" i="3" a="1"/>
  <c r="D110" i="3" s="1"/>
  <c r="C110" i="3" a="1"/>
  <c r="C110" i="3" s="1"/>
  <c r="B110" i="3" a="1"/>
  <c r="B110" i="3"/>
  <c r="M110" i="3" s="1" a="1"/>
  <c r="M110" i="3" s="1"/>
  <c r="N109" i="3" a="1"/>
  <c r="N109" i="3" s="1"/>
  <c r="L109" i="3"/>
  <c r="K109" i="3"/>
  <c r="J109" i="3"/>
  <c r="H109" i="3"/>
  <c r="G109" i="3"/>
  <c r="F109" i="3"/>
  <c r="D109" i="3" a="1"/>
  <c r="D109" i="3" s="1"/>
  <c r="C109" i="3" a="1"/>
  <c r="C109" i="3" s="1"/>
  <c r="B109" i="3" a="1"/>
  <c r="B109" i="3"/>
  <c r="M109" i="3" s="1" a="1"/>
  <c r="M109" i="3" s="1"/>
  <c r="N108" i="3" a="1"/>
  <c r="N108" i="3"/>
  <c r="L108" i="3"/>
  <c r="K108" i="3"/>
  <c r="I108" i="3"/>
  <c r="H108" i="3"/>
  <c r="J108" i="3" s="1"/>
  <c r="G108" i="3"/>
  <c r="F108" i="3"/>
  <c r="D108" i="3" a="1"/>
  <c r="D108" i="3"/>
  <c r="C108" i="3" a="1"/>
  <c r="C108" i="3"/>
  <c r="B108" i="3" a="1"/>
  <c r="B108" i="3" s="1"/>
  <c r="M108" i="3" s="1" a="1"/>
  <c r="M108" i="3" s="1"/>
  <c r="N107" i="3" a="1"/>
  <c r="N107" i="3" s="1"/>
  <c r="L107" i="3"/>
  <c r="K107" i="3"/>
  <c r="H107" i="3"/>
  <c r="J107" i="3" s="1"/>
  <c r="G107" i="3"/>
  <c r="F107" i="3"/>
  <c r="D107" i="3" a="1"/>
  <c r="D107" i="3" s="1"/>
  <c r="C107" i="3" a="1"/>
  <c r="C107" i="3" s="1"/>
  <c r="B107" i="3" a="1"/>
  <c r="B107" i="3" s="1"/>
  <c r="M107" i="3" s="1" a="1"/>
  <c r="M107" i="3" s="1"/>
  <c r="N106" i="3" a="1"/>
  <c r="N106" i="3"/>
  <c r="L106" i="3"/>
  <c r="K106" i="3"/>
  <c r="H106" i="3"/>
  <c r="J106" i="3" s="1"/>
  <c r="G106" i="3"/>
  <c r="F106" i="3"/>
  <c r="D106" i="3" a="1"/>
  <c r="D106" i="3" s="1"/>
  <c r="C106" i="3" a="1"/>
  <c r="C106" i="3" s="1"/>
  <c r="B106" i="3" a="1"/>
  <c r="B106" i="3" s="1"/>
  <c r="M106" i="3" s="1" a="1"/>
  <c r="M106" i="3" s="1"/>
  <c r="N105" i="3" a="1"/>
  <c r="N105" i="3" s="1"/>
  <c r="L105" i="3"/>
  <c r="K105" i="3"/>
  <c r="J105" i="3"/>
  <c r="H105" i="3"/>
  <c r="G105" i="3"/>
  <c r="F105" i="3"/>
  <c r="D105" i="3" a="1"/>
  <c r="D105" i="3"/>
  <c r="C105" i="3" a="1"/>
  <c r="C105" i="3" s="1"/>
  <c r="B105" i="3" a="1"/>
  <c r="B105" i="3" s="1"/>
  <c r="M105" i="3" s="1" a="1"/>
  <c r="M105" i="3" s="1"/>
  <c r="N104" i="3" a="1"/>
  <c r="N104" i="3" s="1"/>
  <c r="L104" i="3"/>
  <c r="K104" i="3"/>
  <c r="H104" i="3"/>
  <c r="J104" i="3" s="1"/>
  <c r="G104" i="3"/>
  <c r="F104" i="3"/>
  <c r="D104" i="3" a="1"/>
  <c r="D104" i="3" s="1"/>
  <c r="C104" i="3" a="1"/>
  <c r="C104" i="3" s="1"/>
  <c r="B104" i="3" a="1"/>
  <c r="B104" i="3" s="1"/>
  <c r="M104" i="3" s="1" a="1"/>
  <c r="M104" i="3" s="1"/>
  <c r="N103" i="3" a="1"/>
  <c r="N103" i="3"/>
  <c r="L103" i="3"/>
  <c r="K103" i="3"/>
  <c r="J103" i="3"/>
  <c r="H103" i="3"/>
  <c r="I103" i="3" s="1"/>
  <c r="G103" i="3"/>
  <c r="F103" i="3"/>
  <c r="D103" i="3" a="1"/>
  <c r="D103" i="3"/>
  <c r="C103" i="3" a="1"/>
  <c r="C103" i="3"/>
  <c r="B103" i="3" a="1"/>
  <c r="B103" i="3" s="1"/>
  <c r="M103" i="3" s="1" a="1"/>
  <c r="M103" i="3" s="1"/>
  <c r="N102" i="3" a="1"/>
  <c r="N102" i="3" s="1"/>
  <c r="L102" i="3"/>
  <c r="K102" i="3"/>
  <c r="J102" i="3"/>
  <c r="I102" i="3"/>
  <c r="H102" i="3"/>
  <c r="G102" i="3"/>
  <c r="F102" i="3"/>
  <c r="D102" i="3" a="1"/>
  <c r="D102" i="3"/>
  <c r="C102" i="3" a="1"/>
  <c r="C102" i="3" s="1"/>
  <c r="B102" i="3" a="1"/>
  <c r="B102" i="3" s="1"/>
  <c r="M102" i="3" s="1" a="1"/>
  <c r="M102" i="3" s="1"/>
  <c r="N101" i="3" a="1"/>
  <c r="N101" i="3" s="1"/>
  <c r="L101" i="3"/>
  <c r="K101" i="3"/>
  <c r="H101" i="3"/>
  <c r="J101" i="3" s="1"/>
  <c r="G101" i="3"/>
  <c r="F101" i="3"/>
  <c r="D101" i="3" a="1"/>
  <c r="D101" i="3"/>
  <c r="C101" i="3" a="1"/>
  <c r="C101" i="3" s="1"/>
  <c r="B101" i="3" a="1"/>
  <c r="B101" i="3" s="1"/>
  <c r="M101" i="3" s="1" a="1"/>
  <c r="M101" i="3" s="1"/>
  <c r="N100" i="3" a="1"/>
  <c r="N100" i="3" s="1"/>
  <c r="L100" i="3"/>
  <c r="K100" i="3"/>
  <c r="I100" i="3"/>
  <c r="H100" i="3"/>
  <c r="J100" i="3" s="1"/>
  <c r="G100" i="3"/>
  <c r="F100" i="3"/>
  <c r="D100" i="3" a="1"/>
  <c r="D100" i="3"/>
  <c r="C100" i="3" a="1"/>
  <c r="C100" i="3" s="1"/>
  <c r="B100" i="3" a="1"/>
  <c r="B100" i="3"/>
  <c r="M100" i="3" s="1" a="1"/>
  <c r="M100" i="3" s="1"/>
  <c r="N99" i="3" a="1"/>
  <c r="N99" i="3"/>
  <c r="L99" i="3"/>
  <c r="K99" i="3"/>
  <c r="H99" i="3"/>
  <c r="J99" i="3" s="1"/>
  <c r="G99" i="3"/>
  <c r="F99" i="3"/>
  <c r="D99" i="3" a="1"/>
  <c r="D99" i="3" s="1"/>
  <c r="C99" i="3" a="1"/>
  <c r="C99" i="3"/>
  <c r="B99" i="3" a="1"/>
  <c r="B99" i="3" s="1"/>
  <c r="M99" i="3" s="1" a="1"/>
  <c r="M99" i="3" s="1"/>
  <c r="N98" i="3" a="1"/>
  <c r="N98" i="3" s="1"/>
  <c r="L98" i="3"/>
  <c r="K98" i="3"/>
  <c r="I98" i="3"/>
  <c r="H98" i="3"/>
  <c r="J98" i="3" s="1"/>
  <c r="G98" i="3"/>
  <c r="F98" i="3"/>
  <c r="D98" i="3" a="1"/>
  <c r="D98" i="3"/>
  <c r="C98" i="3" a="1"/>
  <c r="C98" i="3"/>
  <c r="B98" i="3" a="1"/>
  <c r="B98" i="3" s="1"/>
  <c r="M98" i="3" s="1" a="1"/>
  <c r="M98" i="3" s="1"/>
  <c r="N97" i="3" a="1"/>
  <c r="N97" i="3"/>
  <c r="L97" i="3"/>
  <c r="K97" i="3"/>
  <c r="J97" i="3"/>
  <c r="H97" i="3"/>
  <c r="G97" i="3"/>
  <c r="F97" i="3"/>
  <c r="D97" i="3" a="1"/>
  <c r="D97" i="3" s="1"/>
  <c r="C97" i="3" a="1"/>
  <c r="C97" i="3"/>
  <c r="B97" i="3" a="1"/>
  <c r="B97" i="3" s="1"/>
  <c r="M97" i="3" s="1" a="1"/>
  <c r="M97" i="3" s="1"/>
  <c r="N96" i="3" a="1"/>
  <c r="N96" i="3" s="1"/>
  <c r="L96" i="3"/>
  <c r="K96" i="3"/>
  <c r="J96" i="3"/>
  <c r="I96" i="3"/>
  <c r="H96" i="3"/>
  <c r="G96" i="3"/>
  <c r="F96" i="3"/>
  <c r="D96" i="3" a="1"/>
  <c r="D96" i="3"/>
  <c r="C96" i="3" a="1"/>
  <c r="C96" i="3"/>
  <c r="B96" i="3" a="1"/>
  <c r="B96" i="3" s="1"/>
  <c r="M96" i="3" s="1" a="1"/>
  <c r="M96" i="3" s="1"/>
  <c r="N95" i="3" a="1"/>
  <c r="N95" i="3"/>
  <c r="L95" i="3"/>
  <c r="K95" i="3"/>
  <c r="J95" i="3"/>
  <c r="I95" i="3"/>
  <c r="H95" i="3"/>
  <c r="G95" i="3"/>
  <c r="F95" i="3"/>
  <c r="D95" i="3" a="1"/>
  <c r="D95" i="3" s="1"/>
  <c r="C95" i="3" a="1"/>
  <c r="C95" i="3" s="1"/>
  <c r="B95" i="3" a="1"/>
  <c r="B95" i="3"/>
  <c r="M95" i="3" s="1" a="1"/>
  <c r="M95" i="3" s="1"/>
  <c r="N94" i="3" a="1"/>
  <c r="N94" i="3" s="1"/>
  <c r="M94" i="3" a="1"/>
  <c r="M94" i="3" s="1"/>
  <c r="L94" i="3"/>
  <c r="K94" i="3"/>
  <c r="I94" i="3"/>
  <c r="H94" i="3"/>
  <c r="J94" i="3" s="1"/>
  <c r="G94" i="3"/>
  <c r="F94" i="3"/>
  <c r="D94" i="3" a="1"/>
  <c r="D94" i="3"/>
  <c r="C94" i="3" a="1"/>
  <c r="C94" i="3"/>
  <c r="B94" i="3" a="1"/>
  <c r="B94" i="3"/>
  <c r="N93" i="3" a="1"/>
  <c r="N93" i="3" s="1"/>
  <c r="L93" i="3"/>
  <c r="K93" i="3"/>
  <c r="H93" i="3"/>
  <c r="J93" i="3" s="1"/>
  <c r="G93" i="3"/>
  <c r="F93" i="3"/>
  <c r="D93" i="3" a="1"/>
  <c r="D93" i="3" s="1"/>
  <c r="C93" i="3" a="1"/>
  <c r="C93" i="3" s="1"/>
  <c r="B93" i="3" a="1"/>
  <c r="B93" i="3" s="1"/>
  <c r="M93" i="3" s="1" a="1"/>
  <c r="M93" i="3" s="1"/>
  <c r="N92" i="3" a="1"/>
  <c r="N92" i="3"/>
  <c r="L92" i="3"/>
  <c r="K92" i="3"/>
  <c r="J92" i="3"/>
  <c r="I92" i="3"/>
  <c r="H92" i="3"/>
  <c r="G92" i="3"/>
  <c r="F92" i="3"/>
  <c r="D92" i="3" a="1"/>
  <c r="D92" i="3" s="1"/>
  <c r="C92" i="3" a="1"/>
  <c r="C92" i="3"/>
  <c r="B92" i="3" a="1"/>
  <c r="B92" i="3"/>
  <c r="M92" i="3" s="1" a="1"/>
  <c r="M92" i="3" s="1"/>
  <c r="N91" i="3" a="1"/>
  <c r="N91" i="3"/>
  <c r="L91" i="3"/>
  <c r="K91" i="3"/>
  <c r="H91" i="3"/>
  <c r="J91" i="3" s="1"/>
  <c r="G91" i="3"/>
  <c r="F91" i="3"/>
  <c r="D91" i="3" a="1"/>
  <c r="D91" i="3" s="1"/>
  <c r="C91" i="3" a="1"/>
  <c r="C91" i="3" s="1"/>
  <c r="B91" i="3" a="1"/>
  <c r="B91" i="3" s="1"/>
  <c r="M91" i="3" s="1" a="1"/>
  <c r="M91" i="3" s="1"/>
  <c r="N90" i="3" a="1"/>
  <c r="N90" i="3" s="1"/>
  <c r="L90" i="3"/>
  <c r="K90" i="3"/>
  <c r="J90" i="3"/>
  <c r="H90" i="3"/>
  <c r="G90" i="3"/>
  <c r="F90" i="3"/>
  <c r="D90" i="3" a="1"/>
  <c r="D90" i="3"/>
  <c r="C90" i="3" a="1"/>
  <c r="C90" i="3" s="1"/>
  <c r="B90" i="3" a="1"/>
  <c r="B90" i="3" s="1"/>
  <c r="M90" i="3" s="1" a="1"/>
  <c r="M90" i="3" s="1"/>
  <c r="N89" i="3" a="1"/>
  <c r="N89" i="3" s="1"/>
  <c r="L89" i="3"/>
  <c r="K89" i="3"/>
  <c r="H89" i="3"/>
  <c r="J89" i="3" s="1"/>
  <c r="G89" i="3"/>
  <c r="F89" i="3"/>
  <c r="D89" i="3" a="1"/>
  <c r="D89" i="3" s="1"/>
  <c r="C89" i="3" a="1"/>
  <c r="C89" i="3" s="1"/>
  <c r="B89" i="3" a="1"/>
  <c r="B89" i="3" s="1"/>
  <c r="M89" i="3" s="1" a="1"/>
  <c r="M89" i="3" s="1"/>
  <c r="N88" i="3" a="1"/>
  <c r="N88" i="3"/>
  <c r="L88" i="3"/>
  <c r="K88" i="3"/>
  <c r="J88" i="3"/>
  <c r="I88" i="3"/>
  <c r="H88" i="3"/>
  <c r="G88" i="3"/>
  <c r="F88" i="3"/>
  <c r="D88" i="3" a="1"/>
  <c r="D88" i="3"/>
  <c r="C88" i="3" a="1"/>
  <c r="C88" i="3"/>
  <c r="B88" i="3" a="1"/>
  <c r="B88" i="3" s="1"/>
  <c r="M88" i="3" s="1" a="1"/>
  <c r="M88" i="3" s="1"/>
  <c r="N87" i="3" a="1"/>
  <c r="N87" i="3" s="1"/>
  <c r="L87" i="3"/>
  <c r="K87" i="3"/>
  <c r="J87" i="3"/>
  <c r="I87" i="3"/>
  <c r="H87" i="3"/>
  <c r="G87" i="3"/>
  <c r="F87" i="3"/>
  <c r="D87" i="3" a="1"/>
  <c r="D87" i="3" s="1"/>
  <c r="C87" i="3" a="1"/>
  <c r="C87" i="3" s="1"/>
  <c r="B87" i="3" a="1"/>
  <c r="B87" i="3" s="1"/>
  <c r="M87" i="3" s="1" a="1"/>
  <c r="M87" i="3" s="1"/>
  <c r="N86" i="3" a="1"/>
  <c r="N86" i="3" s="1"/>
  <c r="L86" i="3"/>
  <c r="K86" i="3"/>
  <c r="H86" i="3"/>
  <c r="J86" i="3" s="1"/>
  <c r="G86" i="3"/>
  <c r="F86" i="3"/>
  <c r="D86" i="3" a="1"/>
  <c r="D86" i="3"/>
  <c r="C86" i="3" a="1"/>
  <c r="C86" i="3" s="1"/>
  <c r="B86" i="3" a="1"/>
  <c r="B86" i="3" s="1"/>
  <c r="M86" i="3" s="1" a="1"/>
  <c r="M86" i="3" s="1"/>
  <c r="N85" i="3" a="1"/>
  <c r="N85" i="3" s="1"/>
  <c r="L85" i="3"/>
  <c r="K85" i="3"/>
  <c r="I85" i="3"/>
  <c r="H85" i="3"/>
  <c r="J85" i="3" s="1"/>
  <c r="G85" i="3"/>
  <c r="F85" i="3"/>
  <c r="D85" i="3" a="1"/>
  <c r="D85" i="3" s="1"/>
  <c r="C85" i="3" a="1"/>
  <c r="C85" i="3" s="1"/>
  <c r="B85" i="3" a="1"/>
  <c r="B85" i="3"/>
  <c r="M85" i="3" s="1" a="1"/>
  <c r="M85" i="3" s="1"/>
  <c r="N84" i="3" a="1"/>
  <c r="N84" i="3"/>
  <c r="L84" i="3"/>
  <c r="K84" i="3"/>
  <c r="H84" i="3"/>
  <c r="J84" i="3" s="1"/>
  <c r="G84" i="3"/>
  <c r="F84" i="3"/>
  <c r="D84" i="3" a="1"/>
  <c r="D84" i="3" s="1"/>
  <c r="C84" i="3" a="1"/>
  <c r="C84" i="3"/>
  <c r="B84" i="3" a="1"/>
  <c r="B84" i="3" s="1"/>
  <c r="M84" i="3" s="1" a="1"/>
  <c r="M84" i="3" s="1"/>
  <c r="N83" i="3" a="1"/>
  <c r="N83" i="3" s="1"/>
  <c r="L83" i="3"/>
  <c r="K83" i="3"/>
  <c r="I83" i="3"/>
  <c r="H83" i="3"/>
  <c r="J83" i="3" s="1"/>
  <c r="G83" i="3"/>
  <c r="F83" i="3"/>
  <c r="D83" i="3" a="1"/>
  <c r="D83" i="3"/>
  <c r="C83" i="3" a="1"/>
  <c r="C83" i="3" s="1"/>
  <c r="B83" i="3" a="1"/>
  <c r="B83" i="3" s="1"/>
  <c r="M83" i="3" s="1" a="1"/>
  <c r="M83" i="3" s="1"/>
  <c r="N82" i="3" a="1"/>
  <c r="N82" i="3"/>
  <c r="L82" i="3"/>
  <c r="K82" i="3"/>
  <c r="J82" i="3"/>
  <c r="H82" i="3"/>
  <c r="G82" i="3"/>
  <c r="F82" i="3"/>
  <c r="D82" i="3" a="1"/>
  <c r="D82" i="3" s="1"/>
  <c r="C82" i="3" a="1"/>
  <c r="C82" i="3"/>
  <c r="B82" i="3" a="1"/>
  <c r="B82" i="3" s="1"/>
  <c r="M82" i="3" s="1" a="1"/>
  <c r="M82" i="3" s="1"/>
  <c r="N81" i="3" a="1"/>
  <c r="N81" i="3" s="1"/>
  <c r="L81" i="3"/>
  <c r="K81" i="3"/>
  <c r="J81" i="3"/>
  <c r="I81" i="3"/>
  <c r="H81" i="3"/>
  <c r="G81" i="3"/>
  <c r="F81" i="3"/>
  <c r="D81" i="3" a="1"/>
  <c r="D81" i="3"/>
  <c r="C81" i="3" a="1"/>
  <c r="C81" i="3"/>
  <c r="B81" i="3" a="1"/>
  <c r="B81" i="3" s="1"/>
  <c r="M81" i="3" s="1" a="1"/>
  <c r="M81" i="3" s="1"/>
  <c r="N80" i="3" a="1"/>
  <c r="N80" i="3"/>
  <c r="L80" i="3"/>
  <c r="K80" i="3"/>
  <c r="J80" i="3"/>
  <c r="I80" i="3"/>
  <c r="H80" i="3"/>
  <c r="G80" i="3"/>
  <c r="F80" i="3"/>
  <c r="D80" i="3" a="1"/>
  <c r="D80" i="3" s="1"/>
  <c r="C80" i="3" a="1"/>
  <c r="C80" i="3" s="1"/>
  <c r="B80" i="3" a="1"/>
  <c r="B80" i="3"/>
  <c r="M80" i="3" s="1" a="1"/>
  <c r="M80" i="3" s="1"/>
  <c r="N79" i="3" a="1"/>
  <c r="N79" i="3" s="1"/>
  <c r="M79" i="3" a="1"/>
  <c r="M79" i="3" s="1"/>
  <c r="L79" i="3"/>
  <c r="K79" i="3"/>
  <c r="I79" i="3"/>
  <c r="H79" i="3"/>
  <c r="J79" i="3" s="1"/>
  <c r="G79" i="3"/>
  <c r="F79" i="3"/>
  <c r="D79" i="3" a="1"/>
  <c r="D79" i="3"/>
  <c r="C79" i="3" a="1"/>
  <c r="C79" i="3"/>
  <c r="B79" i="3" a="1"/>
  <c r="B79" i="3"/>
  <c r="N78" i="3" a="1"/>
  <c r="N78" i="3" s="1"/>
  <c r="L78" i="3"/>
  <c r="K78" i="3"/>
  <c r="J78" i="3"/>
  <c r="H78" i="3"/>
  <c r="G78" i="3"/>
  <c r="F78" i="3"/>
  <c r="D78" i="3" a="1"/>
  <c r="D78" i="3" s="1"/>
  <c r="C78" i="3" a="1"/>
  <c r="C78" i="3"/>
  <c r="B78" i="3" a="1"/>
  <c r="B78" i="3"/>
  <c r="M78" i="3" s="1" a="1"/>
  <c r="M78" i="3" s="1"/>
  <c r="N77" i="3" a="1"/>
  <c r="N77" i="3"/>
  <c r="M77" i="3" a="1"/>
  <c r="M77" i="3" s="1"/>
  <c r="L77" i="3"/>
  <c r="K77" i="3"/>
  <c r="H77" i="3"/>
  <c r="J77" i="3" s="1"/>
  <c r="G77" i="3"/>
  <c r="F77" i="3"/>
  <c r="D77" i="3" a="1"/>
  <c r="D77" i="3" s="1"/>
  <c r="C77" i="3" a="1"/>
  <c r="C77" i="3" s="1"/>
  <c r="B77" i="3" a="1"/>
  <c r="B77" i="3" s="1"/>
  <c r="N76" i="3" a="1"/>
  <c r="N76" i="3" s="1"/>
  <c r="M76" i="3" a="1"/>
  <c r="M76" i="3"/>
  <c r="L76" i="3"/>
  <c r="K76" i="3"/>
  <c r="J76" i="3"/>
  <c r="I76" i="3"/>
  <c r="H76" i="3"/>
  <c r="G76" i="3"/>
  <c r="F76" i="3"/>
  <c r="D76" i="3" a="1"/>
  <c r="D76" i="3" s="1"/>
  <c r="C76" i="3" a="1"/>
  <c r="C76" i="3" s="1"/>
  <c r="B76" i="3" a="1"/>
  <c r="B76" i="3"/>
  <c r="N75" i="3" a="1"/>
  <c r="N75" i="3"/>
  <c r="L75" i="3"/>
  <c r="K75" i="3"/>
  <c r="J75" i="3"/>
  <c r="I75" i="3"/>
  <c r="H75" i="3"/>
  <c r="G75" i="3"/>
  <c r="F75" i="3"/>
  <c r="D75" i="3" a="1"/>
  <c r="D75" i="3"/>
  <c r="C75" i="3" a="1"/>
  <c r="C75" i="3" s="1"/>
  <c r="B75" i="3" a="1"/>
  <c r="B75" i="3" s="1"/>
  <c r="M75" i="3" s="1" a="1"/>
  <c r="M75" i="3" s="1"/>
  <c r="N74" i="3" a="1"/>
  <c r="N74" i="3" s="1"/>
  <c r="L74" i="3"/>
  <c r="K74" i="3"/>
  <c r="J74" i="3"/>
  <c r="H74" i="3"/>
  <c r="G74" i="3"/>
  <c r="F74" i="3"/>
  <c r="D74" i="3" a="1"/>
  <c r="D74" i="3"/>
  <c r="C74" i="3" a="1"/>
  <c r="C74" i="3"/>
  <c r="B74" i="3" a="1"/>
  <c r="B74" i="3" s="1"/>
  <c r="M74" i="3" s="1" a="1"/>
  <c r="M74" i="3" s="1"/>
  <c r="N73" i="3" a="1"/>
  <c r="N73" i="3" s="1"/>
  <c r="L73" i="3"/>
  <c r="K73" i="3"/>
  <c r="J73" i="3"/>
  <c r="I73" i="3"/>
  <c r="H73" i="3"/>
  <c r="G73" i="3"/>
  <c r="F73" i="3"/>
  <c r="D73" i="3" a="1"/>
  <c r="D73" i="3" s="1"/>
  <c r="C73" i="3" a="1"/>
  <c r="C73" i="3" s="1"/>
  <c r="B73" i="3" a="1"/>
  <c r="B73" i="3" s="1"/>
  <c r="M73" i="3" s="1" a="1"/>
  <c r="M73" i="3" s="1"/>
  <c r="N72" i="3" a="1"/>
  <c r="N72" i="3" s="1"/>
  <c r="L72" i="3"/>
  <c r="K72" i="3"/>
  <c r="H72" i="3"/>
  <c r="G72" i="3"/>
  <c r="F72" i="3"/>
  <c r="D72" i="3" a="1"/>
  <c r="D72" i="3" s="1"/>
  <c r="C72" i="3" a="1"/>
  <c r="C72" i="3"/>
  <c r="B72" i="3" a="1"/>
  <c r="B72" i="3"/>
  <c r="M72" i="3" s="1" a="1"/>
  <c r="M72" i="3" s="1"/>
  <c r="N71" i="3" a="1"/>
  <c r="N71" i="3" s="1"/>
  <c r="L71" i="3"/>
  <c r="K71" i="3"/>
  <c r="J71" i="3"/>
  <c r="H71" i="3"/>
  <c r="I71" i="3" s="1"/>
  <c r="G71" i="3"/>
  <c r="F71" i="3"/>
  <c r="D71" i="3" a="1"/>
  <c r="D71" i="3"/>
  <c r="C71" i="3" a="1"/>
  <c r="C71" i="3" s="1"/>
  <c r="B71" i="3" a="1"/>
  <c r="B71" i="3" s="1"/>
  <c r="M71" i="3" s="1" a="1"/>
  <c r="M71" i="3" s="1"/>
  <c r="N70" i="3" a="1"/>
  <c r="N70" i="3" s="1"/>
  <c r="L70" i="3"/>
  <c r="K70" i="3"/>
  <c r="H70" i="3"/>
  <c r="J70" i="3" s="1"/>
  <c r="G70" i="3"/>
  <c r="F70" i="3"/>
  <c r="D70" i="3" a="1"/>
  <c r="D70" i="3" s="1"/>
  <c r="C70" i="3" a="1"/>
  <c r="C70" i="3"/>
  <c r="B70" i="3" a="1"/>
  <c r="B70" i="3" s="1"/>
  <c r="M70" i="3" s="1" a="1"/>
  <c r="M70" i="3" s="1"/>
  <c r="N69" i="3" a="1"/>
  <c r="N69" i="3" s="1"/>
  <c r="M69" i="3" a="1"/>
  <c r="M69" i="3" s="1"/>
  <c r="L69" i="3"/>
  <c r="K69" i="3"/>
  <c r="I69" i="3"/>
  <c r="H69" i="3"/>
  <c r="J69" i="3" s="1"/>
  <c r="G69" i="3"/>
  <c r="F69" i="3"/>
  <c r="D69" i="3" a="1"/>
  <c r="D69" i="3"/>
  <c r="C69" i="3" a="1"/>
  <c r="C69" i="3"/>
  <c r="B69" i="3" a="1"/>
  <c r="B69" i="3" s="1"/>
  <c r="N68" i="3" a="1"/>
  <c r="N68" i="3"/>
  <c r="L68" i="3"/>
  <c r="K68" i="3"/>
  <c r="H68" i="3"/>
  <c r="J68" i="3" s="1"/>
  <c r="G68" i="3"/>
  <c r="F68" i="3"/>
  <c r="D68" i="3" a="1"/>
  <c r="D68" i="3"/>
  <c r="C68" i="3" a="1"/>
  <c r="C68" i="3" s="1"/>
  <c r="B68" i="3" a="1"/>
  <c r="B68" i="3"/>
  <c r="M68" i="3" s="1" a="1"/>
  <c r="M68" i="3" s="1"/>
  <c r="N67" i="3" a="1"/>
  <c r="N67" i="3" s="1"/>
  <c r="M67" i="3" a="1"/>
  <c r="M67" i="3" s="1"/>
  <c r="L67" i="3"/>
  <c r="K67" i="3"/>
  <c r="J67" i="3"/>
  <c r="I67" i="3"/>
  <c r="H67" i="3"/>
  <c r="G67" i="3"/>
  <c r="F67" i="3"/>
  <c r="D67" i="3" a="1"/>
  <c r="D67" i="3" s="1"/>
  <c r="C67" i="3" a="1"/>
  <c r="C67" i="3"/>
  <c r="B67" i="3" a="1"/>
  <c r="B67" i="3"/>
  <c r="N66" i="3" a="1"/>
  <c r="N66" i="3" s="1"/>
  <c r="L66" i="3"/>
  <c r="K66" i="3"/>
  <c r="J66" i="3"/>
  <c r="H66" i="3"/>
  <c r="G66" i="3"/>
  <c r="F66" i="3"/>
  <c r="D66" i="3" a="1"/>
  <c r="D66" i="3" s="1"/>
  <c r="C66" i="3" a="1"/>
  <c r="C66" i="3" s="1"/>
  <c r="B66" i="3" a="1"/>
  <c r="B66" i="3"/>
  <c r="M66" i="3" s="1" a="1"/>
  <c r="M66" i="3" s="1"/>
  <c r="N65" i="3" a="1"/>
  <c r="N65" i="3" s="1"/>
  <c r="M65" i="3" a="1"/>
  <c r="M65" i="3" s="1"/>
  <c r="L65" i="3"/>
  <c r="K65" i="3"/>
  <c r="I65" i="3"/>
  <c r="H65" i="3"/>
  <c r="J65" i="3" s="1"/>
  <c r="G65" i="3"/>
  <c r="F65" i="3"/>
  <c r="D65" i="3" a="1"/>
  <c r="D65" i="3"/>
  <c r="C65" i="3" a="1"/>
  <c r="C65" i="3"/>
  <c r="B65" i="3" a="1"/>
  <c r="B65" i="3"/>
  <c r="N64" i="3" a="1"/>
  <c r="N64" i="3" s="1"/>
  <c r="L64" i="3"/>
  <c r="K64" i="3"/>
  <c r="H64" i="3"/>
  <c r="G64" i="3"/>
  <c r="F64" i="3"/>
  <c r="D64" i="3" a="1"/>
  <c r="D64" i="3" s="1"/>
  <c r="C64" i="3" a="1"/>
  <c r="C64" i="3" s="1"/>
  <c r="B64" i="3" a="1"/>
  <c r="B64" i="3" s="1"/>
  <c r="M64" i="3" s="1" a="1"/>
  <c r="M64" i="3" s="1"/>
  <c r="N63" i="3" a="1"/>
  <c r="N63" i="3"/>
  <c r="L63" i="3"/>
  <c r="K63" i="3"/>
  <c r="J63" i="3"/>
  <c r="I63" i="3"/>
  <c r="H63" i="3"/>
  <c r="G63" i="3"/>
  <c r="F63" i="3"/>
  <c r="D63" i="3" a="1"/>
  <c r="D63" i="3" s="1"/>
  <c r="C63" i="3" a="1"/>
  <c r="C63" i="3"/>
  <c r="B63" i="3" a="1"/>
  <c r="B63" i="3"/>
  <c r="M63" i="3" s="1" a="1"/>
  <c r="M63" i="3" s="1"/>
  <c r="N62" i="3" a="1"/>
  <c r="N62" i="3"/>
  <c r="M62" i="3" a="1"/>
  <c r="M62" i="3" s="1"/>
  <c r="L62" i="3"/>
  <c r="K62" i="3"/>
  <c r="J62" i="3"/>
  <c r="H62" i="3"/>
  <c r="G62" i="3"/>
  <c r="F62" i="3"/>
  <c r="D62" i="3" a="1"/>
  <c r="D62" i="3" s="1"/>
  <c r="C62" i="3" a="1"/>
  <c r="C62" i="3" s="1"/>
  <c r="B62" i="3" a="1"/>
  <c r="B62" i="3"/>
  <c r="N61" i="3" a="1"/>
  <c r="N61" i="3"/>
  <c r="L61" i="3"/>
  <c r="K61" i="3"/>
  <c r="J61" i="3"/>
  <c r="I61" i="3"/>
  <c r="H61" i="3"/>
  <c r="G61" i="3"/>
  <c r="F61" i="3"/>
  <c r="D61" i="3" a="1"/>
  <c r="D61" i="3"/>
  <c r="C61" i="3" a="1"/>
  <c r="C61" i="3" s="1"/>
  <c r="B61" i="3" a="1"/>
  <c r="B61" i="3" s="1"/>
  <c r="M61" i="3" s="1" a="1"/>
  <c r="M61" i="3" s="1"/>
  <c r="N60" i="3" a="1"/>
  <c r="N60" i="3" s="1"/>
  <c r="L60" i="3"/>
  <c r="K60" i="3"/>
  <c r="H60" i="3"/>
  <c r="J60" i="3" s="1"/>
  <c r="G60" i="3"/>
  <c r="F60" i="3"/>
  <c r="D60" i="3" a="1"/>
  <c r="D60" i="3" s="1"/>
  <c r="C60" i="3" a="1"/>
  <c r="C60" i="3" s="1"/>
  <c r="B60" i="3" a="1"/>
  <c r="B60" i="3" s="1"/>
  <c r="M60" i="3" s="1" a="1"/>
  <c r="M60" i="3" s="1"/>
  <c r="N59" i="3" a="1"/>
  <c r="N59" i="3"/>
  <c r="L59" i="3"/>
  <c r="K59" i="3"/>
  <c r="J59" i="3"/>
  <c r="I59" i="3"/>
  <c r="H59" i="3"/>
  <c r="G59" i="3"/>
  <c r="F59" i="3"/>
  <c r="D59" i="3" a="1"/>
  <c r="D59" i="3"/>
  <c r="C59" i="3" a="1"/>
  <c r="C59" i="3"/>
  <c r="B59" i="3" a="1"/>
  <c r="B59" i="3" s="1"/>
  <c r="M59" i="3" s="1" a="1"/>
  <c r="M59" i="3" s="1"/>
  <c r="N58" i="3" a="1"/>
  <c r="N58" i="3" s="1"/>
  <c r="L58" i="3"/>
  <c r="K58" i="3"/>
  <c r="H58" i="3"/>
  <c r="J58" i="3" s="1"/>
  <c r="G58" i="3"/>
  <c r="F58" i="3"/>
  <c r="D58" i="3" a="1"/>
  <c r="D58" i="3" s="1"/>
  <c r="C58" i="3" a="1"/>
  <c r="C58" i="3"/>
  <c r="B58" i="3" a="1"/>
  <c r="B58" i="3"/>
  <c r="M58" i="3" s="1" a="1"/>
  <c r="M58" i="3" s="1"/>
  <c r="N57" i="3" a="1"/>
  <c r="N57" i="3" s="1"/>
  <c r="L57" i="3"/>
  <c r="K57" i="3"/>
  <c r="J57" i="3"/>
  <c r="H57" i="3"/>
  <c r="I57" i="3" s="1"/>
  <c r="G57" i="3"/>
  <c r="F57" i="3"/>
  <c r="D57" i="3" a="1"/>
  <c r="D57" i="3"/>
  <c r="C57" i="3" a="1"/>
  <c r="C57" i="3" s="1"/>
  <c r="B57" i="3" a="1"/>
  <c r="B57" i="3" s="1"/>
  <c r="M57" i="3" s="1" a="1"/>
  <c r="M57" i="3" s="1"/>
  <c r="N56" i="3" a="1"/>
  <c r="N56" i="3" s="1"/>
  <c r="L56" i="3"/>
  <c r="K56" i="3"/>
  <c r="I56" i="3"/>
  <c r="H56" i="3"/>
  <c r="J56" i="3" s="1"/>
  <c r="G56" i="3"/>
  <c r="F56" i="3"/>
  <c r="D56" i="3" a="1"/>
  <c r="D56" i="3" s="1"/>
  <c r="C56" i="3" a="1"/>
  <c r="C56" i="3" s="1"/>
  <c r="B56" i="3" a="1"/>
  <c r="B56" i="3"/>
  <c r="M56" i="3" s="1" a="1"/>
  <c r="M56" i="3" s="1"/>
  <c r="N55" i="3" a="1"/>
  <c r="N55" i="3"/>
  <c r="L55" i="3"/>
  <c r="K55" i="3"/>
  <c r="H55" i="3"/>
  <c r="J55" i="3" s="1"/>
  <c r="G55" i="3"/>
  <c r="F55" i="3"/>
  <c r="D55" i="3" a="1"/>
  <c r="D55" i="3" s="1"/>
  <c r="C55" i="3" a="1"/>
  <c r="C55" i="3"/>
  <c r="B55" i="3" a="1"/>
  <c r="B55" i="3" s="1"/>
  <c r="M55" i="3" s="1" a="1"/>
  <c r="M55" i="3" s="1"/>
  <c r="N54" i="3" a="1"/>
  <c r="N54" i="3" s="1"/>
  <c r="L54" i="3"/>
  <c r="K54" i="3"/>
  <c r="I54" i="3"/>
  <c r="H54" i="3"/>
  <c r="J54" i="3" s="1"/>
  <c r="G54" i="3"/>
  <c r="F54" i="3"/>
  <c r="D54" i="3" a="1"/>
  <c r="D54" i="3"/>
  <c r="C54" i="3" a="1"/>
  <c r="C54" i="3" s="1"/>
  <c r="B54" i="3" a="1"/>
  <c r="B54" i="3" s="1"/>
  <c r="M54" i="3" s="1" a="1"/>
  <c r="M54" i="3" s="1"/>
  <c r="N53" i="3" a="1"/>
  <c r="N53" i="3"/>
  <c r="L53" i="3"/>
  <c r="K53" i="3"/>
  <c r="H53" i="3"/>
  <c r="J53" i="3" s="1"/>
  <c r="G53" i="3"/>
  <c r="F53" i="3"/>
  <c r="D53" i="3" a="1"/>
  <c r="D53" i="3"/>
  <c r="C53" i="3" a="1"/>
  <c r="C53" i="3" s="1"/>
  <c r="B53" i="3" a="1"/>
  <c r="B53" i="3"/>
  <c r="M53" i="3" s="1" a="1"/>
  <c r="M53" i="3" s="1"/>
  <c r="N52" i="3" a="1"/>
  <c r="N52" i="3" s="1"/>
  <c r="L52" i="3"/>
  <c r="K52" i="3"/>
  <c r="J52" i="3"/>
  <c r="I52" i="3"/>
  <c r="H52" i="3"/>
  <c r="G52" i="3"/>
  <c r="F52" i="3"/>
  <c r="D52" i="3" a="1"/>
  <c r="D52" i="3" s="1"/>
  <c r="C52" i="3" a="1"/>
  <c r="C52" i="3"/>
  <c r="B52" i="3" a="1"/>
  <c r="B52" i="3" s="1"/>
  <c r="M52" i="3" s="1" a="1"/>
  <c r="M52" i="3" s="1"/>
  <c r="N51" i="3" a="1"/>
  <c r="N51" i="3" s="1"/>
  <c r="L51" i="3"/>
  <c r="K51" i="3"/>
  <c r="J51" i="3"/>
  <c r="H51" i="3"/>
  <c r="G51" i="3"/>
  <c r="F51" i="3"/>
  <c r="D51" i="3" a="1"/>
  <c r="D51" i="3" s="1"/>
  <c r="C51" i="3" a="1"/>
  <c r="C51" i="3" s="1"/>
  <c r="B51" i="3" a="1"/>
  <c r="B51" i="3"/>
  <c r="M51" i="3" s="1" a="1"/>
  <c r="M51" i="3" s="1"/>
  <c r="N50" i="3" a="1"/>
  <c r="N50" i="3" s="1"/>
  <c r="M50" i="3" a="1"/>
  <c r="M50" i="3" s="1"/>
  <c r="L50" i="3"/>
  <c r="K50" i="3"/>
  <c r="I50" i="3"/>
  <c r="H50" i="3"/>
  <c r="J50" i="3" s="1"/>
  <c r="G50" i="3"/>
  <c r="F50" i="3"/>
  <c r="D50" i="3" a="1"/>
  <c r="D50" i="3"/>
  <c r="C50" i="3" a="1"/>
  <c r="C50" i="3"/>
  <c r="B50" i="3" a="1"/>
  <c r="B50" i="3"/>
  <c r="N49" i="3" a="1"/>
  <c r="N49" i="3" s="1"/>
  <c r="L49" i="3"/>
  <c r="K49" i="3"/>
  <c r="H49" i="3"/>
  <c r="I49" i="3" s="1"/>
  <c r="G49" i="3"/>
  <c r="F49" i="3"/>
  <c r="D49" i="3" a="1"/>
  <c r="D49" i="3" s="1"/>
  <c r="C49" i="3" a="1"/>
  <c r="C49" i="3" s="1"/>
  <c r="B49" i="3" a="1"/>
  <c r="B49" i="3" s="1"/>
  <c r="M49" i="3" s="1" a="1"/>
  <c r="M49" i="3" s="1"/>
  <c r="N48" i="3" a="1"/>
  <c r="N48" i="3"/>
  <c r="L48" i="3"/>
  <c r="K48" i="3"/>
  <c r="J48" i="3"/>
  <c r="I48" i="3"/>
  <c r="H48" i="3"/>
  <c r="G48" i="3"/>
  <c r="F48" i="3"/>
  <c r="D48" i="3" a="1"/>
  <c r="D48" i="3" s="1"/>
  <c r="C48" i="3" a="1"/>
  <c r="C48" i="3"/>
  <c r="B48" i="3" a="1"/>
  <c r="B48" i="3"/>
  <c r="M48" i="3" s="1" a="1"/>
  <c r="M48" i="3" s="1"/>
  <c r="N47" i="3" a="1"/>
  <c r="N47" i="3"/>
  <c r="M47" i="3" a="1"/>
  <c r="M47" i="3" s="1"/>
  <c r="L47" i="3"/>
  <c r="K47" i="3"/>
  <c r="J47" i="3"/>
  <c r="H47" i="3"/>
  <c r="G47" i="3"/>
  <c r="F47" i="3"/>
  <c r="D47" i="3" a="1"/>
  <c r="D47" i="3" s="1"/>
  <c r="C47" i="3" a="1"/>
  <c r="C47" i="3" s="1"/>
  <c r="B47" i="3" a="1"/>
  <c r="B47" i="3"/>
  <c r="N46" i="3" a="1"/>
  <c r="N46" i="3"/>
  <c r="L46" i="3"/>
  <c r="K46" i="3"/>
  <c r="J46" i="3"/>
  <c r="I46" i="3"/>
  <c r="H46" i="3"/>
  <c r="G46" i="3"/>
  <c r="F46" i="3"/>
  <c r="D46" i="3" a="1"/>
  <c r="D46" i="3"/>
  <c r="C46" i="3" a="1"/>
  <c r="C46" i="3" s="1"/>
  <c r="B46" i="3" a="1"/>
  <c r="B46" i="3" s="1"/>
  <c r="M46" i="3" s="1" a="1"/>
  <c r="M46" i="3" s="1"/>
  <c r="N45" i="3" a="1"/>
  <c r="N45" i="3" s="1"/>
  <c r="L45" i="3"/>
  <c r="K45" i="3"/>
  <c r="H45" i="3"/>
  <c r="G45" i="3"/>
  <c r="F45" i="3"/>
  <c r="D45" i="3" a="1"/>
  <c r="D45" i="3" s="1"/>
  <c r="C45" i="3" a="1"/>
  <c r="C45" i="3"/>
  <c r="B45" i="3" a="1"/>
  <c r="B45" i="3" s="1"/>
  <c r="M45" i="3" s="1" a="1"/>
  <c r="M45" i="3" s="1"/>
  <c r="N44" i="3" a="1"/>
  <c r="N44" i="3"/>
  <c r="L44" i="3"/>
  <c r="K44" i="3"/>
  <c r="J44" i="3"/>
  <c r="I44" i="3"/>
  <c r="H44" i="3"/>
  <c r="G44" i="3"/>
  <c r="F44" i="3"/>
  <c r="D44" i="3" a="1"/>
  <c r="D44" i="3"/>
  <c r="C44" i="3" a="1"/>
  <c r="C44" i="3"/>
  <c r="B44" i="3" a="1"/>
  <c r="B44" i="3" s="1"/>
  <c r="M44" i="3" s="1" a="1"/>
  <c r="M44" i="3" s="1"/>
  <c r="N43" i="3" a="1"/>
  <c r="N43" i="3" s="1"/>
  <c r="L43" i="3"/>
  <c r="K43" i="3"/>
  <c r="H43" i="3"/>
  <c r="J43" i="3" s="1"/>
  <c r="G43" i="3"/>
  <c r="F43" i="3"/>
  <c r="D43" i="3" a="1"/>
  <c r="D43" i="3" s="1"/>
  <c r="C43" i="3" a="1"/>
  <c r="C43" i="3"/>
  <c r="B43" i="3" a="1"/>
  <c r="B43" i="3"/>
  <c r="M43" i="3" s="1" a="1"/>
  <c r="M43" i="3" s="1"/>
  <c r="N42" i="3" a="1"/>
  <c r="N42" i="3" s="1"/>
  <c r="L42" i="3"/>
  <c r="K42" i="3"/>
  <c r="J42" i="3"/>
  <c r="H42" i="3"/>
  <c r="I42" i="3" s="1"/>
  <c r="G42" i="3"/>
  <c r="F42" i="3"/>
  <c r="D42" i="3" a="1"/>
  <c r="D42" i="3"/>
  <c r="C42" i="3" a="1"/>
  <c r="C42" i="3"/>
  <c r="B42" i="3" a="1"/>
  <c r="B42" i="3" s="1"/>
  <c r="M42" i="3" s="1" a="1"/>
  <c r="M42" i="3" s="1"/>
  <c r="N41" i="3" a="1"/>
  <c r="N41" i="3"/>
  <c r="L41" i="3"/>
  <c r="K41" i="3"/>
  <c r="I41" i="3"/>
  <c r="H41" i="3"/>
  <c r="J41" i="3" s="1"/>
  <c r="G41" i="3"/>
  <c r="F41" i="3"/>
  <c r="D41" i="3" a="1"/>
  <c r="D41" i="3" s="1"/>
  <c r="C41" i="3" a="1"/>
  <c r="C41" i="3" s="1"/>
  <c r="B41" i="3" a="1"/>
  <c r="B41" i="3"/>
  <c r="M41" i="3" s="1" a="1"/>
  <c r="M41" i="3" s="1"/>
  <c r="N40" i="3" a="1"/>
  <c r="N40" i="3"/>
  <c r="M40" i="3" a="1"/>
  <c r="M40" i="3" s="1"/>
  <c r="L40" i="3"/>
  <c r="K40" i="3"/>
  <c r="H40" i="3"/>
  <c r="G40" i="3"/>
  <c r="F40" i="3"/>
  <c r="D40" i="3" a="1"/>
  <c r="D40" i="3" s="1"/>
  <c r="C40" i="3" a="1"/>
  <c r="C40" i="3"/>
  <c r="B40" i="3" a="1"/>
  <c r="B40" i="3"/>
  <c r="N39" i="3" a="1"/>
  <c r="N39" i="3" s="1"/>
  <c r="L39" i="3"/>
  <c r="K39" i="3"/>
  <c r="H39" i="3"/>
  <c r="J39" i="3" s="1"/>
  <c r="G39" i="3"/>
  <c r="F39" i="3"/>
  <c r="D39" i="3" a="1"/>
  <c r="D39" i="3"/>
  <c r="C39" i="3" a="1"/>
  <c r="C39" i="3" s="1"/>
  <c r="B39" i="3" a="1"/>
  <c r="B39" i="3"/>
  <c r="M39" i="3" s="1" a="1"/>
  <c r="M39" i="3" s="1"/>
  <c r="N38" i="3" a="1"/>
  <c r="N38" i="3" s="1"/>
  <c r="L38" i="3"/>
  <c r="K38" i="3"/>
  <c r="J38" i="3"/>
  <c r="I38" i="3"/>
  <c r="H38" i="3"/>
  <c r="G38" i="3"/>
  <c r="F38" i="3"/>
  <c r="D38" i="3" a="1"/>
  <c r="D38" i="3" s="1"/>
  <c r="C38" i="3" a="1"/>
  <c r="C38" i="3"/>
  <c r="B38" i="3" a="1"/>
  <c r="B38" i="3" s="1"/>
  <c r="M38" i="3" s="1" a="1"/>
  <c r="M38" i="3" s="1"/>
  <c r="N37" i="3" a="1"/>
  <c r="N37" i="3" s="1"/>
  <c r="M37" i="3"/>
  <c r="L37" i="3"/>
  <c r="K37" i="3"/>
  <c r="J37" i="3"/>
  <c r="I37" i="3"/>
  <c r="H37" i="3"/>
  <c r="G37" i="3"/>
  <c r="F37" i="3"/>
  <c r="D37" i="3" a="1"/>
  <c r="D37" i="3"/>
  <c r="C37" i="3" a="1"/>
  <c r="C37" i="3"/>
  <c r="B37" i="3" a="1"/>
  <c r="B37" i="3" s="1"/>
  <c r="M37" i="3" s="1" a="1"/>
  <c r="N36" i="3" a="1"/>
  <c r="N36" i="3"/>
  <c r="L36" i="3"/>
  <c r="K36" i="3"/>
  <c r="J36" i="3"/>
  <c r="I36" i="3"/>
  <c r="H36" i="3"/>
  <c r="G36" i="3"/>
  <c r="F36" i="3"/>
  <c r="D36" i="3" a="1"/>
  <c r="D36" i="3" s="1"/>
  <c r="C36" i="3" a="1"/>
  <c r="C36" i="3" s="1"/>
  <c r="B36" i="3" a="1"/>
  <c r="B36" i="3"/>
  <c r="M36" i="3" s="1" a="1"/>
  <c r="M36" i="3" s="1"/>
  <c r="N35" i="3" a="1"/>
  <c r="N35" i="3" s="1"/>
  <c r="L35" i="3"/>
  <c r="K35" i="3"/>
  <c r="H35" i="3"/>
  <c r="J35" i="3" s="1"/>
  <c r="G35" i="3"/>
  <c r="F35" i="3"/>
  <c r="D35" i="3" a="1"/>
  <c r="D35" i="3" s="1"/>
  <c r="C35" i="3" a="1"/>
  <c r="C35" i="3" s="1"/>
  <c r="B35" i="3" a="1"/>
  <c r="B35" i="3" s="1"/>
  <c r="M35" i="3" s="1" a="1"/>
  <c r="M35" i="3" s="1"/>
  <c r="N34" i="3" a="1"/>
  <c r="N34" i="3"/>
  <c r="L34" i="3"/>
  <c r="K34" i="3"/>
  <c r="J34" i="3"/>
  <c r="I34" i="3"/>
  <c r="H34" i="3"/>
  <c r="G34" i="3"/>
  <c r="F34" i="3"/>
  <c r="D34" i="3" a="1"/>
  <c r="D34" i="3" s="1"/>
  <c r="C34" i="3" a="1"/>
  <c r="C34" i="3"/>
  <c r="B34" i="3" a="1"/>
  <c r="B34" i="3"/>
  <c r="M34" i="3" s="1" a="1"/>
  <c r="M34" i="3" s="1"/>
  <c r="N33" i="3" a="1"/>
  <c r="N33" i="3"/>
  <c r="M33" i="3" a="1"/>
  <c r="M33" i="3" s="1"/>
  <c r="L33" i="3"/>
  <c r="K33" i="3"/>
  <c r="H33" i="3"/>
  <c r="G33" i="3"/>
  <c r="F33" i="3"/>
  <c r="D33" i="3" a="1"/>
  <c r="D33" i="3" s="1"/>
  <c r="C33" i="3" a="1"/>
  <c r="C33" i="3" s="1"/>
  <c r="B33" i="3" a="1"/>
  <c r="B33" i="3" s="1"/>
  <c r="N32" i="3" a="1"/>
  <c r="N32" i="3" s="1"/>
  <c r="M32" i="3" a="1"/>
  <c r="M32" i="3"/>
  <c r="L32" i="3"/>
  <c r="K32" i="3"/>
  <c r="J32" i="3"/>
  <c r="I32" i="3"/>
  <c r="H32" i="3"/>
  <c r="G32" i="3"/>
  <c r="F32" i="3"/>
  <c r="D32" i="3" a="1"/>
  <c r="D32" i="3" s="1"/>
  <c r="C32" i="3" a="1"/>
  <c r="C32" i="3" s="1"/>
  <c r="B32" i="3" a="1"/>
  <c r="B32" i="3"/>
  <c r="N31" i="3" a="1"/>
  <c r="N31" i="3"/>
  <c r="L31" i="3"/>
  <c r="K31" i="3"/>
  <c r="H31" i="3"/>
  <c r="J31" i="3" s="1"/>
  <c r="G31" i="3"/>
  <c r="F31" i="3"/>
  <c r="D31" i="3" a="1"/>
  <c r="D31" i="3" s="1"/>
  <c r="C31" i="3" a="1"/>
  <c r="C31" i="3" s="1"/>
  <c r="B31" i="3" a="1"/>
  <c r="B31" i="3" s="1"/>
  <c r="M31" i="3" s="1" a="1"/>
  <c r="M31" i="3" s="1"/>
  <c r="N30" i="3" a="1"/>
  <c r="N30" i="3"/>
  <c r="L30" i="3"/>
  <c r="K30" i="3"/>
  <c r="J30" i="3"/>
  <c r="I30" i="3"/>
  <c r="H30" i="3"/>
  <c r="G30" i="3"/>
  <c r="F30" i="3"/>
  <c r="D30" i="3" a="1"/>
  <c r="D30" i="3"/>
  <c r="C30" i="3" a="1"/>
  <c r="C30" i="3"/>
  <c r="B30" i="3" a="1"/>
  <c r="B30" i="3" s="1"/>
  <c r="M30" i="3" s="1" a="1"/>
  <c r="M30" i="3" s="1"/>
  <c r="N29" i="3" a="1"/>
  <c r="N29" i="3" s="1"/>
  <c r="L29" i="3"/>
  <c r="K29" i="3"/>
  <c r="J29" i="3"/>
  <c r="I29" i="3"/>
  <c r="H29" i="3"/>
  <c r="G29" i="3"/>
  <c r="F29" i="3"/>
  <c r="D29" i="3" a="1"/>
  <c r="D29" i="3" s="1"/>
  <c r="C29" i="3" a="1"/>
  <c r="C29" i="3" s="1"/>
  <c r="B29" i="3" a="1"/>
  <c r="B29" i="3" s="1"/>
  <c r="M29" i="3" s="1" a="1"/>
  <c r="M29" i="3" s="1"/>
  <c r="N28" i="3" a="1"/>
  <c r="N28" i="3" s="1"/>
  <c r="L28" i="3"/>
  <c r="K28" i="3"/>
  <c r="H28" i="3"/>
  <c r="G28" i="3"/>
  <c r="F28" i="3"/>
  <c r="D28" i="3" a="1"/>
  <c r="D28" i="3" s="1"/>
  <c r="C28" i="3" a="1"/>
  <c r="C28" i="3"/>
  <c r="B28" i="3" a="1"/>
  <c r="B28" i="3"/>
  <c r="M28" i="3" s="1" a="1"/>
  <c r="M28" i="3" s="1"/>
  <c r="N27" i="3" a="1"/>
  <c r="N27" i="3" s="1"/>
  <c r="L27" i="3"/>
  <c r="K27" i="3"/>
  <c r="J27" i="3"/>
  <c r="H27" i="3"/>
  <c r="G27" i="3"/>
  <c r="F27" i="3"/>
  <c r="D27" i="3" a="1"/>
  <c r="D27" i="3" s="1"/>
  <c r="C27" i="3" a="1"/>
  <c r="C27" i="3" s="1"/>
  <c r="B27" i="3" a="1"/>
  <c r="B27" i="3"/>
  <c r="M27" i="3" s="1" a="1"/>
  <c r="M27" i="3" s="1"/>
  <c r="N26" i="3" a="1"/>
  <c r="N26" i="3"/>
  <c r="M26" i="3" a="1"/>
  <c r="M26" i="3" s="1"/>
  <c r="L26" i="3"/>
  <c r="K26" i="3"/>
  <c r="H26" i="3"/>
  <c r="G26" i="3"/>
  <c r="F26" i="3"/>
  <c r="D26" i="3" a="1"/>
  <c r="D26" i="3" s="1"/>
  <c r="C26" i="3" a="1"/>
  <c r="C26" i="3"/>
  <c r="B26" i="3" a="1"/>
  <c r="B26" i="3"/>
  <c r="N25" i="3" a="1"/>
  <c r="N25" i="3" s="1"/>
  <c r="L25" i="3"/>
  <c r="K25" i="3"/>
  <c r="I25" i="3"/>
  <c r="H25" i="3"/>
  <c r="J25" i="3" s="1"/>
  <c r="G25" i="3"/>
  <c r="F25" i="3"/>
  <c r="D25" i="3" a="1"/>
  <c r="D25" i="3"/>
  <c r="C25" i="3" a="1"/>
  <c r="C25" i="3" s="1"/>
  <c r="B25" i="3" a="1"/>
  <c r="B25" i="3" s="1"/>
  <c r="M25" i="3" s="1" a="1"/>
  <c r="M25" i="3" s="1"/>
  <c r="N24" i="3" a="1"/>
  <c r="N24" i="3"/>
  <c r="M24" i="3"/>
  <c r="L24" i="3"/>
  <c r="K24" i="3"/>
  <c r="H24" i="3"/>
  <c r="J24" i="3" s="1"/>
  <c r="G24" i="3"/>
  <c r="F24" i="3"/>
  <c r="D24" i="3" a="1"/>
  <c r="D24" i="3"/>
  <c r="C24" i="3" a="1"/>
  <c r="C24" i="3" s="1"/>
  <c r="B24" i="3" a="1"/>
  <c r="B24" i="3"/>
  <c r="M24" i="3" s="1" a="1"/>
  <c r="N23" i="3" a="1"/>
  <c r="N23" i="3"/>
  <c r="L23" i="3"/>
  <c r="K23" i="3"/>
  <c r="J23" i="3"/>
  <c r="H23" i="3"/>
  <c r="G23" i="3"/>
  <c r="F23" i="3"/>
  <c r="D23" i="3" a="1"/>
  <c r="D23" i="3"/>
  <c r="C23" i="3" a="1"/>
  <c r="C23" i="3"/>
  <c r="B23" i="3" a="1"/>
  <c r="B23" i="3" s="1"/>
  <c r="M23" i="3" s="1" a="1"/>
  <c r="M23" i="3" s="1"/>
  <c r="N22" i="3" a="1"/>
  <c r="N22" i="3"/>
  <c r="L22" i="3"/>
  <c r="K22" i="3"/>
  <c r="I22" i="3"/>
  <c r="H22" i="3"/>
  <c r="J22" i="3" s="1"/>
  <c r="G22" i="3"/>
  <c r="F22" i="3"/>
  <c r="D22" i="3" a="1"/>
  <c r="D22" i="3" s="1"/>
  <c r="C22" i="3" a="1"/>
  <c r="C22" i="3" s="1"/>
  <c r="B22" i="3" a="1"/>
  <c r="B22" i="3"/>
  <c r="M22" i="3" s="1" a="1"/>
  <c r="M22" i="3" s="1"/>
  <c r="N21" i="3" a="1"/>
  <c r="N21" i="3" s="1"/>
  <c r="M21" i="3" a="1"/>
  <c r="M21" i="3" s="1"/>
  <c r="L21" i="3"/>
  <c r="K21" i="3"/>
  <c r="I21" i="3"/>
  <c r="H21" i="3"/>
  <c r="J21" i="3" s="1"/>
  <c r="G21" i="3"/>
  <c r="F21" i="3"/>
  <c r="D21" i="3" a="1"/>
  <c r="D21" i="3"/>
  <c r="C21" i="3" a="1"/>
  <c r="C21" i="3"/>
  <c r="B21" i="3" a="1"/>
  <c r="B21" i="3"/>
  <c r="N20" i="3" a="1"/>
  <c r="N20" i="3" s="1"/>
  <c r="L20" i="3"/>
  <c r="K20" i="3"/>
  <c r="J20" i="3"/>
  <c r="H20" i="3"/>
  <c r="I20" i="3" s="1"/>
  <c r="G20" i="3"/>
  <c r="F20" i="3"/>
  <c r="D20" i="3" a="1"/>
  <c r="D20" i="3" s="1"/>
  <c r="C20" i="3" a="1"/>
  <c r="C20" i="3" s="1"/>
  <c r="B20" i="3" a="1"/>
  <c r="B20" i="3" s="1"/>
  <c r="M20" i="3" s="1" a="1"/>
  <c r="M20" i="3" s="1"/>
  <c r="N19" i="3" a="1"/>
  <c r="N19" i="3" s="1"/>
  <c r="L19" i="3"/>
  <c r="K19" i="3"/>
  <c r="H19" i="3"/>
  <c r="J19" i="3" s="1"/>
  <c r="G19" i="3"/>
  <c r="F19" i="3"/>
  <c r="D19" i="3" a="1"/>
  <c r="D19" i="3" s="1"/>
  <c r="C19" i="3" a="1"/>
  <c r="C19" i="3" s="1"/>
  <c r="B19" i="3" a="1"/>
  <c r="B19" i="3" s="1"/>
  <c r="M19" i="3" s="1" a="1"/>
  <c r="M19" i="3" s="1"/>
  <c r="N18" i="3" a="1"/>
  <c r="N18" i="3" s="1"/>
  <c r="M18" i="3" a="1"/>
  <c r="M18" i="3" s="1"/>
  <c r="L18" i="3"/>
  <c r="K18" i="3"/>
  <c r="J18" i="3"/>
  <c r="I18" i="3"/>
  <c r="H18" i="3"/>
  <c r="G18" i="3"/>
  <c r="F18" i="3"/>
  <c r="D18" i="3" a="1"/>
  <c r="D18" i="3" s="1"/>
  <c r="C18" i="3" a="1"/>
  <c r="C18" i="3" s="1"/>
  <c r="B18" i="3" a="1"/>
  <c r="B18" i="3"/>
  <c r="N17" i="3" a="1"/>
  <c r="N17" i="3"/>
  <c r="L17" i="3"/>
  <c r="K17" i="3"/>
  <c r="J17" i="3"/>
  <c r="I17" i="3"/>
  <c r="H17" i="3"/>
  <c r="G17" i="3"/>
  <c r="F17" i="3"/>
  <c r="D17" i="3" a="1"/>
  <c r="D17" i="3"/>
  <c r="C17" i="3" a="1"/>
  <c r="C17" i="3"/>
  <c r="B17" i="3" a="1"/>
  <c r="B17" i="3" s="1"/>
  <c r="M17" i="3" s="1" a="1"/>
  <c r="M17" i="3" s="1"/>
  <c r="N16" i="3" a="1"/>
  <c r="N16" i="3" s="1"/>
  <c r="L16" i="3"/>
  <c r="K16" i="3"/>
  <c r="H16" i="3"/>
  <c r="G16" i="3"/>
  <c r="F16" i="3"/>
  <c r="D16" i="3" a="1"/>
  <c r="D16" i="3" s="1"/>
  <c r="C16" i="3" a="1"/>
  <c r="C16" i="3"/>
  <c r="B16" i="3" a="1"/>
  <c r="B16" i="3" s="1"/>
  <c r="M16" i="3" s="1" a="1"/>
  <c r="M16" i="3" s="1"/>
  <c r="N15" i="3" a="1"/>
  <c r="N15" i="3"/>
  <c r="L15" i="3"/>
  <c r="K15" i="3"/>
  <c r="J15" i="3"/>
  <c r="I15" i="3"/>
  <c r="H15" i="3"/>
  <c r="G15" i="3"/>
  <c r="F15" i="3"/>
  <c r="D15" i="3" a="1"/>
  <c r="D15" i="3"/>
  <c r="C15" i="3" a="1"/>
  <c r="C15" i="3"/>
  <c r="B15" i="3" a="1"/>
  <c r="B15" i="3" s="1"/>
  <c r="M15" i="3" s="1" a="1"/>
  <c r="M15" i="3" s="1"/>
  <c r="N14" i="3" a="1"/>
  <c r="N14" i="3" s="1"/>
  <c r="L14" i="3"/>
  <c r="K14" i="3"/>
  <c r="J14" i="3"/>
  <c r="I14" i="3"/>
  <c r="H14" i="3"/>
  <c r="G14" i="3"/>
  <c r="F14" i="3"/>
  <c r="D14" i="3" a="1"/>
  <c r="D14" i="3" s="1"/>
  <c r="C14" i="3" a="1"/>
  <c r="C14" i="3" s="1"/>
  <c r="B14" i="3" a="1"/>
  <c r="B14" i="3"/>
  <c r="M14" i="3" s="1" a="1"/>
  <c r="M14" i="3" s="1"/>
  <c r="N13" i="3" a="1"/>
  <c r="N13" i="3" s="1"/>
  <c r="L13" i="3"/>
  <c r="K13" i="3"/>
  <c r="I13" i="3"/>
  <c r="H13" i="3"/>
  <c r="J13" i="3" s="1"/>
  <c r="G13" i="3"/>
  <c r="F13" i="3"/>
  <c r="D13" i="3" a="1"/>
  <c r="D13" i="3" s="1"/>
  <c r="C13" i="3" a="1"/>
  <c r="C13" i="3"/>
  <c r="B13" i="3" a="1"/>
  <c r="B13" i="3"/>
  <c r="M13" i="3" s="1" a="1"/>
  <c r="M13" i="3" s="1"/>
  <c r="N12" i="3" a="1"/>
  <c r="N12" i="3" s="1"/>
  <c r="L12" i="3"/>
  <c r="K12" i="3"/>
  <c r="J12" i="3"/>
  <c r="H12" i="3"/>
  <c r="G12" i="3"/>
  <c r="F12" i="3"/>
  <c r="D12" i="3" a="1"/>
  <c r="D12" i="3" s="1"/>
  <c r="C12" i="3" a="1"/>
  <c r="C12" i="3" s="1"/>
  <c r="B12" i="3" a="1"/>
  <c r="B12" i="3"/>
  <c r="M12" i="3" s="1" a="1"/>
  <c r="M12" i="3" s="1"/>
  <c r="F9" i="3"/>
  <c r="D643" i="2" a="1"/>
  <c r="D643" i="2" s="1"/>
  <c r="D642" i="2" a="1"/>
  <c r="D642" i="2" s="1"/>
  <c r="D641" i="2" a="1"/>
  <c r="D641" i="2"/>
  <c r="D640" i="2" a="1"/>
  <c r="D640" i="2"/>
  <c r="D639" i="2" a="1"/>
  <c r="D639" i="2"/>
  <c r="D638" i="2" a="1"/>
  <c r="D638" i="2" s="1"/>
  <c r="D637" i="2" a="1"/>
  <c r="D637" i="2"/>
  <c r="D636" i="2" a="1"/>
  <c r="D636" i="2" s="1"/>
  <c r="D635" i="2" a="1"/>
  <c r="D635" i="2" s="1"/>
  <c r="D634" i="2" a="1"/>
  <c r="D634" i="2" s="1"/>
  <c r="D633" i="2" a="1"/>
  <c r="D633" i="2" s="1"/>
  <c r="D632" i="2" a="1"/>
  <c r="D632" i="2"/>
  <c r="D631" i="2" a="1"/>
  <c r="D631" i="2"/>
  <c r="D630" i="2" a="1"/>
  <c r="D630" i="2" s="1"/>
  <c r="D629" i="2" a="1"/>
  <c r="D629" i="2" s="1"/>
  <c r="D628" i="2" a="1"/>
  <c r="D628" i="2"/>
  <c r="D627" i="2" a="1"/>
  <c r="D627" i="2" s="1"/>
  <c r="D626" i="2" a="1"/>
  <c r="D626" i="2" s="1"/>
  <c r="D625" i="2" a="1"/>
  <c r="D625" i="2" s="1"/>
  <c r="D624" i="2" a="1"/>
  <c r="D624" i="2" s="1"/>
  <c r="D623" i="2" a="1"/>
  <c r="D623" i="2"/>
  <c r="D622" i="2" a="1"/>
  <c r="D622" i="2"/>
  <c r="D621" i="2" a="1"/>
  <c r="D621" i="2" s="1"/>
  <c r="D620" i="2" a="1"/>
  <c r="D620" i="2" s="1"/>
  <c r="D619" i="2" a="1"/>
  <c r="D619" i="2"/>
  <c r="D618" i="2" a="1"/>
  <c r="D618" i="2" s="1"/>
  <c r="D617" i="2" a="1"/>
  <c r="D617" i="2" s="1"/>
  <c r="D616" i="2" a="1"/>
  <c r="D616" i="2" s="1"/>
  <c r="D615" i="2" a="1"/>
  <c r="D615" i="2" s="1"/>
  <c r="D614" i="2" a="1"/>
  <c r="D614" i="2"/>
  <c r="D613" i="2" a="1"/>
  <c r="D613" i="2"/>
  <c r="D612" i="2" a="1"/>
  <c r="D612" i="2"/>
  <c r="D611" i="2" a="1"/>
  <c r="D611" i="2" s="1"/>
  <c r="D610" i="2" a="1"/>
  <c r="D610" i="2"/>
  <c r="D609" i="2" a="1"/>
  <c r="D609" i="2" s="1"/>
  <c r="D608" i="2" a="1"/>
  <c r="D608" i="2" s="1"/>
  <c r="D607" i="2" a="1"/>
  <c r="D607" i="2"/>
  <c r="D606" i="2" a="1"/>
  <c r="D606" i="2" s="1"/>
  <c r="D605" i="2" a="1"/>
  <c r="D605" i="2"/>
  <c r="D604" i="2" a="1"/>
  <c r="D604" i="2"/>
  <c r="D603" i="2" a="1"/>
  <c r="D603" i="2"/>
  <c r="D602" i="2" a="1"/>
  <c r="D602" i="2" s="1"/>
  <c r="D601" i="2" a="1"/>
  <c r="D601" i="2" s="1"/>
  <c r="D600" i="2" a="1"/>
  <c r="D600" i="2" s="1"/>
  <c r="D599" i="2" a="1"/>
  <c r="D599" i="2" s="1"/>
  <c r="D598" i="2" a="1"/>
  <c r="D598" i="2"/>
  <c r="D597" i="2" a="1"/>
  <c r="D597" i="2" s="1"/>
  <c r="D596" i="2" a="1"/>
  <c r="D596" i="2"/>
  <c r="D595" i="2" a="1"/>
  <c r="D595" i="2"/>
  <c r="D594" i="2" a="1"/>
  <c r="D594" i="2" s="1"/>
  <c r="D593" i="2" a="1"/>
  <c r="D593" i="2" s="1"/>
  <c r="D592" i="2" a="1"/>
  <c r="D592" i="2" s="1"/>
  <c r="D591" i="2" a="1"/>
  <c r="D591" i="2" s="1"/>
  <c r="D590" i="2" a="1"/>
  <c r="D590" i="2" s="1"/>
  <c r="D589" i="2" a="1"/>
  <c r="D589" i="2" s="1"/>
  <c r="D588" i="2" a="1"/>
  <c r="D588" i="2" s="1"/>
  <c r="D587" i="2" a="1"/>
  <c r="D587" i="2"/>
  <c r="D586" i="2" a="1"/>
  <c r="D586" i="2"/>
  <c r="D585" i="2" a="1"/>
  <c r="D585" i="2"/>
  <c r="D584" i="2" a="1"/>
  <c r="D584" i="2" s="1"/>
  <c r="D583" i="2" a="1"/>
  <c r="D583" i="2"/>
  <c r="D582" i="2" a="1"/>
  <c r="D582" i="2" s="1"/>
  <c r="D581" i="2" a="1"/>
  <c r="D581" i="2" s="1"/>
  <c r="D580" i="2" a="1"/>
  <c r="D580" i="2" s="1"/>
  <c r="D579" i="2" a="1"/>
  <c r="D579" i="2" s="1"/>
  <c r="D578" i="2" a="1"/>
  <c r="D578" i="2"/>
  <c r="D577" i="2" a="1"/>
  <c r="D577" i="2"/>
  <c r="D576" i="2" a="1"/>
  <c r="D576" i="2" s="1"/>
  <c r="D575" i="2" a="1"/>
  <c r="D575" i="2" s="1"/>
  <c r="D574" i="2" a="1"/>
  <c r="D574" i="2" s="1"/>
  <c r="D573" i="2" a="1"/>
  <c r="D573" i="2" s="1"/>
  <c r="D572" i="2" a="1"/>
  <c r="D572" i="2" s="1"/>
  <c r="D571" i="2" a="1"/>
  <c r="D571" i="2"/>
  <c r="D570" i="2" a="1"/>
  <c r="D570" i="2" s="1"/>
  <c r="D569" i="2" a="1"/>
  <c r="D569" i="2"/>
  <c r="D568" i="2" a="1"/>
  <c r="D568" i="2"/>
  <c r="D567" i="2" a="1"/>
  <c r="D567" i="2"/>
  <c r="D566" i="2" a="1"/>
  <c r="D566" i="2" s="1"/>
  <c r="D565" i="2" a="1"/>
  <c r="D565" i="2" s="1"/>
  <c r="D564" i="2" a="1"/>
  <c r="D564" i="2" s="1"/>
  <c r="D563" i="2" a="1"/>
  <c r="D563" i="2" s="1"/>
  <c r="D562" i="2" a="1"/>
  <c r="D562" i="2" s="1"/>
  <c r="D561" i="2" a="1"/>
  <c r="D561" i="2" s="1"/>
  <c r="D560" i="2" a="1"/>
  <c r="D560" i="2"/>
  <c r="D559" i="2" a="1"/>
  <c r="D559" i="2"/>
  <c r="D558" i="2" a="1"/>
  <c r="D558" i="2" s="1"/>
  <c r="D557" i="2" a="1"/>
  <c r="D557" i="2" s="1"/>
  <c r="D556" i="2" a="1"/>
  <c r="D556" i="2" s="1"/>
  <c r="D555" i="2" a="1"/>
  <c r="D555" i="2" s="1"/>
  <c r="D554" i="2" a="1"/>
  <c r="D554" i="2" s="1"/>
  <c r="D553" i="2" a="1"/>
  <c r="D553" i="2" s="1"/>
  <c r="D552" i="2" a="1"/>
  <c r="D552" i="2" s="1"/>
  <c r="D551" i="2" a="1"/>
  <c r="D551" i="2"/>
  <c r="D550" i="2" a="1"/>
  <c r="D550" i="2"/>
  <c r="D549" i="2" a="1"/>
  <c r="D549" i="2" s="1"/>
  <c r="D548" i="2" a="1"/>
  <c r="D548" i="2" s="1"/>
  <c r="D547" i="2" a="1"/>
  <c r="D547" i="2" s="1"/>
  <c r="D546" i="2" a="1"/>
  <c r="D546" i="2" s="1"/>
  <c r="D545" i="2" a="1"/>
  <c r="D545" i="2" s="1"/>
  <c r="D544" i="2" a="1"/>
  <c r="D544" i="2" s="1"/>
  <c r="D543" i="2" a="1"/>
  <c r="D543" i="2" s="1"/>
  <c r="D542" i="2" a="1"/>
  <c r="D542" i="2"/>
  <c r="D541" i="2" a="1"/>
  <c r="D541" i="2"/>
  <c r="D540" i="2" a="1"/>
  <c r="D540" i="2" s="1"/>
  <c r="D539" i="2" a="1"/>
  <c r="D539" i="2" s="1"/>
  <c r="D538" i="2" a="1"/>
  <c r="D538" i="2"/>
  <c r="D537" i="2" a="1"/>
  <c r="D537" i="2" s="1"/>
  <c r="D536" i="2" a="1"/>
  <c r="D536" i="2" s="1"/>
  <c r="D535" i="2" a="1"/>
  <c r="D535" i="2" s="1"/>
  <c r="D534" i="2" a="1"/>
  <c r="D534" i="2" s="1"/>
  <c r="D533" i="2" a="1"/>
  <c r="D533" i="2"/>
  <c r="D532" i="2" a="1"/>
  <c r="D532" i="2"/>
  <c r="D531" i="2" a="1"/>
  <c r="D531" i="2"/>
  <c r="D530" i="2" a="1"/>
  <c r="D530" i="2" s="1"/>
  <c r="D529" i="2" a="1"/>
  <c r="D529" i="2"/>
  <c r="D528" i="2" a="1"/>
  <c r="D528" i="2" s="1"/>
  <c r="D527" i="2" a="1"/>
  <c r="D527" i="2" s="1"/>
  <c r="D526" i="2" a="1"/>
  <c r="D526" i="2"/>
  <c r="D525" i="2" a="1"/>
  <c r="D525" i="2" s="1"/>
  <c r="D524" i="2" a="1"/>
  <c r="D524" i="2"/>
  <c r="D523" i="2" a="1"/>
  <c r="D523" i="2"/>
  <c r="D522" i="2" a="1"/>
  <c r="D522" i="2"/>
  <c r="D521" i="2" a="1"/>
  <c r="D521" i="2" s="1"/>
  <c r="D520" i="2" a="1"/>
  <c r="D520" i="2" s="1"/>
  <c r="D519" i="2" a="1"/>
  <c r="D519" i="2" s="1"/>
  <c r="D518" i="2" a="1"/>
  <c r="D518" i="2" s="1"/>
  <c r="D517" i="2" a="1"/>
  <c r="D517" i="2"/>
  <c r="D516" i="2" a="1"/>
  <c r="D516" i="2" s="1"/>
  <c r="D515" i="2" a="1"/>
  <c r="D515" i="2"/>
  <c r="D514" i="2" a="1"/>
  <c r="D514" i="2"/>
  <c r="D513" i="2" a="1"/>
  <c r="D513" i="2" s="1"/>
  <c r="D512" i="2" a="1"/>
  <c r="D512" i="2" s="1"/>
  <c r="D511" i="2" a="1"/>
  <c r="D511" i="2" s="1"/>
  <c r="D510" i="2" a="1"/>
  <c r="D510" i="2" s="1"/>
  <c r="D509" i="2" a="1"/>
  <c r="D509" i="2" s="1"/>
  <c r="D508" i="2" a="1"/>
  <c r="D508" i="2" s="1"/>
  <c r="D507" i="2" a="1"/>
  <c r="D507" i="2" s="1"/>
  <c r="D506" i="2" a="1"/>
  <c r="D506" i="2"/>
  <c r="D505" i="2" a="1"/>
  <c r="D505" i="2"/>
  <c r="D504" i="2" a="1"/>
  <c r="D504" i="2"/>
  <c r="D503" i="2" a="1"/>
  <c r="D503" i="2" s="1"/>
  <c r="D502" i="2" a="1"/>
  <c r="D502" i="2"/>
  <c r="D501" i="2" a="1"/>
  <c r="D501" i="2" s="1"/>
  <c r="D500" i="2" a="1"/>
  <c r="D500" i="2" s="1"/>
  <c r="D499" i="2" a="1"/>
  <c r="D499" i="2" s="1"/>
  <c r="D498" i="2" a="1"/>
  <c r="D498" i="2" s="1"/>
  <c r="D497" i="2" a="1"/>
  <c r="D497" i="2"/>
  <c r="D496" i="2" a="1"/>
  <c r="D496" i="2"/>
  <c r="D495" i="2" a="1"/>
  <c r="D495" i="2" s="1"/>
  <c r="D494" i="2" a="1"/>
  <c r="D494" i="2" s="1"/>
  <c r="D493" i="2" a="1"/>
  <c r="D493" i="2" s="1"/>
  <c r="D492" i="2" a="1"/>
  <c r="D492" i="2" s="1"/>
  <c r="D491" i="2" a="1"/>
  <c r="D491" i="2" s="1"/>
  <c r="D490" i="2" a="1"/>
  <c r="D490" i="2"/>
  <c r="D489" i="2" a="1"/>
  <c r="D489" i="2" s="1"/>
  <c r="D488" i="2" a="1"/>
  <c r="D488" i="2"/>
  <c r="D487" i="2" a="1"/>
  <c r="D487" i="2"/>
  <c r="D486" i="2" a="1"/>
  <c r="D486" i="2"/>
  <c r="D485" i="2" a="1"/>
  <c r="D485" i="2" s="1"/>
  <c r="D484" i="2" a="1"/>
  <c r="D484" i="2"/>
  <c r="D483" i="2" a="1"/>
  <c r="D483" i="2" s="1"/>
  <c r="D482" i="2" a="1"/>
  <c r="D482" i="2" s="1"/>
  <c r="D481" i="2" a="1"/>
  <c r="D481" i="2" s="1"/>
  <c r="D480" i="2" a="1"/>
  <c r="D480" i="2" s="1"/>
  <c r="D479" i="2" a="1"/>
  <c r="D479" i="2"/>
  <c r="D478" i="2" a="1"/>
  <c r="D478" i="2"/>
  <c r="D477" i="2" a="1"/>
  <c r="D477" i="2"/>
  <c r="D476" i="2" a="1"/>
  <c r="D476" i="2" s="1"/>
  <c r="D475" i="2" a="1"/>
  <c r="D475" i="2" s="1"/>
  <c r="D474" i="2" a="1"/>
  <c r="D474" i="2" s="1"/>
  <c r="D473" i="2" a="1"/>
  <c r="D473" i="2" s="1"/>
  <c r="D472" i="2" a="1"/>
  <c r="D472" i="2"/>
  <c r="D471" i="2" a="1"/>
  <c r="D471" i="2" s="1"/>
  <c r="D470" i="2" a="1"/>
  <c r="D470" i="2"/>
  <c r="D469" i="2" a="1"/>
  <c r="D469" i="2"/>
  <c r="D468" i="2" a="1"/>
  <c r="D468" i="2" s="1"/>
  <c r="D467" i="2" a="1"/>
  <c r="D467" i="2" s="1"/>
  <c r="D466" i="2" a="1"/>
  <c r="D466" i="2" s="1"/>
  <c r="D465" i="2" a="1"/>
  <c r="D465" i="2" s="1"/>
  <c r="D464" i="2" a="1"/>
  <c r="D464" i="2" s="1"/>
  <c r="D463" i="2" a="1"/>
  <c r="D463" i="2" s="1"/>
  <c r="D462" i="2" a="1"/>
  <c r="D462" i="2" s="1"/>
  <c r="D461" i="2" a="1"/>
  <c r="D461" i="2"/>
  <c r="D460" i="2" a="1"/>
  <c r="D460" i="2"/>
  <c r="D459" i="2" a="1"/>
  <c r="D459" i="2" s="1"/>
  <c r="D458" i="2" a="1"/>
  <c r="D458" i="2" s="1"/>
  <c r="D457" i="2" a="1"/>
  <c r="D457" i="2"/>
  <c r="D456" i="2" a="1"/>
  <c r="D456" i="2" s="1"/>
  <c r="D455" i="2" a="1"/>
  <c r="D455" i="2" s="1"/>
  <c r="D454" i="2" a="1"/>
  <c r="D454" i="2" s="1"/>
  <c r="D453" i="2" a="1"/>
  <c r="D453" i="2" s="1"/>
  <c r="D452" i="2" a="1"/>
  <c r="D452" i="2"/>
  <c r="D451" i="2" a="1"/>
  <c r="D451" i="2"/>
  <c r="D450" i="2" a="1"/>
  <c r="D450" i="2"/>
  <c r="D449" i="2" a="1"/>
  <c r="D449" i="2" s="1"/>
  <c r="D448" i="2" a="1"/>
  <c r="D448" i="2"/>
  <c r="D447" i="2" a="1"/>
  <c r="D447" i="2" s="1"/>
  <c r="D446" i="2" a="1"/>
  <c r="D446" i="2" s="1"/>
  <c r="D445" i="2" a="1"/>
  <c r="D445" i="2"/>
  <c r="D444" i="2" a="1"/>
  <c r="D444" i="2" s="1"/>
  <c r="D443" i="2" a="1"/>
  <c r="D443" i="2"/>
  <c r="D442" i="2" a="1"/>
  <c r="D442" i="2"/>
  <c r="D441" i="2" a="1"/>
  <c r="D441" i="2"/>
  <c r="D440" i="2" a="1"/>
  <c r="D440" i="2" s="1"/>
  <c r="D439" i="2" a="1"/>
  <c r="D439" i="2" s="1"/>
  <c r="D438" i="2" a="1"/>
  <c r="D438" i="2" s="1"/>
  <c r="D437" i="2" a="1"/>
  <c r="D437" i="2" s="1"/>
  <c r="D436" i="2" a="1"/>
  <c r="D436" i="2"/>
  <c r="D435" i="2" a="1"/>
  <c r="D435" i="2" s="1"/>
  <c r="D434" i="2" a="1"/>
  <c r="D434" i="2"/>
  <c r="D433" i="2" a="1"/>
  <c r="D433" i="2"/>
  <c r="D432" i="2" a="1"/>
  <c r="D432" i="2" s="1"/>
  <c r="D431" i="2" a="1"/>
  <c r="D431" i="2" s="1"/>
  <c r="D430" i="2" a="1"/>
  <c r="D430" i="2" s="1"/>
  <c r="D429" i="2" a="1"/>
  <c r="D429" i="2" s="1"/>
  <c r="D428" i="2" a="1"/>
  <c r="D428" i="2" s="1"/>
  <c r="D427" i="2" a="1"/>
  <c r="D427" i="2" s="1"/>
  <c r="D426" i="2" a="1"/>
  <c r="D426" i="2" s="1"/>
  <c r="D425" i="2" a="1"/>
  <c r="D425" i="2"/>
  <c r="D424" i="2" a="1"/>
  <c r="D424" i="2" s="1"/>
  <c r="D423" i="2" a="1"/>
  <c r="D423" i="2"/>
  <c r="D422" i="2" a="1"/>
  <c r="D422" i="2" s="1"/>
  <c r="D421" i="2" a="1"/>
  <c r="D421" i="2"/>
  <c r="D420" i="2" a="1"/>
  <c r="D420" i="2" s="1"/>
  <c r="D419" i="2" a="1"/>
  <c r="D419" i="2" s="1"/>
  <c r="D418" i="2" a="1"/>
  <c r="D418" i="2" s="1"/>
  <c r="D417" i="2" a="1"/>
  <c r="D417" i="2" s="1"/>
  <c r="D416" i="2" a="1"/>
  <c r="D416" i="2" s="1"/>
  <c r="D415" i="2" a="1"/>
  <c r="D415" i="2" s="1"/>
  <c r="D414" i="2" a="1"/>
  <c r="D414" i="2" s="1"/>
  <c r="D413" i="2" a="1"/>
  <c r="D413" i="2" s="1"/>
  <c r="D412" i="2" a="1"/>
  <c r="D412" i="2" s="1"/>
  <c r="D411" i="2" a="1"/>
  <c r="D411" i="2" s="1"/>
  <c r="D410" i="2" a="1"/>
  <c r="D410" i="2" s="1"/>
  <c r="D409" i="2" a="1"/>
  <c r="D409" i="2" s="1"/>
  <c r="D408" i="2" a="1"/>
  <c r="D408" i="2" s="1"/>
  <c r="D407" i="2" a="1"/>
  <c r="D407" i="2" s="1"/>
  <c r="D406" i="2" a="1"/>
  <c r="D406" i="2" s="1"/>
  <c r="D405" i="2" a="1"/>
  <c r="D405" i="2"/>
  <c r="D404" i="2" a="1"/>
  <c r="D404" i="2"/>
  <c r="D403" i="2" a="1"/>
  <c r="D403" i="2"/>
  <c r="D402" i="2" a="1"/>
  <c r="D402" i="2" s="1"/>
  <c r="D401" i="2" a="1"/>
  <c r="D401" i="2" s="1"/>
  <c r="D400" i="2" a="1"/>
  <c r="D400" i="2" s="1"/>
  <c r="D399" i="2" a="1"/>
  <c r="D399" i="2" s="1"/>
  <c r="D398" i="2" a="1"/>
  <c r="D398" i="2" s="1"/>
  <c r="D397" i="2" a="1"/>
  <c r="D397" i="2" s="1"/>
  <c r="D396" i="2" a="1"/>
  <c r="D396" i="2" s="1"/>
  <c r="D395" i="2" a="1"/>
  <c r="D395" i="2" s="1"/>
  <c r="D394" i="2" a="1"/>
  <c r="D394" i="2"/>
  <c r="D393" i="2" a="1"/>
  <c r="D393" i="2" s="1"/>
  <c r="D392" i="2" a="1"/>
  <c r="D392" i="2" s="1"/>
  <c r="D391" i="2" a="1"/>
  <c r="D391" i="2"/>
  <c r="D390" i="2" a="1"/>
  <c r="D390" i="2" s="1"/>
  <c r="D389" i="2" a="1"/>
  <c r="D389" i="2" s="1"/>
  <c r="D388" i="2" a="1"/>
  <c r="D388" i="2" s="1"/>
  <c r="D387" i="2" a="1"/>
  <c r="D387" i="2"/>
  <c r="D386" i="2" a="1"/>
  <c r="D386" i="2" s="1"/>
  <c r="D385" i="2" a="1"/>
  <c r="D385" i="2" s="1"/>
  <c r="D384" i="2" a="1"/>
  <c r="D384" i="2" s="1"/>
  <c r="D383" i="2" a="1"/>
  <c r="D383" i="2" s="1"/>
  <c r="D382" i="2" a="1"/>
  <c r="D382" i="2"/>
  <c r="D381" i="2" a="1"/>
  <c r="D381" i="2" s="1"/>
  <c r="D380" i="2" a="1"/>
  <c r="D380" i="2" s="1"/>
  <c r="D379" i="2" a="1"/>
  <c r="D379" i="2"/>
  <c r="D378" i="2" a="1"/>
  <c r="D378" i="2" s="1"/>
  <c r="D377" i="2" a="1"/>
  <c r="D377" i="2" s="1"/>
  <c r="D376" i="2" a="1"/>
  <c r="D376" i="2"/>
  <c r="D375" i="2" a="1"/>
  <c r="D375" i="2" s="1"/>
  <c r="D374" i="2" a="1"/>
  <c r="D374" i="2" s="1"/>
  <c r="D373" i="2" a="1"/>
  <c r="D373" i="2" s="1"/>
  <c r="D372" i="2" a="1"/>
  <c r="D372" i="2" s="1"/>
  <c r="D371" i="2" a="1"/>
  <c r="D371" i="2" s="1"/>
  <c r="D370" i="2" a="1"/>
  <c r="D370" i="2"/>
  <c r="D369" i="2" a="1"/>
  <c r="D369" i="2"/>
  <c r="D368" i="2" a="1"/>
  <c r="D368" i="2"/>
  <c r="D367" i="2" a="1"/>
  <c r="D367" i="2" s="1"/>
  <c r="D366" i="2" a="1"/>
  <c r="D366" i="2" s="1"/>
  <c r="D365" i="2" a="1"/>
  <c r="D365" i="2" s="1"/>
  <c r="D364" i="2" a="1"/>
  <c r="D364" i="2"/>
  <c r="D363" i="2" a="1"/>
  <c r="D363" i="2" s="1"/>
  <c r="D362" i="2" a="1"/>
  <c r="D362" i="2" s="1"/>
  <c r="D361" i="2" a="1"/>
  <c r="D361" i="2" s="1"/>
  <c r="D360" i="2" a="1"/>
  <c r="D360" i="2" s="1"/>
  <c r="D359" i="2" a="1"/>
  <c r="D359" i="2"/>
  <c r="D358" i="2" a="1"/>
  <c r="D358" i="2"/>
  <c r="D357" i="2" a="1"/>
  <c r="D357" i="2" s="1"/>
  <c r="D356" i="2" a="1"/>
  <c r="D356" i="2" s="1"/>
  <c r="D355" i="2" a="1"/>
  <c r="D355" i="2" s="1"/>
  <c r="D354" i="2" a="1"/>
  <c r="D354" i="2" s="1"/>
  <c r="D353" i="2" a="1"/>
  <c r="D353" i="2" s="1"/>
  <c r="D352" i="2" a="1"/>
  <c r="D352" i="2" s="1"/>
  <c r="D351" i="2" a="1"/>
  <c r="D351" i="2" s="1"/>
  <c r="D350" i="2" a="1"/>
  <c r="D350" i="2" s="1"/>
  <c r="D349" i="2" a="1"/>
  <c r="D349" i="2" s="1"/>
  <c r="D348" i="2" a="1"/>
  <c r="D348" i="2" s="1"/>
  <c r="D347" i="2" a="1"/>
  <c r="D347" i="2" s="1"/>
  <c r="D346" i="2" a="1"/>
  <c r="D346" i="2" s="1"/>
  <c r="D345" i="2" a="1"/>
  <c r="D345" i="2" s="1"/>
  <c r="D344" i="2" a="1"/>
  <c r="D344" i="2" s="1"/>
  <c r="D343" i="2" a="1"/>
  <c r="D343" i="2" s="1"/>
  <c r="D342" i="2" a="1"/>
  <c r="D342" i="2" s="1"/>
  <c r="D341" i="2" a="1"/>
  <c r="D341" i="2" s="1"/>
  <c r="D340" i="2" a="1"/>
  <c r="D340" i="2" s="1"/>
  <c r="D339" i="2" a="1"/>
  <c r="D339" i="2" s="1"/>
  <c r="D338" i="2" a="1"/>
  <c r="D338" i="2" s="1"/>
  <c r="D337" i="2" a="1"/>
  <c r="D337" i="2" s="1"/>
  <c r="D336" i="2" a="1"/>
  <c r="D336" i="2" s="1"/>
  <c r="D335" i="2" a="1"/>
  <c r="D335" i="2" s="1"/>
  <c r="D334" i="2" a="1"/>
  <c r="D334" i="2" s="1"/>
  <c r="D333" i="2" a="1"/>
  <c r="D333" i="2"/>
  <c r="D332" i="2" a="1"/>
  <c r="D332" i="2" s="1"/>
  <c r="D331" i="2" a="1"/>
  <c r="D331" i="2" s="1"/>
  <c r="D330" i="2" a="1"/>
  <c r="D330" i="2" s="1"/>
  <c r="D329" i="2" a="1"/>
  <c r="D329" i="2" s="1"/>
  <c r="D328" i="2" a="1"/>
  <c r="D328" i="2" s="1"/>
  <c r="D327" i="2" a="1"/>
  <c r="D327" i="2" s="1"/>
  <c r="D326" i="2" a="1"/>
  <c r="D326" i="2" s="1"/>
  <c r="D325" i="2" a="1"/>
  <c r="D325" i="2" s="1"/>
  <c r="D324" i="2" a="1"/>
  <c r="D324" i="2"/>
  <c r="D323" i="2" a="1"/>
  <c r="D323" i="2" s="1"/>
  <c r="D322" i="2" a="1"/>
  <c r="D322" i="2"/>
  <c r="D321" i="2" a="1"/>
  <c r="D321" i="2" s="1"/>
  <c r="D320" i="2" a="1"/>
  <c r="D320" i="2" s="1"/>
  <c r="D319" i="2" a="1"/>
  <c r="D319" i="2" s="1"/>
  <c r="D318" i="2" a="1"/>
  <c r="D318" i="2" s="1"/>
  <c r="D317" i="2" a="1"/>
  <c r="D317" i="2" s="1"/>
  <c r="D316" i="2" a="1"/>
  <c r="D316" i="2" s="1"/>
  <c r="D315" i="2" a="1"/>
  <c r="D315" i="2" s="1"/>
  <c r="D314" i="2" a="1"/>
  <c r="D314" i="2" s="1"/>
  <c r="D313" i="2" a="1"/>
  <c r="D313" i="2"/>
  <c r="D312" i="2" a="1"/>
  <c r="D312" i="2" s="1"/>
  <c r="D311" i="2" a="1"/>
  <c r="D311" i="2" s="1"/>
  <c r="D310" i="2" a="1"/>
  <c r="D310" i="2"/>
  <c r="D309" i="2" a="1"/>
  <c r="D309" i="2" s="1"/>
  <c r="D308" i="2" a="1"/>
  <c r="D308" i="2" s="1"/>
  <c r="D307" i="2" a="1"/>
  <c r="D307" i="2" s="1"/>
  <c r="D306" i="2" a="1"/>
  <c r="D306" i="2" s="1"/>
  <c r="D305" i="2" a="1"/>
  <c r="D305" i="2" s="1"/>
  <c r="D304" i="2" a="1"/>
  <c r="D304" i="2" s="1"/>
  <c r="D303" i="2" a="1"/>
  <c r="D303" i="2" s="1"/>
  <c r="D302" i="2" a="1"/>
  <c r="D302" i="2" s="1"/>
  <c r="D301" i="2" a="1"/>
  <c r="D301" i="2"/>
  <c r="D300" i="2" a="1"/>
  <c r="D300" i="2" s="1"/>
  <c r="D299" i="2" a="1"/>
  <c r="D299" i="2" s="1"/>
  <c r="D298" i="2" a="1"/>
  <c r="D298" i="2"/>
  <c r="D297" i="2" a="1"/>
  <c r="D297" i="2" s="1"/>
  <c r="D296" i="2" a="1"/>
  <c r="D296" i="2" s="1"/>
  <c r="D295" i="2" a="1"/>
  <c r="D295" i="2" s="1"/>
  <c r="D294" i="2" a="1"/>
  <c r="D294" i="2" s="1"/>
  <c r="D293" i="2" a="1"/>
  <c r="D293" i="2" s="1"/>
  <c r="D292" i="2" a="1"/>
  <c r="D292" i="2" s="1"/>
  <c r="D291" i="2" a="1"/>
  <c r="D291" i="2" s="1"/>
  <c r="D290" i="2" a="1"/>
  <c r="D290" i="2" s="1"/>
  <c r="D289" i="2" a="1"/>
  <c r="D289" i="2"/>
  <c r="D288" i="2" a="1"/>
  <c r="D288" i="2" s="1"/>
  <c r="D287" i="2" a="1"/>
  <c r="D287" i="2"/>
  <c r="D286" i="2" a="1"/>
  <c r="D286" i="2" s="1"/>
  <c r="D285" i="2" a="1"/>
  <c r="D285" i="2" s="1"/>
  <c r="D284" i="2" a="1"/>
  <c r="D284" i="2" s="1"/>
  <c r="D283" i="2" a="1"/>
  <c r="D283" i="2" s="1"/>
  <c r="D282" i="2" a="1"/>
  <c r="D282" i="2" s="1"/>
  <c r="D281" i="2" a="1"/>
  <c r="D281" i="2" s="1"/>
  <c r="D280" i="2" a="1"/>
  <c r="D280" i="2" s="1"/>
  <c r="D279" i="2" a="1"/>
  <c r="D279" i="2" s="1"/>
  <c r="D278" i="2" a="1"/>
  <c r="D278" i="2"/>
  <c r="D277" i="2" a="1"/>
  <c r="D277" i="2" s="1"/>
  <c r="D276" i="2" a="1"/>
  <c r="D276" i="2" s="1"/>
  <c r="D275" i="2" a="1"/>
  <c r="D275" i="2" s="1"/>
  <c r="D274" i="2" a="1"/>
  <c r="D274" i="2" s="1"/>
  <c r="D273" i="2" a="1"/>
  <c r="D273" i="2" s="1"/>
  <c r="D272" i="2" a="1"/>
  <c r="D272" i="2" s="1"/>
  <c r="D271" i="2" a="1"/>
  <c r="D271" i="2" s="1"/>
  <c r="D270" i="2" a="1"/>
  <c r="D270" i="2" s="1"/>
  <c r="D269" i="2" a="1"/>
  <c r="D269" i="2" s="1"/>
  <c r="D268" i="2" a="1"/>
  <c r="D268" i="2" s="1"/>
  <c r="D267" i="2" a="1"/>
  <c r="D267" i="2" s="1"/>
  <c r="D266" i="2" a="1"/>
  <c r="D266" i="2" s="1"/>
  <c r="D265" i="2" a="1"/>
  <c r="D265" i="2" s="1"/>
  <c r="D264" i="2" a="1"/>
  <c r="D264" i="2" s="1"/>
  <c r="D263" i="2" a="1"/>
  <c r="D263" i="2" s="1"/>
  <c r="D262" i="2" a="1"/>
  <c r="D262" i="2" s="1"/>
  <c r="D261" i="2" a="1"/>
  <c r="D261" i="2" s="1"/>
  <c r="D260" i="2" a="1"/>
  <c r="D260" i="2" s="1"/>
  <c r="D259" i="2" a="1"/>
  <c r="D259" i="2" s="1"/>
  <c r="D258" i="2" a="1"/>
  <c r="D258" i="2" s="1"/>
  <c r="D257" i="2" a="1"/>
  <c r="D257" i="2" s="1"/>
  <c r="D256" i="2" a="1"/>
  <c r="D256" i="2" s="1"/>
  <c r="D255" i="2" a="1"/>
  <c r="D255" i="2" s="1"/>
  <c r="D254" i="2" a="1"/>
  <c r="D254" i="2" s="1"/>
  <c r="D253" i="2" a="1"/>
  <c r="D253" i="2" s="1"/>
  <c r="D252" i="2" a="1"/>
  <c r="D252" i="2"/>
  <c r="D251" i="2" a="1"/>
  <c r="D251" i="2" s="1"/>
  <c r="D250" i="2" a="1"/>
  <c r="D250" i="2" s="1"/>
  <c r="D249" i="2" a="1"/>
  <c r="D249" i="2" s="1"/>
  <c r="D248" i="2" a="1"/>
  <c r="D248" i="2" s="1"/>
  <c r="D247" i="2" a="1"/>
  <c r="D247" i="2" s="1"/>
  <c r="D246" i="2" a="1"/>
  <c r="D246" i="2" s="1"/>
  <c r="D245" i="2" a="1"/>
  <c r="D245" i="2" s="1"/>
  <c r="D244" i="2" a="1"/>
  <c r="D244" i="2" s="1"/>
  <c r="D243" i="2" a="1"/>
  <c r="D243" i="2"/>
  <c r="D242" i="2" a="1"/>
  <c r="D242" i="2" s="1"/>
  <c r="D241" i="2" a="1"/>
  <c r="D241" i="2"/>
  <c r="D240" i="2" a="1"/>
  <c r="D240" i="2" s="1"/>
  <c r="D239" i="2" a="1"/>
  <c r="D239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/>
  <c r="D231" i="2" a="1"/>
  <c r="D231" i="2" s="1"/>
  <c r="D230" i="2" a="1"/>
  <c r="D230" i="2" s="1"/>
  <c r="D229" i="2" a="1"/>
  <c r="D229" i="2"/>
  <c r="D228" i="2" a="1"/>
  <c r="D228" i="2" s="1"/>
  <c r="D227" i="2" a="1"/>
  <c r="D227" i="2" s="1"/>
  <c r="D226" i="2" a="1"/>
  <c r="D226" i="2" s="1"/>
  <c r="D225" i="2" a="1"/>
  <c r="D225" i="2" s="1"/>
  <c r="D224" i="2" a="1"/>
  <c r="D224" i="2" s="1"/>
  <c r="D223" i="2" a="1"/>
  <c r="D223" i="2" s="1"/>
  <c r="D222" i="2" a="1"/>
  <c r="D222" i="2" s="1"/>
  <c r="D221" i="2" a="1"/>
  <c r="D221" i="2" s="1"/>
  <c r="D220" i="2" a="1"/>
  <c r="D220" i="2"/>
  <c r="D219" i="2" a="1"/>
  <c r="D219" i="2" s="1"/>
  <c r="D218" i="2" a="1"/>
  <c r="D218" i="2" s="1"/>
  <c r="D217" i="2" a="1"/>
  <c r="D217" i="2"/>
  <c r="D216" i="2" a="1"/>
  <c r="D216" i="2" s="1"/>
  <c r="D215" i="2" a="1"/>
  <c r="D215" i="2" s="1"/>
  <c r="D214" i="2" a="1"/>
  <c r="D214" i="2" s="1"/>
  <c r="D213" i="2" a="1"/>
  <c r="D213" i="2" s="1"/>
  <c r="D212" i="2" a="1"/>
  <c r="D212" i="2" s="1"/>
  <c r="D211" i="2" a="1"/>
  <c r="D211" i="2" s="1"/>
  <c r="D210" i="2" a="1"/>
  <c r="D210" i="2" s="1"/>
  <c r="D209" i="2" a="1"/>
  <c r="D209" i="2" s="1"/>
  <c r="D208" i="2" a="1"/>
  <c r="D208" i="2"/>
  <c r="D207" i="2" a="1"/>
  <c r="D207" i="2" s="1"/>
  <c r="D206" i="2" a="1"/>
  <c r="D206" i="2"/>
  <c r="D205" i="2" a="1"/>
  <c r="D205" i="2" s="1"/>
  <c r="D204" i="2" a="1"/>
  <c r="D204" i="2" s="1"/>
  <c r="D203" i="2" a="1"/>
  <c r="D203" i="2" s="1"/>
  <c r="D202" i="2" a="1"/>
  <c r="D202" i="2" s="1"/>
  <c r="D201" i="2" a="1"/>
  <c r="D201" i="2" s="1"/>
  <c r="D200" i="2" a="1"/>
  <c r="D200" i="2" s="1"/>
  <c r="D199" i="2" a="1"/>
  <c r="D199" i="2" s="1"/>
  <c r="D198" i="2" a="1"/>
  <c r="D198" i="2" s="1"/>
  <c r="D197" i="2" a="1"/>
  <c r="D197" i="2"/>
  <c r="D196" i="2" a="1"/>
  <c r="D196" i="2" s="1"/>
  <c r="D195" i="2" a="1"/>
  <c r="D195" i="2" s="1"/>
  <c r="D194" i="2" a="1"/>
  <c r="D194" i="2" s="1"/>
  <c r="D193" i="2" a="1"/>
  <c r="D193" i="2" s="1"/>
  <c r="D192" i="2" a="1"/>
  <c r="D192" i="2" s="1"/>
  <c r="D191" i="2" a="1"/>
  <c r="D191" i="2" s="1"/>
  <c r="D190" i="2" a="1"/>
  <c r="D190" i="2" s="1"/>
  <c r="D189" i="2" a="1"/>
  <c r="D189" i="2" s="1"/>
  <c r="D188" i="2" a="1"/>
  <c r="D188" i="2" s="1"/>
  <c r="D187" i="2" a="1"/>
  <c r="D187" i="2" s="1"/>
  <c r="D186" i="2" a="1"/>
  <c r="D186" i="2" s="1"/>
  <c r="D185" i="2" a="1"/>
  <c r="D185" i="2" s="1"/>
  <c r="D184" i="2" a="1"/>
  <c r="D184" i="2" s="1"/>
  <c r="D183" i="2" a="1"/>
  <c r="D183" i="2" s="1"/>
  <c r="D182" i="2" a="1"/>
  <c r="D182" i="2" s="1"/>
  <c r="D181" i="2" a="1"/>
  <c r="D181" i="2" s="1"/>
  <c r="D180" i="2" a="1"/>
  <c r="D180" i="2" s="1"/>
  <c r="D179" i="2" a="1"/>
  <c r="D179" i="2" s="1"/>
  <c r="D178" i="2" a="1"/>
  <c r="D178" i="2" s="1"/>
  <c r="D177" i="2" a="1"/>
  <c r="D177" i="2" s="1"/>
  <c r="D176" i="2" a="1"/>
  <c r="D176" i="2" s="1"/>
  <c r="D175" i="2" a="1"/>
  <c r="D175" i="2" s="1"/>
  <c r="D174" i="2" a="1"/>
  <c r="D174" i="2" s="1"/>
  <c r="D173" i="2" a="1"/>
  <c r="D173" i="2" s="1"/>
  <c r="D172" i="2" a="1"/>
  <c r="D172" i="2" s="1"/>
  <c r="D171" i="2" a="1"/>
  <c r="D171" i="2"/>
  <c r="D170" i="2" a="1"/>
  <c r="D170" i="2" s="1"/>
  <c r="D169" i="2" a="1"/>
  <c r="D169" i="2" s="1"/>
  <c r="D168" i="2" a="1"/>
  <c r="D168" i="2" s="1"/>
  <c r="D167" i="2" a="1"/>
  <c r="D167" i="2" s="1"/>
  <c r="D166" i="2" a="1"/>
  <c r="D166" i="2" s="1"/>
  <c r="D165" i="2" a="1"/>
  <c r="D165" i="2" s="1"/>
  <c r="D164" i="2" a="1"/>
  <c r="D164" i="2" s="1"/>
  <c r="D163" i="2" a="1"/>
  <c r="D163" i="2" s="1"/>
  <c r="D162" i="2" a="1"/>
  <c r="D162" i="2"/>
  <c r="D161" i="2" a="1"/>
  <c r="D161" i="2" s="1"/>
  <c r="D160" i="2" a="1"/>
  <c r="D160" i="2"/>
  <c r="D159" i="2" a="1"/>
  <c r="D159" i="2" s="1"/>
  <c r="D158" i="2" a="1"/>
  <c r="D158" i="2" s="1"/>
  <c r="D157" i="2" a="1"/>
  <c r="D157" i="2" s="1"/>
  <c r="D156" i="2" a="1"/>
  <c r="D156" i="2" s="1"/>
  <c r="D155" i="2" a="1"/>
  <c r="D155" i="2" s="1"/>
  <c r="D154" i="2" a="1"/>
  <c r="D154" i="2" s="1"/>
  <c r="D153" i="2" a="1"/>
  <c r="D153" i="2" s="1"/>
  <c r="D152" i="2" a="1"/>
  <c r="D152" i="2" s="1"/>
  <c r="D151" i="2" a="1"/>
  <c r="D151" i="2"/>
  <c r="D150" i="2" a="1"/>
  <c r="D150" i="2" s="1"/>
  <c r="D149" i="2" a="1"/>
  <c r="D149" i="2" s="1"/>
  <c r="D148" i="2" a="1"/>
  <c r="D148" i="2"/>
  <c r="D147" i="2" a="1"/>
  <c r="D147" i="2" s="1"/>
  <c r="D146" i="2" a="1"/>
  <c r="D146" i="2" s="1"/>
  <c r="D145" i="2" a="1"/>
  <c r="D145" i="2" s="1"/>
  <c r="D144" i="2" a="1"/>
  <c r="D144" i="2" s="1"/>
  <c r="D143" i="2" a="1"/>
  <c r="D143" i="2" s="1"/>
  <c r="D142" i="2" a="1"/>
  <c r="D142" i="2" s="1"/>
  <c r="D141" i="2" a="1"/>
  <c r="D141" i="2" s="1"/>
  <c r="D140" i="2" a="1"/>
  <c r="D140" i="2" s="1"/>
  <c r="D139" i="2" a="1"/>
  <c r="D139" i="2"/>
  <c r="D138" i="2" a="1"/>
  <c r="D138" i="2" s="1"/>
  <c r="D137" i="2" a="1"/>
  <c r="D137" i="2" s="1"/>
  <c r="D136" i="2" a="1"/>
  <c r="D136" i="2"/>
  <c r="D135" i="2" a="1"/>
  <c r="D135" i="2" s="1"/>
  <c r="D134" i="2" a="1"/>
  <c r="D134" i="2" s="1"/>
  <c r="D133" i="2" a="1"/>
  <c r="D133" i="2" s="1"/>
  <c r="D132" i="2" a="1"/>
  <c r="D132" i="2" s="1"/>
  <c r="D131" i="2" a="1"/>
  <c r="D131" i="2" s="1"/>
  <c r="D130" i="2" a="1"/>
  <c r="D130" i="2" s="1"/>
  <c r="D129" i="2" a="1"/>
  <c r="D129" i="2" s="1"/>
  <c r="D128" i="2" a="1"/>
  <c r="D128" i="2" s="1"/>
  <c r="D127" i="2" a="1"/>
  <c r="D127" i="2"/>
  <c r="D126" i="2" a="1"/>
  <c r="D126" i="2" s="1"/>
  <c r="D125" i="2" a="1"/>
  <c r="D125" i="2"/>
  <c r="D124" i="2" a="1"/>
  <c r="D124" i="2" s="1"/>
  <c r="D123" i="2" a="1"/>
  <c r="D123" i="2" s="1"/>
  <c r="D122" i="2" a="1"/>
  <c r="D122" i="2" s="1"/>
  <c r="D121" i="2" a="1"/>
  <c r="D121" i="2" s="1"/>
  <c r="D120" i="2" a="1"/>
  <c r="D120" i="2" s="1"/>
  <c r="D119" i="2" a="1"/>
  <c r="D119" i="2" s="1"/>
  <c r="D118" i="2" a="1"/>
  <c r="D118" i="2" s="1"/>
  <c r="D117" i="2" a="1"/>
  <c r="D117" i="2" s="1"/>
  <c r="D116" i="2" a="1"/>
  <c r="D116" i="2"/>
  <c r="D115" i="2" a="1"/>
  <c r="D115" i="2" s="1"/>
  <c r="D114" i="2" a="1"/>
  <c r="D114" i="2" s="1"/>
  <c r="D113" i="2" a="1"/>
  <c r="D113" i="2" s="1"/>
  <c r="D112" i="2" a="1"/>
  <c r="D112" i="2" s="1"/>
  <c r="D111" i="2" a="1"/>
  <c r="D111" i="2" s="1"/>
  <c r="D110" i="2" a="1"/>
  <c r="D110" i="2" s="1"/>
  <c r="D109" i="2" a="1"/>
  <c r="D109" i="2" s="1"/>
  <c r="D108" i="2" a="1"/>
  <c r="D108" i="2" s="1"/>
  <c r="D107" i="2" a="1"/>
  <c r="D107" i="2" s="1"/>
  <c r="D106" i="2" a="1"/>
  <c r="D106" i="2" s="1"/>
  <c r="D105" i="2" a="1"/>
  <c r="D105" i="2" s="1"/>
  <c r="D104" i="2" a="1"/>
  <c r="D104" i="2" s="1"/>
  <c r="D103" i="2" a="1"/>
  <c r="D103" i="2" s="1"/>
  <c r="D102" i="2" a="1"/>
  <c r="D102" i="2" s="1"/>
  <c r="D101" i="2" a="1"/>
  <c r="D101" i="2" s="1"/>
  <c r="D100" i="2" a="1"/>
  <c r="D100" i="2" s="1"/>
  <c r="D99" i="2" a="1"/>
  <c r="D99" i="2" s="1"/>
  <c r="D98" i="2" a="1"/>
  <c r="D98" i="2" s="1"/>
  <c r="D97" i="2" a="1"/>
  <c r="D97" i="2" s="1"/>
  <c r="D96" i="2" a="1"/>
  <c r="D96" i="2" s="1"/>
  <c r="D95" i="2" a="1"/>
  <c r="D95" i="2" s="1"/>
  <c r="D94" i="2" a="1"/>
  <c r="D94" i="2" s="1"/>
  <c r="D93" i="2" a="1"/>
  <c r="D93" i="2" s="1"/>
  <c r="D92" i="2" a="1"/>
  <c r="D92" i="2" s="1"/>
  <c r="D91" i="2" a="1"/>
  <c r="D91" i="2" s="1"/>
  <c r="D90" i="2" a="1"/>
  <c r="D90" i="2"/>
  <c r="D89" i="2" a="1"/>
  <c r="D89" i="2" s="1"/>
  <c r="D88" i="2" a="1"/>
  <c r="D88" i="2" s="1"/>
  <c r="D87" i="2" a="1"/>
  <c r="D87" i="2" s="1"/>
  <c r="D86" i="2" a="1"/>
  <c r="D86" i="2" s="1"/>
  <c r="D85" i="2" a="1"/>
  <c r="D85" i="2" s="1"/>
  <c r="D84" i="2" a="1"/>
  <c r="D84" i="2" s="1"/>
  <c r="D83" i="2" a="1"/>
  <c r="D83" i="2" s="1"/>
  <c r="D82" i="2" a="1"/>
  <c r="D82" i="2" s="1"/>
  <c r="D81" i="2" a="1"/>
  <c r="D81" i="2"/>
  <c r="D80" i="2" a="1"/>
  <c r="D80" i="2" s="1"/>
  <c r="D79" i="2" a="1"/>
  <c r="D79" i="2" s="1"/>
  <c r="D78" i="2" a="1"/>
  <c r="D78" i="2" s="1"/>
  <c r="D77" i="2" a="1"/>
  <c r="D77" i="2" s="1"/>
  <c r="D76" i="2" a="1"/>
  <c r="D76" i="2" s="1"/>
  <c r="D75" i="2" a="1"/>
  <c r="D75" i="2" s="1"/>
  <c r="D74" i="2" a="1"/>
  <c r="D74" i="2" s="1"/>
  <c r="D73" i="2" a="1"/>
  <c r="D73" i="2" s="1"/>
  <c r="D72" i="2" a="1"/>
  <c r="D72" i="2" s="1"/>
  <c r="D71" i="2" a="1"/>
  <c r="D71" i="2" s="1"/>
  <c r="D70" i="2" a="1"/>
  <c r="D70" i="2"/>
  <c r="D69" i="2" a="1"/>
  <c r="D69" i="2" s="1"/>
  <c r="D68" i="2" a="1"/>
  <c r="D68" i="2" s="1"/>
  <c r="D67" i="2" a="1"/>
  <c r="D67" i="2" s="1"/>
  <c r="D66" i="2" a="1"/>
  <c r="D66" i="2" s="1"/>
  <c r="D65" i="2" a="1"/>
  <c r="D65" i="2" s="1"/>
  <c r="D64" i="2" a="1"/>
  <c r="D64" i="2" s="1"/>
  <c r="D63" i="2" a="1"/>
  <c r="D63" i="2" s="1"/>
  <c r="D62" i="2" a="1"/>
  <c r="D62" i="2" s="1"/>
  <c r="D61" i="2" a="1"/>
  <c r="D61" i="2" s="1"/>
  <c r="D60" i="2" a="1"/>
  <c r="D60" i="2" s="1"/>
  <c r="D59" i="2" a="1"/>
  <c r="D59" i="2" s="1"/>
  <c r="D58" i="2" a="1"/>
  <c r="D58" i="2"/>
  <c r="D57" i="2" a="1"/>
  <c r="D57" i="2" s="1"/>
  <c r="D56" i="2" a="1"/>
  <c r="D56" i="2" s="1"/>
  <c r="D55" i="2" a="1"/>
  <c r="D55" i="2" s="1"/>
  <c r="D54" i="2" a="1"/>
  <c r="D54" i="2" s="1"/>
  <c r="D53" i="2" a="1"/>
  <c r="D53" i="2" s="1"/>
  <c r="D52" i="2" a="1"/>
  <c r="D52" i="2" s="1"/>
  <c r="D51" i="2" a="1"/>
  <c r="D51" i="2" s="1"/>
  <c r="D50" i="2" a="1"/>
  <c r="D50" i="2" s="1"/>
  <c r="D49" i="2" a="1"/>
  <c r="D49" i="2" s="1"/>
  <c r="D48" i="2" a="1"/>
  <c r="D48" i="2" s="1"/>
  <c r="D47" i="2" a="1"/>
  <c r="D47" i="2" s="1"/>
  <c r="D46" i="2" a="1"/>
  <c r="D46" i="2"/>
  <c r="D45" i="2" a="1"/>
  <c r="D45" i="2" s="1"/>
  <c r="D44" i="2" a="1"/>
  <c r="D44" i="2" s="1"/>
  <c r="D43" i="2" a="1"/>
  <c r="D43" i="2" s="1"/>
  <c r="D42" i="2" a="1"/>
  <c r="D42" i="2" s="1"/>
  <c r="D41" i="2" a="1"/>
  <c r="D41" i="2" s="1"/>
  <c r="D40" i="2" a="1"/>
  <c r="D40" i="2" s="1"/>
  <c r="D39" i="2" a="1"/>
  <c r="D39" i="2" s="1"/>
  <c r="D38" i="2" a="1"/>
  <c r="D38" i="2" s="1"/>
  <c r="D37" i="2" a="1"/>
  <c r="D37" i="2" s="1"/>
  <c r="D36" i="2" a="1"/>
  <c r="D36" i="2" s="1"/>
  <c r="D35" i="2" a="1"/>
  <c r="D35" i="2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4" i="2" a="1"/>
  <c r="D24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D2" i="2" a="1"/>
  <c r="D2" i="2" s="1"/>
  <c r="W406" i="1"/>
  <c r="V406" i="1"/>
  <c r="U406" i="1"/>
  <c r="W405" i="1"/>
  <c r="V405" i="1"/>
  <c r="U405" i="1"/>
  <c r="W404" i="1"/>
  <c r="V404" i="1"/>
  <c r="U404" i="1"/>
  <c r="W403" i="1"/>
  <c r="V403" i="1"/>
  <c r="U403" i="1"/>
  <c r="W402" i="1"/>
  <c r="V402" i="1"/>
  <c r="U402" i="1"/>
  <c r="W401" i="1"/>
  <c r="V401" i="1"/>
  <c r="U401" i="1"/>
  <c r="W400" i="1"/>
  <c r="V400" i="1"/>
  <c r="U400" i="1"/>
  <c r="W399" i="1"/>
  <c r="V399" i="1"/>
  <c r="U399" i="1"/>
  <c r="W398" i="1"/>
  <c r="V398" i="1"/>
  <c r="U398" i="1"/>
  <c r="W397" i="1"/>
  <c r="V397" i="1"/>
  <c r="U397" i="1"/>
  <c r="W396" i="1"/>
  <c r="V396" i="1"/>
  <c r="U396" i="1"/>
  <c r="W395" i="1"/>
  <c r="V395" i="1"/>
  <c r="U395" i="1"/>
  <c r="W394" i="1"/>
  <c r="V394" i="1"/>
  <c r="U394" i="1"/>
  <c r="W393" i="1"/>
  <c r="V393" i="1"/>
  <c r="U393" i="1"/>
  <c r="W392" i="1"/>
  <c r="V392" i="1"/>
  <c r="U392" i="1"/>
  <c r="W391" i="1"/>
  <c r="V391" i="1"/>
  <c r="U391" i="1"/>
  <c r="W390" i="1"/>
  <c r="V390" i="1"/>
  <c r="U390" i="1"/>
  <c r="W389" i="1"/>
  <c r="V389" i="1"/>
  <c r="U389" i="1"/>
  <c r="W388" i="1"/>
  <c r="V388" i="1"/>
  <c r="U388" i="1"/>
  <c r="W387" i="1"/>
  <c r="V387" i="1"/>
  <c r="U387" i="1"/>
  <c r="W386" i="1"/>
  <c r="V386" i="1"/>
  <c r="U386" i="1"/>
  <c r="W385" i="1"/>
  <c r="V385" i="1"/>
  <c r="U385" i="1"/>
  <c r="W384" i="1"/>
  <c r="V384" i="1"/>
  <c r="U384" i="1"/>
  <c r="W383" i="1"/>
  <c r="V383" i="1"/>
  <c r="U383" i="1"/>
  <c r="W382" i="1"/>
  <c r="V382" i="1"/>
  <c r="U382" i="1"/>
  <c r="W381" i="1"/>
  <c r="V381" i="1"/>
  <c r="U381" i="1"/>
  <c r="W380" i="1"/>
  <c r="V380" i="1"/>
  <c r="U380" i="1"/>
  <c r="W379" i="1"/>
  <c r="V379" i="1"/>
  <c r="U379" i="1"/>
  <c r="W378" i="1"/>
  <c r="V378" i="1"/>
  <c r="U378" i="1"/>
  <c r="W377" i="1"/>
  <c r="V377" i="1"/>
  <c r="U377" i="1"/>
  <c r="W376" i="1"/>
  <c r="V376" i="1"/>
  <c r="U376" i="1"/>
  <c r="W375" i="1"/>
  <c r="V375" i="1"/>
  <c r="U375" i="1"/>
  <c r="W374" i="1"/>
  <c r="V374" i="1"/>
  <c r="U374" i="1"/>
  <c r="W373" i="1"/>
  <c r="V373" i="1"/>
  <c r="U373" i="1"/>
  <c r="W372" i="1"/>
  <c r="V372" i="1"/>
  <c r="U372" i="1"/>
  <c r="W371" i="1"/>
  <c r="V371" i="1"/>
  <c r="U371" i="1"/>
  <c r="W370" i="1"/>
  <c r="V370" i="1"/>
  <c r="U370" i="1"/>
  <c r="W369" i="1"/>
  <c r="V369" i="1"/>
  <c r="U369" i="1"/>
  <c r="W368" i="1"/>
  <c r="V368" i="1"/>
  <c r="U368" i="1"/>
  <c r="W367" i="1"/>
  <c r="V367" i="1"/>
  <c r="U367" i="1"/>
  <c r="W366" i="1"/>
  <c r="V366" i="1"/>
  <c r="U366" i="1"/>
  <c r="W365" i="1"/>
  <c r="V365" i="1"/>
  <c r="U365" i="1"/>
  <c r="W364" i="1"/>
  <c r="V364" i="1"/>
  <c r="U364" i="1"/>
  <c r="W363" i="1"/>
  <c r="V363" i="1"/>
  <c r="U363" i="1"/>
  <c r="W362" i="1"/>
  <c r="V362" i="1"/>
  <c r="U362" i="1"/>
  <c r="W361" i="1"/>
  <c r="V361" i="1"/>
  <c r="U361" i="1"/>
  <c r="W360" i="1"/>
  <c r="V360" i="1"/>
  <c r="U360" i="1"/>
  <c r="W359" i="1"/>
  <c r="V359" i="1"/>
  <c r="U359" i="1"/>
  <c r="W358" i="1"/>
  <c r="V358" i="1"/>
  <c r="U358" i="1"/>
  <c r="W357" i="1"/>
  <c r="V357" i="1"/>
  <c r="U357" i="1"/>
  <c r="W356" i="1"/>
  <c r="V356" i="1"/>
  <c r="U356" i="1"/>
  <c r="W355" i="1"/>
  <c r="V355" i="1"/>
  <c r="U355" i="1"/>
  <c r="W354" i="1"/>
  <c r="V354" i="1"/>
  <c r="U354" i="1"/>
  <c r="W353" i="1"/>
  <c r="V353" i="1"/>
  <c r="U353" i="1"/>
  <c r="W352" i="1"/>
  <c r="V352" i="1"/>
  <c r="U352" i="1"/>
  <c r="W351" i="1"/>
  <c r="V351" i="1"/>
  <c r="U351" i="1"/>
  <c r="W350" i="1"/>
  <c r="V350" i="1"/>
  <c r="U350" i="1"/>
  <c r="W349" i="1"/>
  <c r="V349" i="1"/>
  <c r="U349" i="1"/>
  <c r="W348" i="1"/>
  <c r="V348" i="1"/>
  <c r="U348" i="1"/>
  <c r="W347" i="1"/>
  <c r="V347" i="1"/>
  <c r="U347" i="1"/>
  <c r="W346" i="1"/>
  <c r="V346" i="1"/>
  <c r="U346" i="1"/>
  <c r="W345" i="1"/>
  <c r="V345" i="1"/>
  <c r="U345" i="1"/>
  <c r="W344" i="1"/>
  <c r="V344" i="1"/>
  <c r="U344" i="1"/>
  <c r="W343" i="1"/>
  <c r="V343" i="1"/>
  <c r="U343" i="1"/>
  <c r="W342" i="1"/>
  <c r="V342" i="1"/>
  <c r="U342" i="1"/>
  <c r="W341" i="1"/>
  <c r="V341" i="1"/>
  <c r="U341" i="1"/>
  <c r="W340" i="1"/>
  <c r="V340" i="1"/>
  <c r="U340" i="1"/>
  <c r="W339" i="1"/>
  <c r="V339" i="1"/>
  <c r="U339" i="1"/>
  <c r="W338" i="1"/>
  <c r="V338" i="1"/>
  <c r="U338" i="1"/>
  <c r="W337" i="1"/>
  <c r="V337" i="1"/>
  <c r="U337" i="1"/>
  <c r="W336" i="1"/>
  <c r="V336" i="1"/>
  <c r="U336" i="1"/>
  <c r="W335" i="1"/>
  <c r="V335" i="1"/>
  <c r="U335" i="1"/>
  <c r="W334" i="1"/>
  <c r="V334" i="1"/>
  <c r="U334" i="1"/>
  <c r="W333" i="1"/>
  <c r="V333" i="1"/>
  <c r="U333" i="1"/>
  <c r="W332" i="1"/>
  <c r="V332" i="1"/>
  <c r="U332" i="1"/>
  <c r="W331" i="1"/>
  <c r="V331" i="1"/>
  <c r="U331" i="1"/>
  <c r="W330" i="1"/>
  <c r="V330" i="1"/>
  <c r="U330" i="1"/>
  <c r="W329" i="1"/>
  <c r="V329" i="1"/>
  <c r="U329" i="1"/>
  <c r="W328" i="1"/>
  <c r="V328" i="1"/>
  <c r="U328" i="1"/>
  <c r="W327" i="1"/>
  <c r="V327" i="1"/>
  <c r="U327" i="1"/>
  <c r="W326" i="1"/>
  <c r="V326" i="1"/>
  <c r="U326" i="1"/>
  <c r="W325" i="1"/>
  <c r="V325" i="1"/>
  <c r="U325" i="1"/>
  <c r="W324" i="1"/>
  <c r="V324" i="1"/>
  <c r="U324" i="1"/>
  <c r="W323" i="1"/>
  <c r="V323" i="1"/>
  <c r="U323" i="1"/>
  <c r="W322" i="1"/>
  <c r="V322" i="1"/>
  <c r="U322" i="1"/>
  <c r="W321" i="1"/>
  <c r="V321" i="1"/>
  <c r="U321" i="1"/>
  <c r="W320" i="1"/>
  <c r="V320" i="1"/>
  <c r="U320" i="1"/>
  <c r="W319" i="1"/>
  <c r="V319" i="1"/>
  <c r="U319" i="1"/>
  <c r="W318" i="1"/>
  <c r="V318" i="1"/>
  <c r="U318" i="1"/>
  <c r="W317" i="1"/>
  <c r="V317" i="1"/>
  <c r="U317" i="1"/>
  <c r="W316" i="1"/>
  <c r="V316" i="1"/>
  <c r="U316" i="1"/>
  <c r="W315" i="1"/>
  <c r="V315" i="1"/>
  <c r="U315" i="1"/>
  <c r="W314" i="1"/>
  <c r="V314" i="1"/>
  <c r="U314" i="1"/>
  <c r="W313" i="1"/>
  <c r="V313" i="1"/>
  <c r="U313" i="1"/>
  <c r="W312" i="1"/>
  <c r="V312" i="1"/>
  <c r="U312" i="1"/>
  <c r="W311" i="1"/>
  <c r="V311" i="1"/>
  <c r="U311" i="1"/>
  <c r="W310" i="1"/>
  <c r="V310" i="1"/>
  <c r="U310" i="1"/>
  <c r="W309" i="1"/>
  <c r="V309" i="1"/>
  <c r="U309" i="1"/>
  <c r="W308" i="1"/>
  <c r="V308" i="1"/>
  <c r="U308" i="1"/>
  <c r="W307" i="1"/>
  <c r="V307" i="1"/>
  <c r="U307" i="1"/>
  <c r="W306" i="1"/>
  <c r="V306" i="1"/>
  <c r="U306" i="1"/>
  <c r="W305" i="1"/>
  <c r="V305" i="1"/>
  <c r="U305" i="1"/>
  <c r="W304" i="1"/>
  <c r="V304" i="1"/>
  <c r="U304" i="1"/>
  <c r="W303" i="1"/>
  <c r="V303" i="1"/>
  <c r="U303" i="1"/>
  <c r="W302" i="1"/>
  <c r="V302" i="1"/>
  <c r="U302" i="1"/>
  <c r="W301" i="1"/>
  <c r="V301" i="1"/>
  <c r="U301" i="1"/>
  <c r="W300" i="1"/>
  <c r="V300" i="1"/>
  <c r="U300" i="1"/>
  <c r="W299" i="1"/>
  <c r="V299" i="1"/>
  <c r="U299" i="1"/>
  <c r="W298" i="1"/>
  <c r="V298" i="1"/>
  <c r="U298" i="1"/>
  <c r="W297" i="1"/>
  <c r="V297" i="1"/>
  <c r="U297" i="1"/>
  <c r="W296" i="1"/>
  <c r="V296" i="1"/>
  <c r="U296" i="1"/>
  <c r="W295" i="1"/>
  <c r="V295" i="1"/>
  <c r="U295" i="1"/>
  <c r="W294" i="1"/>
  <c r="V294" i="1"/>
  <c r="U294" i="1"/>
  <c r="W293" i="1"/>
  <c r="V293" i="1"/>
  <c r="U293" i="1"/>
  <c r="W292" i="1"/>
  <c r="V292" i="1"/>
  <c r="U292" i="1"/>
  <c r="W291" i="1"/>
  <c r="V291" i="1"/>
  <c r="U291" i="1"/>
  <c r="W290" i="1"/>
  <c r="V290" i="1"/>
  <c r="U290" i="1"/>
  <c r="W289" i="1"/>
  <c r="V289" i="1"/>
  <c r="U289" i="1"/>
  <c r="W288" i="1"/>
  <c r="V288" i="1"/>
  <c r="U288" i="1"/>
  <c r="W287" i="1"/>
  <c r="V287" i="1"/>
  <c r="U287" i="1"/>
  <c r="W286" i="1"/>
  <c r="V286" i="1"/>
  <c r="U286" i="1"/>
  <c r="W285" i="1"/>
  <c r="V285" i="1"/>
  <c r="U285" i="1"/>
  <c r="W284" i="1"/>
  <c r="V284" i="1"/>
  <c r="U284" i="1"/>
  <c r="W283" i="1"/>
  <c r="V283" i="1"/>
  <c r="U283" i="1"/>
  <c r="W282" i="1"/>
  <c r="V282" i="1"/>
  <c r="U282" i="1"/>
  <c r="W281" i="1"/>
  <c r="V281" i="1"/>
  <c r="U281" i="1"/>
  <c r="W280" i="1"/>
  <c r="V280" i="1"/>
  <c r="U280" i="1"/>
  <c r="W279" i="1"/>
  <c r="V279" i="1"/>
  <c r="U279" i="1"/>
  <c r="W278" i="1"/>
  <c r="V278" i="1"/>
  <c r="U278" i="1"/>
  <c r="W277" i="1"/>
  <c r="V277" i="1"/>
  <c r="U277" i="1"/>
  <c r="W276" i="1"/>
  <c r="V276" i="1"/>
  <c r="U276" i="1"/>
  <c r="W275" i="1"/>
  <c r="V275" i="1"/>
  <c r="U275" i="1"/>
  <c r="W274" i="1"/>
  <c r="V274" i="1"/>
  <c r="U274" i="1"/>
  <c r="W273" i="1"/>
  <c r="V273" i="1"/>
  <c r="U273" i="1"/>
  <c r="W272" i="1"/>
  <c r="V272" i="1"/>
  <c r="U272" i="1"/>
  <c r="W271" i="1"/>
  <c r="V271" i="1"/>
  <c r="U271" i="1"/>
  <c r="W270" i="1"/>
  <c r="V270" i="1"/>
  <c r="U270" i="1"/>
  <c r="W269" i="1"/>
  <c r="V269" i="1"/>
  <c r="U269" i="1"/>
  <c r="W268" i="1"/>
  <c r="V268" i="1"/>
  <c r="U268" i="1"/>
  <c r="W267" i="1"/>
  <c r="V267" i="1"/>
  <c r="U267" i="1"/>
  <c r="W266" i="1"/>
  <c r="V266" i="1"/>
  <c r="U266" i="1"/>
  <c r="W265" i="1"/>
  <c r="V265" i="1"/>
  <c r="U265" i="1"/>
  <c r="W264" i="1"/>
  <c r="V264" i="1"/>
  <c r="U264" i="1"/>
  <c r="W263" i="1"/>
  <c r="V263" i="1"/>
  <c r="U263" i="1"/>
  <c r="W262" i="1"/>
  <c r="V262" i="1"/>
  <c r="U262" i="1"/>
  <c r="W261" i="1"/>
  <c r="V261" i="1"/>
  <c r="U261" i="1"/>
  <c r="W260" i="1"/>
  <c r="V260" i="1"/>
  <c r="U260" i="1"/>
  <c r="W259" i="1"/>
  <c r="V259" i="1"/>
  <c r="U259" i="1"/>
  <c r="W258" i="1"/>
  <c r="V258" i="1"/>
  <c r="U258" i="1"/>
  <c r="W257" i="1"/>
  <c r="V257" i="1"/>
  <c r="U257" i="1"/>
  <c r="W256" i="1"/>
  <c r="V256" i="1"/>
  <c r="U256" i="1"/>
  <c r="W255" i="1"/>
  <c r="V255" i="1"/>
  <c r="U255" i="1"/>
  <c r="W254" i="1"/>
  <c r="V254" i="1"/>
  <c r="U254" i="1"/>
  <c r="W253" i="1"/>
  <c r="V253" i="1"/>
  <c r="U253" i="1"/>
  <c r="W252" i="1"/>
  <c r="V252" i="1"/>
  <c r="U252" i="1"/>
  <c r="W251" i="1"/>
  <c r="V251" i="1"/>
  <c r="U251" i="1"/>
  <c r="W250" i="1"/>
  <c r="V250" i="1"/>
  <c r="U250" i="1"/>
  <c r="W249" i="1"/>
  <c r="V249" i="1"/>
  <c r="U249" i="1"/>
  <c r="W248" i="1"/>
  <c r="V248" i="1"/>
  <c r="U248" i="1"/>
  <c r="W247" i="1"/>
  <c r="V247" i="1"/>
  <c r="U247" i="1"/>
  <c r="W246" i="1"/>
  <c r="V246" i="1"/>
  <c r="U246" i="1"/>
  <c r="W245" i="1"/>
  <c r="V245" i="1"/>
  <c r="U245" i="1"/>
  <c r="W244" i="1"/>
  <c r="V244" i="1"/>
  <c r="U244" i="1"/>
  <c r="W243" i="1"/>
  <c r="V243" i="1"/>
  <c r="U243" i="1"/>
  <c r="W242" i="1"/>
  <c r="V242" i="1"/>
  <c r="U242" i="1"/>
  <c r="W241" i="1"/>
  <c r="V241" i="1"/>
  <c r="U241" i="1"/>
  <c r="W240" i="1"/>
  <c r="V240" i="1"/>
  <c r="U240" i="1"/>
  <c r="W239" i="1"/>
  <c r="V239" i="1"/>
  <c r="U239" i="1"/>
  <c r="W238" i="1"/>
  <c r="V238" i="1"/>
  <c r="U238" i="1"/>
  <c r="W237" i="1"/>
  <c r="V237" i="1"/>
  <c r="U237" i="1"/>
  <c r="W236" i="1"/>
  <c r="V236" i="1"/>
  <c r="U236" i="1"/>
  <c r="W235" i="1"/>
  <c r="V235" i="1"/>
  <c r="U235" i="1"/>
  <c r="W234" i="1"/>
  <c r="V234" i="1"/>
  <c r="U234" i="1"/>
  <c r="W233" i="1"/>
  <c r="V233" i="1"/>
  <c r="U233" i="1"/>
  <c r="W232" i="1"/>
  <c r="V232" i="1"/>
  <c r="U232" i="1"/>
  <c r="W231" i="1"/>
  <c r="V231" i="1"/>
  <c r="U231" i="1"/>
  <c r="W230" i="1"/>
  <c r="V230" i="1"/>
  <c r="U230" i="1"/>
  <c r="W229" i="1"/>
  <c r="V229" i="1"/>
  <c r="U229" i="1"/>
  <c r="W228" i="1"/>
  <c r="V228" i="1"/>
  <c r="U228" i="1"/>
  <c r="W227" i="1"/>
  <c r="V227" i="1"/>
  <c r="U227" i="1"/>
  <c r="W226" i="1"/>
  <c r="V226" i="1"/>
  <c r="U226" i="1"/>
  <c r="W225" i="1"/>
  <c r="V225" i="1"/>
  <c r="U225" i="1"/>
  <c r="W224" i="1"/>
  <c r="V224" i="1"/>
  <c r="U224" i="1"/>
  <c r="W223" i="1"/>
  <c r="V223" i="1"/>
  <c r="U223" i="1"/>
  <c r="W222" i="1"/>
  <c r="V222" i="1"/>
  <c r="U222" i="1"/>
  <c r="W221" i="1"/>
  <c r="V221" i="1"/>
  <c r="U221" i="1"/>
  <c r="W220" i="1"/>
  <c r="V220" i="1"/>
  <c r="U220" i="1"/>
  <c r="W219" i="1"/>
  <c r="V219" i="1"/>
  <c r="U219" i="1"/>
  <c r="W218" i="1"/>
  <c r="V218" i="1"/>
  <c r="U218" i="1"/>
  <c r="W217" i="1"/>
  <c r="V217" i="1"/>
  <c r="U217" i="1"/>
  <c r="W216" i="1"/>
  <c r="V216" i="1"/>
  <c r="U216" i="1"/>
  <c r="W215" i="1"/>
  <c r="V215" i="1"/>
  <c r="U215" i="1"/>
  <c r="W214" i="1"/>
  <c r="V214" i="1"/>
  <c r="U214" i="1"/>
  <c r="W213" i="1"/>
  <c r="V213" i="1"/>
  <c r="U213" i="1"/>
  <c r="W212" i="1"/>
  <c r="V212" i="1"/>
  <c r="U212" i="1"/>
  <c r="W211" i="1"/>
  <c r="V211" i="1"/>
  <c r="U211" i="1"/>
  <c r="W210" i="1"/>
  <c r="V210" i="1"/>
  <c r="U210" i="1"/>
  <c r="W209" i="1"/>
  <c r="V209" i="1"/>
  <c r="U209" i="1"/>
  <c r="W208" i="1"/>
  <c r="V208" i="1"/>
  <c r="U208" i="1"/>
  <c r="W207" i="1"/>
  <c r="V207" i="1"/>
  <c r="U207" i="1"/>
  <c r="W206" i="1"/>
  <c r="V206" i="1"/>
  <c r="U206" i="1"/>
  <c r="W205" i="1"/>
  <c r="V205" i="1"/>
  <c r="U205" i="1"/>
  <c r="W204" i="1"/>
  <c r="V204" i="1"/>
  <c r="U204" i="1"/>
  <c r="W203" i="1"/>
  <c r="V203" i="1"/>
  <c r="U203" i="1"/>
  <c r="W202" i="1"/>
  <c r="V202" i="1"/>
  <c r="U202" i="1"/>
  <c r="W201" i="1"/>
  <c r="V201" i="1"/>
  <c r="U201" i="1"/>
  <c r="W200" i="1"/>
  <c r="V200" i="1"/>
  <c r="U200" i="1"/>
  <c r="W199" i="1"/>
  <c r="V199" i="1"/>
  <c r="U199" i="1"/>
  <c r="W198" i="1"/>
  <c r="V198" i="1"/>
  <c r="U198" i="1"/>
  <c r="W197" i="1"/>
  <c r="V197" i="1"/>
  <c r="U197" i="1"/>
  <c r="W196" i="1"/>
  <c r="V196" i="1"/>
  <c r="U196" i="1"/>
  <c r="W195" i="1"/>
  <c r="V195" i="1"/>
  <c r="U195" i="1"/>
  <c r="W194" i="1"/>
  <c r="V194" i="1"/>
  <c r="U194" i="1"/>
  <c r="W193" i="1"/>
  <c r="V193" i="1"/>
  <c r="U193" i="1"/>
  <c r="W192" i="1"/>
  <c r="V192" i="1"/>
  <c r="U192" i="1"/>
  <c r="W191" i="1"/>
  <c r="V191" i="1"/>
  <c r="U191" i="1"/>
  <c r="W190" i="1"/>
  <c r="V190" i="1"/>
  <c r="U190" i="1"/>
  <c r="W189" i="1"/>
  <c r="V189" i="1"/>
  <c r="U189" i="1"/>
  <c r="W188" i="1"/>
  <c r="V188" i="1"/>
  <c r="U188" i="1"/>
  <c r="W187" i="1"/>
  <c r="V187" i="1"/>
  <c r="U187" i="1"/>
  <c r="W186" i="1"/>
  <c r="V186" i="1"/>
  <c r="U186" i="1"/>
  <c r="W185" i="1"/>
  <c r="V185" i="1"/>
  <c r="U185" i="1"/>
  <c r="W184" i="1"/>
  <c r="V184" i="1"/>
  <c r="U184" i="1"/>
  <c r="W183" i="1"/>
  <c r="V183" i="1"/>
  <c r="U183" i="1"/>
  <c r="W182" i="1"/>
  <c r="V182" i="1"/>
  <c r="U182" i="1"/>
  <c r="W181" i="1"/>
  <c r="V181" i="1"/>
  <c r="U181" i="1"/>
  <c r="W180" i="1"/>
  <c r="V180" i="1"/>
  <c r="U180" i="1"/>
  <c r="W179" i="1"/>
  <c r="V179" i="1"/>
  <c r="U179" i="1"/>
  <c r="W178" i="1"/>
  <c r="V178" i="1"/>
  <c r="U178" i="1"/>
  <c r="W177" i="1"/>
  <c r="V177" i="1"/>
  <c r="U177" i="1"/>
  <c r="W176" i="1"/>
  <c r="V176" i="1"/>
  <c r="U176" i="1"/>
  <c r="W175" i="1"/>
  <c r="V175" i="1"/>
  <c r="U175" i="1"/>
  <c r="W174" i="1"/>
  <c r="V174" i="1"/>
  <c r="U174" i="1"/>
  <c r="W173" i="1"/>
  <c r="V173" i="1"/>
  <c r="U173" i="1"/>
  <c r="W172" i="1"/>
  <c r="V172" i="1"/>
  <c r="U172" i="1"/>
  <c r="W171" i="1"/>
  <c r="V171" i="1"/>
  <c r="U171" i="1"/>
  <c r="W170" i="1"/>
  <c r="V170" i="1"/>
  <c r="U170" i="1"/>
  <c r="W169" i="1"/>
  <c r="V169" i="1"/>
  <c r="U169" i="1"/>
  <c r="W168" i="1"/>
  <c r="V168" i="1"/>
  <c r="U168" i="1"/>
  <c r="W167" i="1"/>
  <c r="V167" i="1"/>
  <c r="U167" i="1"/>
  <c r="W166" i="1"/>
  <c r="V166" i="1"/>
  <c r="U166" i="1"/>
  <c r="W165" i="1"/>
  <c r="V165" i="1"/>
  <c r="U165" i="1"/>
  <c r="W164" i="1"/>
  <c r="V164" i="1"/>
  <c r="U164" i="1"/>
  <c r="W163" i="1"/>
  <c r="V163" i="1"/>
  <c r="U163" i="1"/>
  <c r="W162" i="1"/>
  <c r="V162" i="1"/>
  <c r="U162" i="1"/>
  <c r="W161" i="1"/>
  <c r="V161" i="1"/>
  <c r="U161" i="1"/>
  <c r="W160" i="1"/>
  <c r="V160" i="1"/>
  <c r="U160" i="1"/>
  <c r="W159" i="1"/>
  <c r="V159" i="1"/>
  <c r="U159" i="1"/>
  <c r="W158" i="1"/>
  <c r="V158" i="1"/>
  <c r="U158" i="1"/>
  <c r="W157" i="1"/>
  <c r="V157" i="1"/>
  <c r="U157" i="1"/>
  <c r="W156" i="1"/>
  <c r="V156" i="1"/>
  <c r="U156" i="1"/>
  <c r="W155" i="1"/>
  <c r="V155" i="1"/>
  <c r="U155" i="1"/>
  <c r="W154" i="1"/>
  <c r="V154" i="1"/>
  <c r="U154" i="1"/>
  <c r="W153" i="1"/>
  <c r="V153" i="1"/>
  <c r="U153" i="1"/>
  <c r="W152" i="1"/>
  <c r="V152" i="1"/>
  <c r="U152" i="1"/>
  <c r="W151" i="1"/>
  <c r="V151" i="1"/>
  <c r="U151" i="1"/>
  <c r="W150" i="1"/>
  <c r="V150" i="1"/>
  <c r="U150" i="1"/>
  <c r="W149" i="1"/>
  <c r="V149" i="1"/>
  <c r="U149" i="1"/>
  <c r="W148" i="1"/>
  <c r="V148" i="1"/>
  <c r="U148" i="1"/>
  <c r="W147" i="1"/>
  <c r="V147" i="1"/>
  <c r="U147" i="1"/>
  <c r="W146" i="1"/>
  <c r="V146" i="1"/>
  <c r="U146" i="1"/>
  <c r="W145" i="1"/>
  <c r="V145" i="1"/>
  <c r="U145" i="1"/>
  <c r="W144" i="1"/>
  <c r="V144" i="1"/>
  <c r="U144" i="1"/>
  <c r="W143" i="1"/>
  <c r="V143" i="1"/>
  <c r="U143" i="1"/>
  <c r="W142" i="1"/>
  <c r="V142" i="1"/>
  <c r="U142" i="1"/>
  <c r="W141" i="1"/>
  <c r="V141" i="1"/>
  <c r="U141" i="1"/>
  <c r="W140" i="1"/>
  <c r="V140" i="1"/>
  <c r="U140" i="1"/>
  <c r="W139" i="1"/>
  <c r="V139" i="1"/>
  <c r="U139" i="1"/>
  <c r="W138" i="1"/>
  <c r="V138" i="1"/>
  <c r="U138" i="1"/>
  <c r="W137" i="1"/>
  <c r="V137" i="1"/>
  <c r="U137" i="1"/>
  <c r="W136" i="1"/>
  <c r="V136" i="1"/>
  <c r="U136" i="1"/>
  <c r="W135" i="1"/>
  <c r="V135" i="1"/>
  <c r="U135" i="1"/>
  <c r="W134" i="1"/>
  <c r="V134" i="1"/>
  <c r="U134" i="1"/>
  <c r="W133" i="1"/>
  <c r="V133" i="1"/>
  <c r="U133" i="1"/>
  <c r="W132" i="1"/>
  <c r="V132" i="1"/>
  <c r="U132" i="1"/>
  <c r="W131" i="1"/>
  <c r="V131" i="1"/>
  <c r="U131" i="1"/>
  <c r="W130" i="1"/>
  <c r="V130" i="1"/>
  <c r="U130" i="1"/>
  <c r="W129" i="1"/>
  <c r="V129" i="1"/>
  <c r="U129" i="1"/>
  <c r="W128" i="1"/>
  <c r="V128" i="1"/>
  <c r="U128" i="1"/>
  <c r="W127" i="1"/>
  <c r="V127" i="1"/>
  <c r="U127" i="1"/>
  <c r="W126" i="1"/>
  <c r="V126" i="1"/>
  <c r="U126" i="1"/>
  <c r="W125" i="1"/>
  <c r="V125" i="1"/>
  <c r="U125" i="1"/>
  <c r="W124" i="1"/>
  <c r="V124" i="1"/>
  <c r="U124" i="1"/>
  <c r="W123" i="1"/>
  <c r="V123" i="1"/>
  <c r="U123" i="1"/>
  <c r="W122" i="1"/>
  <c r="V122" i="1"/>
  <c r="U122" i="1"/>
  <c r="W121" i="1"/>
  <c r="V121" i="1"/>
  <c r="U121" i="1"/>
  <c r="W120" i="1"/>
  <c r="V120" i="1"/>
  <c r="U120" i="1"/>
  <c r="W119" i="1"/>
  <c r="V119" i="1"/>
  <c r="U119" i="1"/>
  <c r="W118" i="1"/>
  <c r="V118" i="1"/>
  <c r="U118" i="1"/>
  <c r="W117" i="1"/>
  <c r="V117" i="1"/>
  <c r="U117" i="1"/>
  <c r="W116" i="1"/>
  <c r="V116" i="1"/>
  <c r="U116" i="1"/>
  <c r="W115" i="1"/>
  <c r="V115" i="1"/>
  <c r="U115" i="1"/>
  <c r="W114" i="1"/>
  <c r="V114" i="1"/>
  <c r="U114" i="1"/>
  <c r="W113" i="1"/>
  <c r="V113" i="1"/>
  <c r="U113" i="1"/>
  <c r="W112" i="1"/>
  <c r="V112" i="1"/>
  <c r="U112" i="1"/>
  <c r="W111" i="1"/>
  <c r="V111" i="1"/>
  <c r="U111" i="1"/>
  <c r="W110" i="1"/>
  <c r="V110" i="1"/>
  <c r="U110" i="1"/>
  <c r="W109" i="1"/>
  <c r="V109" i="1"/>
  <c r="U109" i="1"/>
  <c r="W108" i="1"/>
  <c r="V108" i="1"/>
  <c r="U108" i="1"/>
  <c r="W107" i="1"/>
  <c r="V107" i="1"/>
  <c r="U107" i="1"/>
  <c r="W106" i="1"/>
  <c r="V106" i="1"/>
  <c r="U106" i="1"/>
  <c r="W105" i="1"/>
  <c r="V105" i="1"/>
  <c r="U105" i="1"/>
  <c r="W104" i="1"/>
  <c r="V104" i="1"/>
  <c r="U104" i="1"/>
  <c r="W103" i="1"/>
  <c r="V103" i="1"/>
  <c r="U103" i="1"/>
  <c r="W102" i="1"/>
  <c r="V102" i="1"/>
  <c r="U102" i="1"/>
  <c r="W101" i="1"/>
  <c r="V101" i="1"/>
  <c r="U101" i="1"/>
  <c r="W100" i="1"/>
  <c r="V100" i="1"/>
  <c r="U100" i="1"/>
  <c r="W99" i="1"/>
  <c r="V99" i="1"/>
  <c r="U99" i="1"/>
  <c r="W98" i="1"/>
  <c r="V98" i="1"/>
  <c r="U98" i="1"/>
  <c r="W97" i="1"/>
  <c r="V97" i="1"/>
  <c r="U97" i="1"/>
  <c r="W96" i="1"/>
  <c r="V96" i="1"/>
  <c r="U96" i="1"/>
  <c r="W95" i="1"/>
  <c r="V95" i="1"/>
  <c r="U95" i="1"/>
  <c r="W94" i="1"/>
  <c r="V94" i="1"/>
  <c r="U94" i="1"/>
  <c r="W93" i="1"/>
  <c r="V93" i="1"/>
  <c r="U93" i="1"/>
  <c r="W92" i="1"/>
  <c r="V92" i="1"/>
  <c r="U92" i="1"/>
  <c r="W91" i="1"/>
  <c r="V91" i="1"/>
  <c r="U91" i="1"/>
  <c r="W90" i="1"/>
  <c r="V90" i="1"/>
  <c r="U90" i="1"/>
  <c r="W89" i="1"/>
  <c r="V89" i="1"/>
  <c r="U89" i="1"/>
  <c r="W88" i="1"/>
  <c r="V88" i="1"/>
  <c r="U88" i="1"/>
  <c r="W87" i="1"/>
  <c r="V87" i="1"/>
  <c r="U87" i="1"/>
  <c r="W86" i="1"/>
  <c r="V86" i="1"/>
  <c r="U86" i="1"/>
  <c r="W85" i="1"/>
  <c r="V85" i="1"/>
  <c r="U85" i="1"/>
  <c r="W84" i="1"/>
  <c r="V84" i="1"/>
  <c r="U84" i="1"/>
  <c r="W83" i="1"/>
  <c r="V83" i="1"/>
  <c r="U83" i="1"/>
  <c r="W82" i="1"/>
  <c r="V82" i="1"/>
  <c r="U82" i="1"/>
  <c r="W81" i="1"/>
  <c r="V81" i="1"/>
  <c r="U81" i="1"/>
  <c r="W80" i="1"/>
  <c r="V80" i="1"/>
  <c r="U80" i="1"/>
  <c r="W79" i="1"/>
  <c r="V79" i="1"/>
  <c r="U79" i="1"/>
  <c r="W78" i="1"/>
  <c r="V78" i="1"/>
  <c r="U78" i="1"/>
  <c r="W77" i="1"/>
  <c r="V77" i="1"/>
  <c r="U77" i="1"/>
  <c r="W76" i="1"/>
  <c r="V76" i="1"/>
  <c r="U76" i="1"/>
  <c r="W75" i="1"/>
  <c r="V75" i="1"/>
  <c r="U75" i="1"/>
  <c r="W74" i="1"/>
  <c r="V74" i="1"/>
  <c r="U74" i="1"/>
  <c r="W73" i="1"/>
  <c r="V73" i="1"/>
  <c r="U73" i="1"/>
  <c r="W72" i="1"/>
  <c r="V72" i="1"/>
  <c r="U72" i="1"/>
  <c r="W71" i="1"/>
  <c r="V71" i="1"/>
  <c r="U71" i="1"/>
  <c r="W70" i="1"/>
  <c r="V70" i="1"/>
  <c r="U70" i="1"/>
  <c r="W69" i="1"/>
  <c r="V69" i="1"/>
  <c r="U69" i="1"/>
  <c r="W68" i="1"/>
  <c r="V68" i="1"/>
  <c r="U68" i="1"/>
  <c r="W67" i="1"/>
  <c r="V67" i="1"/>
  <c r="U67" i="1"/>
  <c r="W66" i="1"/>
  <c r="V66" i="1"/>
  <c r="U66" i="1"/>
  <c r="W65" i="1"/>
  <c r="V65" i="1"/>
  <c r="U65" i="1"/>
  <c r="W64" i="1"/>
  <c r="V64" i="1"/>
  <c r="U64" i="1"/>
  <c r="W63" i="1"/>
  <c r="V63" i="1"/>
  <c r="U63" i="1"/>
  <c r="W62" i="1"/>
  <c r="V62" i="1"/>
  <c r="U62" i="1"/>
  <c r="W61" i="1"/>
  <c r="V61" i="1"/>
  <c r="U61" i="1"/>
  <c r="W60" i="1"/>
  <c r="V60" i="1"/>
  <c r="U60" i="1"/>
  <c r="W59" i="1"/>
  <c r="V59" i="1"/>
  <c r="U59" i="1"/>
  <c r="W58" i="1"/>
  <c r="V58" i="1"/>
  <c r="U58" i="1"/>
  <c r="W57" i="1"/>
  <c r="V57" i="1"/>
  <c r="U57" i="1"/>
  <c r="W56" i="1"/>
  <c r="V56" i="1"/>
  <c r="U56" i="1"/>
  <c r="W55" i="1"/>
  <c r="V55" i="1"/>
  <c r="U55" i="1"/>
  <c r="W54" i="1"/>
  <c r="V54" i="1"/>
  <c r="U54" i="1"/>
  <c r="W53" i="1"/>
  <c r="V53" i="1"/>
  <c r="U53" i="1"/>
  <c r="W52" i="1"/>
  <c r="V52" i="1"/>
  <c r="U52" i="1"/>
  <c r="W51" i="1"/>
  <c r="V51" i="1"/>
  <c r="U51" i="1"/>
  <c r="W50" i="1"/>
  <c r="V50" i="1"/>
  <c r="U50" i="1"/>
  <c r="W49" i="1"/>
  <c r="V49" i="1"/>
  <c r="U49" i="1"/>
  <c r="W48" i="1"/>
  <c r="V48" i="1"/>
  <c r="U48" i="1"/>
  <c r="W47" i="1"/>
  <c r="V47" i="1"/>
  <c r="U47" i="1"/>
  <c r="W46" i="1"/>
  <c r="V46" i="1"/>
  <c r="U46" i="1"/>
  <c r="W45" i="1"/>
  <c r="V45" i="1"/>
  <c r="U45" i="1"/>
  <c r="W44" i="1"/>
  <c r="V44" i="1"/>
  <c r="U44" i="1"/>
  <c r="W43" i="1"/>
  <c r="V43" i="1"/>
  <c r="U43" i="1"/>
  <c r="W42" i="1"/>
  <c r="V42" i="1"/>
  <c r="U42" i="1"/>
  <c r="W41" i="1"/>
  <c r="V41" i="1"/>
  <c r="U41" i="1"/>
  <c r="W40" i="1"/>
  <c r="V40" i="1"/>
  <c r="U40" i="1"/>
  <c r="W39" i="1"/>
  <c r="V39" i="1"/>
  <c r="U39" i="1"/>
  <c r="W38" i="1"/>
  <c r="V38" i="1"/>
  <c r="U38" i="1"/>
  <c r="W37" i="1"/>
  <c r="V37" i="1"/>
  <c r="U37" i="1"/>
  <c r="W36" i="1"/>
  <c r="V36" i="1"/>
  <c r="U36" i="1"/>
  <c r="W35" i="1"/>
  <c r="V35" i="1"/>
  <c r="U35" i="1"/>
  <c r="W34" i="1"/>
  <c r="V34" i="1"/>
  <c r="U34" i="1"/>
  <c r="W33" i="1"/>
  <c r="V33" i="1"/>
  <c r="U33" i="1"/>
  <c r="W32" i="1"/>
  <c r="V32" i="1"/>
  <c r="U32" i="1"/>
  <c r="W31" i="1"/>
  <c r="V31" i="1"/>
  <c r="U31" i="1"/>
  <c r="W30" i="1"/>
  <c r="V30" i="1"/>
  <c r="U30" i="1"/>
  <c r="W29" i="1"/>
  <c r="V29" i="1"/>
  <c r="U29" i="1"/>
  <c r="W28" i="1"/>
  <c r="V28" i="1"/>
  <c r="U28" i="1"/>
  <c r="W27" i="1"/>
  <c r="V27" i="1"/>
  <c r="U27" i="1"/>
  <c r="W26" i="1"/>
  <c r="V26" i="1"/>
  <c r="U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W20" i="1"/>
  <c r="V20" i="1"/>
  <c r="U20" i="1"/>
  <c r="W19" i="1"/>
  <c r="V19" i="1"/>
  <c r="U19" i="1"/>
  <c r="W18" i="1"/>
  <c r="V18" i="1"/>
  <c r="U18" i="1"/>
  <c r="W17" i="1"/>
  <c r="V17" i="1"/>
  <c r="U17" i="1"/>
  <c r="W16" i="1"/>
  <c r="V16" i="1"/>
  <c r="U16" i="1"/>
  <c r="W15" i="1"/>
  <c r="V15" i="1"/>
  <c r="U15" i="1"/>
  <c r="W14" i="1"/>
  <c r="V14" i="1"/>
  <c r="U14" i="1"/>
  <c r="W13" i="1"/>
  <c r="V13" i="1"/>
  <c r="U13" i="1"/>
  <c r="W12" i="1"/>
  <c r="V12" i="1"/>
  <c r="U12" i="1"/>
  <c r="W11" i="1"/>
  <c r="V11" i="1"/>
  <c r="U11" i="1"/>
  <c r="W10" i="1"/>
  <c r="V10" i="1"/>
  <c r="U10" i="1"/>
  <c r="W9" i="1"/>
  <c r="V9" i="1"/>
  <c r="U9" i="1"/>
  <c r="W8" i="1"/>
  <c r="V8" i="1"/>
  <c r="U8" i="1"/>
  <c r="W7" i="1"/>
  <c r="V7" i="1"/>
  <c r="U7" i="1"/>
  <c r="W6" i="1"/>
  <c r="V6" i="1"/>
  <c r="U6" i="1"/>
  <c r="W5" i="1"/>
  <c r="V5" i="1"/>
  <c r="U5" i="1"/>
  <c r="W4" i="1"/>
  <c r="V4" i="1"/>
  <c r="U4" i="1"/>
  <c r="W3" i="1"/>
  <c r="V3" i="1"/>
  <c r="U3" i="1"/>
  <c r="W2" i="1"/>
  <c r="V2" i="1"/>
  <c r="U2" i="1"/>
  <c r="K77" i="4" a="1"/>
  <c r="K77" i="4" s="1"/>
  <c r="H77" i="4"/>
  <c r="G77" i="4"/>
  <c r="C77" i="4" a="1"/>
  <c r="C77" i="4" s="1"/>
  <c r="K76" i="4" a="1"/>
  <c r="K76" i="4" s="1"/>
  <c r="H76" i="4"/>
  <c r="G76" i="4"/>
  <c r="C76" i="4" a="1"/>
  <c r="C76" i="4" s="1"/>
  <c r="K75" i="4" a="1"/>
  <c r="K75" i="4" s="1"/>
  <c r="H75" i="4"/>
  <c r="G75" i="4"/>
  <c r="C75" i="4" a="1"/>
  <c r="C75" i="4" s="1"/>
  <c r="K74" i="4" a="1"/>
  <c r="K74" i="4" s="1"/>
  <c r="H74" i="4"/>
  <c r="C74" i="4" a="1"/>
  <c r="C74" i="4" s="1"/>
  <c r="D74" i="4" s="1" a="1"/>
  <c r="D74" i="4" s="1"/>
  <c r="K73" i="4" a="1"/>
  <c r="K73" i="4" s="1"/>
  <c r="H73" i="4"/>
  <c r="C73" i="4" a="1"/>
  <c r="C73" i="4" s="1"/>
  <c r="K72" i="4" a="1"/>
  <c r="K72" i="4" s="1"/>
  <c r="H72" i="4"/>
  <c r="C72" i="4" a="1"/>
  <c r="C72" i="4" s="1"/>
  <c r="E72" i="4" s="1" a="1"/>
  <c r="E72" i="4" s="1"/>
  <c r="K71" i="4" a="1"/>
  <c r="K71" i="4" s="1"/>
  <c r="H71" i="4"/>
  <c r="C71" i="4" a="1"/>
  <c r="C71" i="4" s="1"/>
  <c r="E71" i="4" s="1" a="1"/>
  <c r="E71" i="4" s="1"/>
  <c r="K70" i="4" a="1"/>
  <c r="K70" i="4" s="1"/>
  <c r="H70" i="4"/>
  <c r="G70" i="4"/>
  <c r="C70" i="4" a="1"/>
  <c r="C70" i="4" s="1"/>
  <c r="K69" i="4" a="1"/>
  <c r="K69" i="4" s="1"/>
  <c r="H69" i="4"/>
  <c r="G69" i="4"/>
  <c r="C69" i="4" a="1"/>
  <c r="C69" i="4" s="1"/>
  <c r="K68" i="4" a="1"/>
  <c r="K68" i="4" s="1"/>
  <c r="H68" i="4"/>
  <c r="G68" i="4"/>
  <c r="C68" i="4" a="1"/>
  <c r="C68" i="4" s="1"/>
  <c r="E68" i="4" s="1" a="1"/>
  <c r="E68" i="4" s="1"/>
  <c r="K67" i="4" a="1"/>
  <c r="K67" i="4" s="1"/>
  <c r="H67" i="4"/>
  <c r="G67" i="4"/>
  <c r="C67" i="4" a="1"/>
  <c r="C67" i="4" s="1"/>
  <c r="E67" i="4" s="1" a="1"/>
  <c r="E67" i="4" s="1"/>
  <c r="K66" i="4" a="1"/>
  <c r="K66" i="4" s="1"/>
  <c r="H66" i="4"/>
  <c r="G66" i="4"/>
  <c r="C66" i="4" a="1"/>
  <c r="C66" i="4" s="1"/>
  <c r="K65" i="4" a="1"/>
  <c r="K65" i="4"/>
  <c r="H65" i="4"/>
  <c r="G65" i="4"/>
  <c r="C65" i="4" a="1"/>
  <c r="C65" i="4" s="1"/>
  <c r="E65" i="4" s="1" a="1"/>
  <c r="E65" i="4" s="1"/>
  <c r="K64" i="4" a="1"/>
  <c r="K64" i="4" s="1"/>
  <c r="H64" i="4"/>
  <c r="G64" i="4"/>
  <c r="C64" i="4" a="1"/>
  <c r="C64" i="4" s="1"/>
  <c r="K63" i="4" a="1"/>
  <c r="K63" i="4" s="1"/>
  <c r="H63" i="4"/>
  <c r="G63" i="4"/>
  <c r="C63" i="4" a="1"/>
  <c r="C63" i="4" s="1"/>
  <c r="K62" i="4" a="1"/>
  <c r="K62" i="4" s="1"/>
  <c r="H62" i="4"/>
  <c r="G62" i="4"/>
  <c r="C62" i="4" a="1"/>
  <c r="C62" i="4" s="1"/>
  <c r="K61" i="4" a="1"/>
  <c r="K61" i="4" s="1"/>
  <c r="H61" i="4"/>
  <c r="G61" i="4"/>
  <c r="C61" i="4" a="1"/>
  <c r="C61" i="4" s="1"/>
  <c r="D61" i="4" s="1" a="1"/>
  <c r="D61" i="4" s="1"/>
  <c r="K60" i="4" a="1"/>
  <c r="K60" i="4" s="1"/>
  <c r="H60" i="4"/>
  <c r="G60" i="4"/>
  <c r="C60" i="4" a="1"/>
  <c r="C60" i="4" s="1"/>
  <c r="E60" i="4" s="1" a="1"/>
  <c r="E60" i="4" s="1"/>
  <c r="K59" i="4" a="1"/>
  <c r="K59" i="4" s="1"/>
  <c r="H59" i="4"/>
  <c r="G59" i="4"/>
  <c r="C59" i="4" a="1"/>
  <c r="C59" i="4" s="1"/>
  <c r="D59" i="4" s="1" a="1"/>
  <c r="D59" i="4" s="1"/>
  <c r="K58" i="4" a="1"/>
  <c r="K58" i="4" s="1"/>
  <c r="H58" i="4"/>
  <c r="G58" i="4"/>
  <c r="C58" i="4" a="1"/>
  <c r="C58" i="4" s="1"/>
  <c r="K57" i="4" a="1"/>
  <c r="K57" i="4" s="1"/>
  <c r="H57" i="4"/>
  <c r="G57" i="4"/>
  <c r="C57" i="4" a="1"/>
  <c r="C57" i="4" s="1"/>
  <c r="K56" i="4" a="1"/>
  <c r="K56" i="4" s="1"/>
  <c r="H56" i="4"/>
  <c r="G56" i="4"/>
  <c r="C56" i="4" a="1"/>
  <c r="C56" i="4" s="1"/>
  <c r="K55" i="4" a="1"/>
  <c r="K55" i="4" s="1"/>
  <c r="H55" i="4"/>
  <c r="G55" i="4"/>
  <c r="C55" i="4" a="1"/>
  <c r="C55" i="4" s="1"/>
  <c r="K54" i="4" a="1"/>
  <c r="K54" i="4" s="1"/>
  <c r="H54" i="4"/>
  <c r="G54" i="4"/>
  <c r="C54" i="4" a="1"/>
  <c r="C54" i="4" s="1"/>
  <c r="E54" i="4" s="1" a="1"/>
  <c r="E54" i="4" s="1"/>
  <c r="K53" i="4" a="1"/>
  <c r="K53" i="4" s="1"/>
  <c r="H53" i="4"/>
  <c r="G53" i="4"/>
  <c r="C53" i="4" a="1"/>
  <c r="C53" i="4" s="1"/>
  <c r="D53" i="4" s="1" a="1"/>
  <c r="D53" i="4" s="1"/>
  <c r="K52" i="4" a="1"/>
  <c r="K52" i="4" s="1"/>
  <c r="H52" i="4"/>
  <c r="G52" i="4"/>
  <c r="C52" i="4" a="1"/>
  <c r="C52" i="4" s="1"/>
  <c r="K51" i="4" a="1"/>
  <c r="K51" i="4" s="1"/>
  <c r="H51" i="4"/>
  <c r="G51" i="4"/>
  <c r="C51" i="4" a="1"/>
  <c r="C51" i="4" s="1"/>
  <c r="D51" i="4" s="1" a="1"/>
  <c r="D51" i="4" s="1"/>
  <c r="K50" i="4" a="1"/>
  <c r="K50" i="4" s="1"/>
  <c r="H50" i="4"/>
  <c r="G50" i="4"/>
  <c r="C50" i="4" a="1"/>
  <c r="C50" i="4" s="1"/>
  <c r="K49" i="4" a="1"/>
  <c r="K49" i="4" s="1"/>
  <c r="H49" i="4"/>
  <c r="G49" i="4"/>
  <c r="C49" i="4" a="1"/>
  <c r="C49" i="4" s="1"/>
  <c r="E49" i="4" s="1" a="1"/>
  <c r="E49" i="4" s="1"/>
  <c r="K48" i="4" a="1"/>
  <c r="K48" i="4" s="1"/>
  <c r="H48" i="4"/>
  <c r="G48" i="4"/>
  <c r="C48" i="4" a="1"/>
  <c r="C48" i="4" s="1"/>
  <c r="K47" i="4" a="1"/>
  <c r="K47" i="4" s="1"/>
  <c r="H47" i="4"/>
  <c r="G47" i="4"/>
  <c r="C47" i="4" a="1"/>
  <c r="C47" i="4" s="1"/>
  <c r="E47" i="4" s="1" a="1"/>
  <c r="E47" i="4" s="1"/>
  <c r="K46" i="4" a="1"/>
  <c r="K46" i="4" s="1"/>
  <c r="H46" i="4"/>
  <c r="G46" i="4"/>
  <c r="C46" i="4" a="1"/>
  <c r="C46" i="4" s="1"/>
  <c r="E46" i="4" s="1" a="1"/>
  <c r="E46" i="4" s="1"/>
  <c r="K45" i="4" a="1"/>
  <c r="K45" i="4" s="1"/>
  <c r="H45" i="4"/>
  <c r="G45" i="4"/>
  <c r="C45" i="4" a="1"/>
  <c r="C45" i="4" s="1"/>
  <c r="K44" i="4" a="1"/>
  <c r="K44" i="4" s="1"/>
  <c r="H44" i="4"/>
  <c r="G44" i="4"/>
  <c r="C44" i="4" a="1"/>
  <c r="C44" i="4" s="1"/>
  <c r="D44" i="4" s="1" a="1"/>
  <c r="D44" i="4" s="1"/>
  <c r="K43" i="4" a="1"/>
  <c r="K43" i="4" s="1"/>
  <c r="H43" i="4"/>
  <c r="G43" i="4"/>
  <c r="C43" i="4" a="1"/>
  <c r="C43" i="4" s="1"/>
  <c r="E43" i="4" s="1" a="1"/>
  <c r="E43" i="4" s="1"/>
  <c r="K42" i="4" a="1"/>
  <c r="K42" i="4" s="1"/>
  <c r="H42" i="4"/>
  <c r="G42" i="4"/>
  <c r="C42" i="4" a="1"/>
  <c r="C42" i="4" s="1"/>
  <c r="K41" i="4" a="1"/>
  <c r="K41" i="4" s="1"/>
  <c r="H41" i="4"/>
  <c r="G41" i="4"/>
  <c r="C41" i="4" a="1"/>
  <c r="C41" i="4" s="1"/>
  <c r="E41" i="4" s="1" a="1"/>
  <c r="E41" i="4" s="1"/>
  <c r="K40" i="4" a="1"/>
  <c r="K40" i="4"/>
  <c r="H40" i="4"/>
  <c r="G40" i="4"/>
  <c r="C40" i="4" a="1"/>
  <c r="C40" i="4" s="1"/>
  <c r="E40" i="4" s="1" a="1"/>
  <c r="E40" i="4" s="1"/>
  <c r="K39" i="4" a="1"/>
  <c r="K39" i="4" s="1"/>
  <c r="H39" i="4"/>
  <c r="G39" i="4"/>
  <c r="C39" i="4" a="1"/>
  <c r="C39" i="4" s="1"/>
  <c r="K38" i="4" a="1"/>
  <c r="K38" i="4" s="1"/>
  <c r="H38" i="4"/>
  <c r="G38" i="4"/>
  <c r="C38" i="4" a="1"/>
  <c r="C38" i="4" s="1"/>
  <c r="D38" i="4" s="1" a="1"/>
  <c r="D38" i="4" s="1"/>
  <c r="K37" i="4" a="1"/>
  <c r="K37" i="4" s="1"/>
  <c r="H37" i="4"/>
  <c r="G37" i="4"/>
  <c r="C37" i="4" a="1"/>
  <c r="C37" i="4" s="1"/>
  <c r="K36" i="4" a="1"/>
  <c r="K36" i="4" s="1"/>
  <c r="H36" i="4"/>
  <c r="G36" i="4"/>
  <c r="C36" i="4" a="1"/>
  <c r="C36" i="4" s="1"/>
  <c r="K35" i="4" a="1"/>
  <c r="K35" i="4" s="1"/>
  <c r="H35" i="4"/>
  <c r="G35" i="4"/>
  <c r="C35" i="4" a="1"/>
  <c r="C35" i="4" s="1"/>
  <c r="E35" i="4" s="1" a="1"/>
  <c r="E35" i="4" s="1"/>
  <c r="K34" i="4" a="1"/>
  <c r="K34" i="4" s="1"/>
  <c r="H34" i="4"/>
  <c r="G34" i="4"/>
  <c r="C34" i="4" a="1"/>
  <c r="C34" i="4" s="1"/>
  <c r="K33" i="4" a="1"/>
  <c r="K33" i="4" s="1"/>
  <c r="H33" i="4"/>
  <c r="G33" i="4"/>
  <c r="C33" i="4" a="1"/>
  <c r="C33" i="4" s="1"/>
  <c r="K32" i="4" a="1"/>
  <c r="K32" i="4" s="1"/>
  <c r="H32" i="4"/>
  <c r="G32" i="4"/>
  <c r="C32" i="4" a="1"/>
  <c r="C32" i="4" s="1"/>
  <c r="K31" i="4" a="1"/>
  <c r="K31" i="4" s="1"/>
  <c r="H31" i="4"/>
  <c r="G31" i="4"/>
  <c r="C31" i="4" a="1"/>
  <c r="C31" i="4" s="1"/>
  <c r="E31" i="4" s="1" a="1"/>
  <c r="E31" i="4" s="1"/>
  <c r="K30" i="4" a="1"/>
  <c r="K30" i="4" s="1"/>
  <c r="H30" i="4"/>
  <c r="C30" i="4" a="1"/>
  <c r="C30" i="4" s="1"/>
  <c r="E30" i="4" s="1" a="1"/>
  <c r="E30" i="4" s="1"/>
  <c r="K29" i="4" a="1"/>
  <c r="K29" i="4" s="1"/>
  <c r="H29" i="4"/>
  <c r="C29" i="4" a="1"/>
  <c r="C29" i="4" s="1"/>
  <c r="K28" i="4" a="1"/>
  <c r="K28" i="4" s="1"/>
  <c r="H28" i="4"/>
  <c r="C28" i="4" a="1"/>
  <c r="C28" i="4" s="1"/>
  <c r="K27" i="4" a="1"/>
  <c r="K27" i="4" s="1"/>
  <c r="H27" i="4"/>
  <c r="C27" i="4" a="1"/>
  <c r="C27" i="4" s="1"/>
  <c r="K26" i="4" a="1"/>
  <c r="K26" i="4" s="1"/>
  <c r="H26" i="4"/>
  <c r="C26" i="4" a="1"/>
  <c r="C26" i="4" s="1"/>
  <c r="D26" i="4" s="1" a="1"/>
  <c r="D26" i="4" s="1"/>
  <c r="K25" i="4" a="1"/>
  <c r="K25" i="4" s="1"/>
  <c r="H25" i="4"/>
  <c r="C25" i="4" a="1"/>
  <c r="C25" i="4" s="1"/>
  <c r="E25" i="4" s="1" a="1"/>
  <c r="E25" i="4" s="1"/>
  <c r="K24" i="4" a="1"/>
  <c r="K24" i="4" s="1"/>
  <c r="H24" i="4"/>
  <c r="C24" i="4" a="1"/>
  <c r="C24" i="4" s="1"/>
  <c r="E24" i="4" s="1" a="1"/>
  <c r="E24" i="4" s="1"/>
  <c r="K23" i="4" a="1"/>
  <c r="K23" i="4" s="1"/>
  <c r="H23" i="4"/>
  <c r="C23" i="4" a="1"/>
  <c r="C23" i="4" s="1"/>
  <c r="K22" i="4" a="1"/>
  <c r="K22" i="4" s="1"/>
  <c r="H22" i="4"/>
  <c r="C22" i="4" a="1"/>
  <c r="C22" i="4" s="1"/>
  <c r="E22" i="4" s="1" a="1"/>
  <c r="E22" i="4" s="1"/>
  <c r="K21" i="4" a="1"/>
  <c r="K21" i="4" s="1"/>
  <c r="H21" i="4"/>
  <c r="C21" i="4" a="1"/>
  <c r="C21" i="4" s="1"/>
  <c r="E21" i="4" s="1" a="1"/>
  <c r="E21" i="4" s="1"/>
  <c r="K20" i="4" a="1"/>
  <c r="K20" i="4" s="1"/>
  <c r="H20" i="4"/>
  <c r="C20" i="4" a="1"/>
  <c r="C20" i="4" s="1"/>
  <c r="E20" i="4" s="1" a="1"/>
  <c r="E20" i="4" s="1"/>
  <c r="K19" i="4" a="1"/>
  <c r="K19" i="4" s="1"/>
  <c r="H19" i="4"/>
  <c r="C19" i="4" a="1"/>
  <c r="C19" i="4" s="1"/>
  <c r="K18" i="4" a="1"/>
  <c r="K18" i="4" s="1"/>
  <c r="H18" i="4"/>
  <c r="C18" i="4" a="1"/>
  <c r="C18" i="4" s="1"/>
  <c r="K17" i="4" a="1"/>
  <c r="K17" i="4" s="1"/>
  <c r="H17" i="4"/>
  <c r="C17" i="4" a="1"/>
  <c r="C17" i="4" s="1"/>
  <c r="K16" i="4" a="1"/>
  <c r="K16" i="4" s="1"/>
  <c r="H16" i="4"/>
  <c r="C16" i="4" a="1"/>
  <c r="C16" i="4" s="1"/>
  <c r="E16" i="4" s="1" a="1"/>
  <c r="E16" i="4" s="1"/>
  <c r="K15" i="4" a="1"/>
  <c r="K15" i="4" s="1"/>
  <c r="H15" i="4"/>
  <c r="C15" i="4" a="1"/>
  <c r="C15" i="4" s="1"/>
  <c r="E15" i="4" s="1" a="1"/>
  <c r="E15" i="4" s="1"/>
  <c r="K14" i="4" a="1"/>
  <c r="K14" i="4" s="1"/>
  <c r="H14" i="4"/>
  <c r="G14" i="4"/>
  <c r="C14" i="4" a="1"/>
  <c r="C14" i="4" s="1"/>
  <c r="K13" i="4" a="1"/>
  <c r="K13" i="4" s="1"/>
  <c r="H13" i="4"/>
  <c r="G13" i="4"/>
  <c r="C13" i="4" a="1"/>
  <c r="C13" i="4" s="1"/>
  <c r="D13" i="4" s="1" a="1"/>
  <c r="D13" i="4" s="1"/>
  <c r="K12" i="4" a="1"/>
  <c r="K12" i="4" s="1"/>
  <c r="H12" i="4"/>
  <c r="G12" i="4"/>
  <c r="C12" i="4" a="1"/>
  <c r="C12" i="4" s="1"/>
  <c r="D12" i="4" s="1" a="1"/>
  <c r="D12" i="4" s="1"/>
  <c r="K11" i="4" a="1"/>
  <c r="K11" i="4" s="1"/>
  <c r="H11" i="4"/>
  <c r="G11" i="4"/>
  <c r="C11" i="4" a="1"/>
  <c r="C11" i="4" s="1"/>
  <c r="E11" i="4" s="1" a="1"/>
  <c r="E11" i="4" s="1"/>
  <c r="L11" i="4" s="1"/>
  <c r="K10" i="4" a="1"/>
  <c r="K10" i="4" s="1"/>
  <c r="H10" i="4"/>
  <c r="G10" i="4"/>
  <c r="C10" i="4" a="1"/>
  <c r="C10" i="4" s="1"/>
  <c r="K9" i="4" a="1"/>
  <c r="K9" i="4" s="1"/>
  <c r="H9" i="4"/>
  <c r="G9" i="4"/>
  <c r="C9" i="4" a="1"/>
  <c r="C9" i="4" s="1"/>
  <c r="E9" i="4" s="1" a="1"/>
  <c r="E9" i="4" s="1"/>
  <c r="K8" i="4" a="1"/>
  <c r="K8" i="4" s="1"/>
  <c r="H8" i="4"/>
  <c r="G8" i="4"/>
  <c r="C8" i="4" a="1"/>
  <c r="C8" i="4" s="1"/>
  <c r="K7" i="4" a="1"/>
  <c r="K7" i="4" s="1"/>
  <c r="H7" i="4"/>
  <c r="G7" i="4"/>
  <c r="C7" i="4" a="1"/>
  <c r="C7" i="4" s="1"/>
  <c r="D7" i="4" s="1" a="1"/>
  <c r="D7" i="4" s="1"/>
  <c r="K6" i="4" a="1"/>
  <c r="K6" i="4" s="1"/>
  <c r="H6" i="4"/>
  <c r="G6" i="4"/>
  <c r="C6" i="4" a="1"/>
  <c r="C6" i="4" s="1"/>
  <c r="E6" i="4" s="1" a="1"/>
  <c r="E6" i="4" s="1"/>
  <c r="K5" i="4" a="1"/>
  <c r="K5" i="4" s="1"/>
  <c r="H5" i="4"/>
  <c r="G5" i="4"/>
  <c r="C5" i="4" a="1"/>
  <c r="C5" i="4" s="1"/>
  <c r="K4" i="4" a="1"/>
  <c r="K4" i="4" s="1"/>
  <c r="H4" i="4"/>
  <c r="G4" i="4"/>
  <c r="C4" i="4" a="1"/>
  <c r="C4" i="4" s="1"/>
  <c r="D4" i="4" s="1" a="1"/>
  <c r="D4" i="4" s="1"/>
  <c r="K3" i="4" a="1"/>
  <c r="K3" i="4" s="1"/>
  <c r="H3" i="4"/>
  <c r="G3" i="4"/>
  <c r="C3" i="4" a="1"/>
  <c r="C3" i="4" s="1"/>
  <c r="E3" i="4" s="1" a="1"/>
  <c r="E3" i="4" s="1"/>
  <c r="K2" i="4" a="1"/>
  <c r="K2" i="4" s="1"/>
  <c r="H2" i="4"/>
  <c r="G2" i="4"/>
  <c r="C2" i="4" a="1"/>
  <c r="C2" i="4" s="1"/>
  <c r="D15" i="4" l="1" a="1"/>
  <c r="D15" i="4" s="1"/>
  <c r="E59" i="4" a="1"/>
  <c r="E59" i="4" s="1"/>
  <c r="D41" i="4" a="1"/>
  <c r="D41" i="4" s="1"/>
  <c r="L41" i="4" s="1"/>
  <c r="E53" i="4" a="1"/>
  <c r="E53" i="4" s="1"/>
  <c r="E4" i="4" a="1"/>
  <c r="E4" i="4" s="1"/>
  <c r="L4" i="4" s="1"/>
  <c r="E36" i="4" a="1"/>
  <c r="E36" i="4" s="1"/>
  <c r="D36" i="4" a="1"/>
  <c r="D36" i="4" s="1"/>
  <c r="D62" i="4" a="1"/>
  <c r="D62" i="4" s="1"/>
  <c r="E62" i="4" a="1"/>
  <c r="E62" i="4" s="1"/>
  <c r="L62" i="4" s="1"/>
  <c r="E66" i="4" a="1"/>
  <c r="E66" i="4" s="1"/>
  <c r="D66" i="4" a="1"/>
  <c r="D66" i="4" s="1"/>
  <c r="L66" i="4" s="1"/>
  <c r="D18" i="4" a="1"/>
  <c r="D18" i="4" s="1"/>
  <c r="E18" i="4" a="1"/>
  <c r="E18" i="4" s="1"/>
  <c r="L18" i="4" s="1"/>
  <c r="D37" i="4" a="1"/>
  <c r="D37" i="4" s="1"/>
  <c r="E37" i="4" a="1"/>
  <c r="E37" i="4" s="1"/>
  <c r="D10" i="4" a="1"/>
  <c r="D10" i="4" s="1"/>
  <c r="E10" i="4" a="1"/>
  <c r="E10" i="4" s="1"/>
  <c r="E28" i="4" a="1"/>
  <c r="E28" i="4" s="1"/>
  <c r="D28" i="4" a="1"/>
  <c r="D28" i="4" s="1"/>
  <c r="D76" i="4" a="1"/>
  <c r="D76" i="4" s="1"/>
  <c r="E76" i="4" a="1"/>
  <c r="E76" i="4" s="1"/>
  <c r="E39" i="4" a="1"/>
  <c r="E39" i="4" s="1"/>
  <c r="D39" i="4" a="1"/>
  <c r="D39" i="4" s="1"/>
  <c r="D48" i="4" a="1"/>
  <c r="D48" i="4" s="1"/>
  <c r="E48" i="4" a="1"/>
  <c r="E48" i="4" s="1"/>
  <c r="L53" i="4"/>
  <c r="E7" i="4" a="1"/>
  <c r="E7" i="4" s="1"/>
  <c r="L7" i="4" s="1"/>
  <c r="D49" i="4" a="1"/>
  <c r="D49" i="4" s="1"/>
  <c r="L49" i="4" s="1"/>
  <c r="E74" i="4" a="1"/>
  <c r="E74" i="4" s="1"/>
  <c r="L74" i="4" s="1"/>
  <c r="E13" i="4" a="1"/>
  <c r="E13" i="4" s="1"/>
  <c r="L13" i="4" s="1"/>
  <c r="D72" i="4" a="1"/>
  <c r="D72" i="4" s="1"/>
  <c r="L72" i="4" s="1"/>
  <c r="E26" i="4" a="1"/>
  <c r="E26" i="4" s="1"/>
  <c r="L26" i="4" s="1"/>
  <c r="E61" i="4" a="1"/>
  <c r="E61" i="4" s="1"/>
  <c r="L61" i="4" s="1"/>
  <c r="E12" i="4" a="1"/>
  <c r="E12" i="4" s="1"/>
  <c r="L12" i="4" s="1"/>
  <c r="D20" i="4" a="1"/>
  <c r="D20" i="4" s="1"/>
  <c r="L20" i="4" s="1"/>
  <c r="E51" i="4" a="1"/>
  <c r="E51" i="4" s="1"/>
  <c r="L51" i="4" s="1"/>
  <c r="D21" i="4" a="1"/>
  <c r="D21" i="4" s="1"/>
  <c r="L21" i="4" s="1"/>
  <c r="E75" i="4" a="1"/>
  <c r="E75" i="4" s="1"/>
  <c r="D75" i="4" a="1"/>
  <c r="D75" i="4" s="1"/>
  <c r="D17" i="4" a="1"/>
  <c r="D17" i="4" s="1"/>
  <c r="E17" i="4" a="1"/>
  <c r="E17" i="4" s="1"/>
  <c r="E52" i="4" a="1"/>
  <c r="E52" i="4" s="1"/>
  <c r="D52" i="4" a="1"/>
  <c r="D52" i="4" s="1"/>
  <c r="E34" i="4" a="1"/>
  <c r="E34" i="4" s="1"/>
  <c r="D34" i="4" a="1"/>
  <c r="D34" i="4" s="1"/>
  <c r="E55" i="4" a="1"/>
  <c r="E55" i="4" s="1"/>
  <c r="D55" i="4" a="1"/>
  <c r="D55" i="4" s="1"/>
  <c r="E5" i="4" a="1"/>
  <c r="E5" i="4" s="1"/>
  <c r="D5" i="4" a="1"/>
  <c r="D5" i="4" s="1"/>
  <c r="E8" i="4" a="1"/>
  <c r="E8" i="4" s="1"/>
  <c r="D8" i="4" a="1"/>
  <c r="D8" i="4" s="1"/>
  <c r="E14" i="4" a="1"/>
  <c r="E14" i="4" s="1"/>
  <c r="D14" i="4" a="1"/>
  <c r="D14" i="4" s="1"/>
  <c r="E29" i="4" a="1"/>
  <c r="E29" i="4" s="1"/>
  <c r="D29" i="4" a="1"/>
  <c r="D29" i="4" s="1"/>
  <c r="D2" i="4" a="1"/>
  <c r="D2" i="4" s="1"/>
  <c r="E2" i="4" a="1"/>
  <c r="E2" i="4" s="1"/>
  <c r="L2" i="4" s="1"/>
  <c r="L59" i="4"/>
  <c r="D50" i="4" a="1"/>
  <c r="D50" i="4" s="1"/>
  <c r="E50" i="4" a="1"/>
  <c r="E50" i="4" s="1"/>
  <c r="L15" i="4"/>
  <c r="D23" i="4" a="1"/>
  <c r="D23" i="4" s="1"/>
  <c r="E23" i="4" a="1"/>
  <c r="E23" i="4" s="1"/>
  <c r="L23" i="4" s="1"/>
  <c r="E27" i="4" a="1"/>
  <c r="E27" i="4" s="1"/>
  <c r="D27" i="4" a="1"/>
  <c r="D27" i="4" s="1"/>
  <c r="E73" i="4" a="1"/>
  <c r="E73" i="4" s="1"/>
  <c r="D73" i="4" a="1"/>
  <c r="D73" i="4" s="1"/>
  <c r="E63" i="4" a="1"/>
  <c r="E63" i="4" s="1"/>
  <c r="D63" i="4" a="1"/>
  <c r="D63" i="4" s="1"/>
  <c r="E32" i="4" a="1"/>
  <c r="E32" i="4" s="1"/>
  <c r="D32" i="4" a="1"/>
  <c r="D32" i="4" s="1"/>
  <c r="E57" i="4" a="1"/>
  <c r="E57" i="4" s="1"/>
  <c r="D57" i="4" a="1"/>
  <c r="D57" i="4" s="1"/>
  <c r="E70" i="4" a="1"/>
  <c r="E70" i="4" s="1"/>
  <c r="D70" i="4" a="1"/>
  <c r="D70" i="4" s="1"/>
  <c r="D56" i="4" a="1"/>
  <c r="D56" i="4" s="1"/>
  <c r="E56" i="4" a="1"/>
  <c r="E56" i="4" s="1"/>
  <c r="E77" i="4" a="1"/>
  <c r="E77" i="4" s="1"/>
  <c r="D77" i="4" a="1"/>
  <c r="D77" i="4" s="1"/>
  <c r="E64" i="4" a="1"/>
  <c r="E64" i="4" s="1"/>
  <c r="D64" i="4" a="1"/>
  <c r="D64" i="4" s="1"/>
  <c r="E69" i="4" a="1"/>
  <c r="E69" i="4" s="1"/>
  <c r="D69" i="4" a="1"/>
  <c r="D69" i="4" s="1"/>
  <c r="E19" i="4" a="1"/>
  <c r="E19" i="4" s="1"/>
  <c r="D19" i="4" a="1"/>
  <c r="D19" i="4" s="1"/>
  <c r="E42" i="4" a="1"/>
  <c r="E42" i="4" s="1"/>
  <c r="D42" i="4" a="1"/>
  <c r="D42" i="4" s="1"/>
  <c r="E45" i="4" a="1"/>
  <c r="E45" i="4" s="1"/>
  <c r="D45" i="4" a="1"/>
  <c r="D45" i="4" s="1"/>
  <c r="D33" i="4" a="1"/>
  <c r="D33" i="4" s="1"/>
  <c r="E33" i="4" a="1"/>
  <c r="E33" i="4" s="1"/>
  <c r="E58" i="4" a="1"/>
  <c r="E58" i="4" s="1"/>
  <c r="D58" i="4" a="1"/>
  <c r="D58" i="4" s="1"/>
  <c r="D22" i="4" a="1"/>
  <c r="D22" i="4" s="1"/>
  <c r="L22" i="4" s="1"/>
  <c r="D24" i="4" a="1"/>
  <c r="D24" i="4" s="1"/>
  <c r="L24" i="4" s="1"/>
  <c r="D30" i="4" a="1"/>
  <c r="D30" i="4" s="1"/>
  <c r="L30" i="4" s="1"/>
  <c r="D43" i="4" a="1"/>
  <c r="D43" i="4" s="1"/>
  <c r="L43" i="4" s="1"/>
  <c r="D54" i="4" a="1"/>
  <c r="D54" i="4" s="1"/>
  <c r="L54" i="4" s="1"/>
  <c r="J33" i="3"/>
  <c r="I33" i="3"/>
  <c r="J40" i="3"/>
  <c r="I40" i="3"/>
  <c r="D9" i="4" a="1"/>
  <c r="D9" i="4" s="1"/>
  <c r="L9" i="4" s="1"/>
  <c r="D65" i="4" a="1"/>
  <c r="D65" i="4" s="1"/>
  <c r="L65" i="4" s="1"/>
  <c r="J26" i="3"/>
  <c r="I26" i="3"/>
  <c r="D16" i="4" a="1"/>
  <c r="D16" i="4" s="1"/>
  <c r="L16" i="4" s="1"/>
  <c r="D67" i="4" a="1"/>
  <c r="D67" i="4" s="1"/>
  <c r="L67" i="4" s="1"/>
  <c r="D3" i="4" a="1"/>
  <c r="D3" i="4" s="1"/>
  <c r="L3" i="4" s="1"/>
  <c r="D47" i="4" a="1"/>
  <c r="D47" i="4" s="1"/>
  <c r="L47" i="4" s="1"/>
  <c r="J49" i="3"/>
  <c r="J64" i="3"/>
  <c r="I64" i="3"/>
  <c r="D6" i="4" a="1"/>
  <c r="D6" i="4" s="1"/>
  <c r="L6" i="4" s="1"/>
  <c r="D71" i="4" a="1"/>
  <c r="D71" i="4" s="1"/>
  <c r="L71" i="4" s="1"/>
  <c r="D11" i="4" a="1"/>
  <c r="D11" i="4" s="1"/>
  <c r="D40" i="4" a="1"/>
  <c r="D40" i="4" s="1"/>
  <c r="L40" i="4" s="1"/>
  <c r="D60" i="4" a="1"/>
  <c r="D60" i="4" s="1"/>
  <c r="L60" i="4" s="1"/>
  <c r="E38" i="4" a="1"/>
  <c r="E38" i="4" s="1"/>
  <c r="L38" i="4" s="1"/>
  <c r="D31" i="4" a="1"/>
  <c r="D31" i="4" s="1"/>
  <c r="L31" i="4" s="1"/>
  <c r="J45" i="3"/>
  <c r="I45" i="3"/>
  <c r="J28" i="3"/>
  <c r="I28" i="3"/>
  <c r="D25" i="4" a="1"/>
  <c r="D25" i="4" s="1"/>
  <c r="L25" i="4" s="1"/>
  <c r="D35" i="4" a="1"/>
  <c r="D35" i="4" s="1"/>
  <c r="L35" i="4" s="1"/>
  <c r="E44" i="4" a="1"/>
  <c r="E44" i="4" s="1"/>
  <c r="L44" i="4" s="1"/>
  <c r="D46" i="4" a="1"/>
  <c r="D46" i="4" s="1"/>
  <c r="L46" i="4" s="1"/>
  <c r="D68" i="4" a="1"/>
  <c r="D68" i="4" s="1"/>
  <c r="L68" i="4" s="1"/>
  <c r="J72" i="3"/>
  <c r="I72" i="3"/>
  <c r="J16" i="3"/>
  <c r="I16" i="3"/>
  <c r="J185" i="3"/>
  <c r="I185" i="3"/>
  <c r="J197" i="3"/>
  <c r="I197" i="3"/>
  <c r="J212" i="3"/>
  <c r="I212" i="3"/>
  <c r="I93" i="3"/>
  <c r="I107" i="3"/>
  <c r="I116" i="3"/>
  <c r="J149" i="3"/>
  <c r="J193" i="3"/>
  <c r="I193" i="3"/>
  <c r="J252" i="3"/>
  <c r="I252" i="3"/>
  <c r="I77" i="3"/>
  <c r="I91" i="3"/>
  <c r="I106" i="3"/>
  <c r="I115" i="3"/>
  <c r="I124" i="3"/>
  <c r="J133" i="3"/>
  <c r="I141" i="3"/>
  <c r="J172" i="3"/>
  <c r="J229" i="3"/>
  <c r="I229" i="3"/>
  <c r="I60" i="3"/>
  <c r="I89" i="3"/>
  <c r="I104" i="3"/>
  <c r="I123" i="3"/>
  <c r="I131" i="3"/>
  <c r="I166" i="3"/>
  <c r="J217" i="3"/>
  <c r="I217" i="3"/>
  <c r="I202" i="3"/>
  <c r="J231" i="3"/>
  <c r="I231" i="3"/>
  <c r="I145" i="3"/>
  <c r="J170" i="3"/>
  <c r="I170" i="3"/>
  <c r="J241" i="3"/>
  <c r="I241" i="3"/>
  <c r="I55" i="3"/>
  <c r="I84" i="3"/>
  <c r="I99" i="3"/>
  <c r="I111" i="3"/>
  <c r="I24" i="3"/>
  <c r="I53" i="3"/>
  <c r="I68" i="3"/>
  <c r="I110" i="3"/>
  <c r="I127" i="3"/>
  <c r="I151" i="3"/>
  <c r="J224" i="3"/>
  <c r="J177" i="3"/>
  <c r="I177" i="3"/>
  <c r="J237" i="3"/>
  <c r="I237" i="3"/>
  <c r="J366" i="3"/>
  <c r="I366" i="3"/>
  <c r="J395" i="3"/>
  <c r="I395" i="3"/>
  <c r="I275" i="3"/>
  <c r="I290" i="3"/>
  <c r="I319" i="3"/>
  <c r="J361" i="3"/>
  <c r="J415" i="3"/>
  <c r="I415" i="3"/>
  <c r="I289" i="3"/>
  <c r="I318" i="3"/>
  <c r="J345" i="3"/>
  <c r="I345" i="3"/>
  <c r="I350" i="3"/>
  <c r="J599" i="3"/>
  <c r="I599" i="3"/>
  <c r="J330" i="3"/>
  <c r="I337" i="3"/>
  <c r="J377" i="3"/>
  <c r="I377" i="3"/>
  <c r="J381" i="3"/>
  <c r="I381" i="3"/>
  <c r="J391" i="3"/>
  <c r="I391" i="3"/>
  <c r="I243" i="3"/>
  <c r="I258" i="3"/>
  <c r="I287" i="3"/>
  <c r="I302" i="3"/>
  <c r="J444" i="3"/>
  <c r="I444" i="3"/>
  <c r="I356" i="3"/>
  <c r="I256" i="3"/>
  <c r="I270" i="3"/>
  <c r="I314" i="3"/>
  <c r="I328" i="3"/>
  <c r="I401" i="3"/>
  <c r="J459" i="3"/>
  <c r="I459" i="3"/>
  <c r="J410" i="3"/>
  <c r="I410" i="3"/>
  <c r="I266" i="3"/>
  <c r="I310" i="3"/>
  <c r="I342" i="3"/>
  <c r="I372" i="3"/>
  <c r="J400" i="3"/>
  <c r="I400" i="3"/>
  <c r="J406" i="3"/>
  <c r="I406" i="3"/>
  <c r="I206" i="3"/>
  <c r="I221" i="3"/>
  <c r="I235" i="3"/>
  <c r="I250" i="3"/>
  <c r="I279" i="3"/>
  <c r="I294" i="3"/>
  <c r="I323" i="3"/>
  <c r="J439" i="3"/>
  <c r="I439" i="3"/>
  <c r="I362" i="3"/>
  <c r="J513" i="3"/>
  <c r="I513" i="3"/>
  <c r="I346" i="3"/>
  <c r="J371" i="3"/>
  <c r="I371" i="3"/>
  <c r="J541" i="3"/>
  <c r="I541" i="3"/>
  <c r="I385" i="3"/>
  <c r="I399" i="3"/>
  <c r="I414" i="3"/>
  <c r="I443" i="3"/>
  <c r="I458" i="3"/>
  <c r="I471" i="3"/>
  <c r="I481" i="3"/>
  <c r="I498" i="3"/>
  <c r="I528" i="3"/>
  <c r="J533" i="3"/>
  <c r="I384" i="3"/>
  <c r="I428" i="3"/>
  <c r="I442" i="3"/>
  <c r="I457" i="3"/>
  <c r="I470" i="3"/>
  <c r="I354" i="3"/>
  <c r="I369" i="3"/>
  <c r="I383" i="3"/>
  <c r="I427" i="3"/>
  <c r="I527" i="3"/>
  <c r="J537" i="3"/>
  <c r="I537" i="3"/>
  <c r="I549" i="3"/>
  <c r="I454" i="3"/>
  <c r="I488" i="3"/>
  <c r="I504" i="3"/>
  <c r="J560" i="3"/>
  <c r="I560" i="3"/>
  <c r="I584" i="3"/>
  <c r="J531" i="3"/>
  <c r="I531" i="3"/>
  <c r="J575" i="3"/>
  <c r="I575" i="3"/>
  <c r="J522" i="3"/>
  <c r="I522" i="3"/>
  <c r="J614" i="3"/>
  <c r="I614" i="3"/>
  <c r="I548" i="3"/>
  <c r="I555" i="3"/>
  <c r="I502" i="3"/>
  <c r="I570" i="3"/>
  <c r="I435" i="3"/>
  <c r="I450" i="3"/>
  <c r="I486" i="3"/>
  <c r="I510" i="3"/>
  <c r="J539" i="3"/>
  <c r="I539" i="3"/>
  <c r="J551" i="3"/>
  <c r="I551" i="3"/>
  <c r="I389" i="3"/>
  <c r="I403" i="3"/>
  <c r="I418" i="3"/>
  <c r="I462" i="3"/>
  <c r="I473" i="3"/>
  <c r="I484" i="3"/>
  <c r="I500" i="3"/>
  <c r="J525" i="3"/>
  <c r="I525" i="3"/>
  <c r="I529" i="3"/>
  <c r="J566" i="3"/>
  <c r="I566" i="3"/>
  <c r="J583" i="3"/>
  <c r="I583" i="3"/>
  <c r="J493" i="3"/>
  <c r="I493" i="3"/>
  <c r="J693" i="3"/>
  <c r="I693" i="3"/>
  <c r="I708" i="3"/>
  <c r="I634" i="3"/>
  <c r="I653" i="3"/>
  <c r="J674" i="3"/>
  <c r="J697" i="3"/>
  <c r="I705" i="3"/>
  <c r="I619" i="3"/>
  <c r="J633" i="3"/>
  <c r="J707" i="3"/>
  <c r="I707" i="3"/>
  <c r="J711" i="3"/>
  <c r="I711" i="3"/>
  <c r="I652" i="3"/>
  <c r="J678" i="3"/>
  <c r="I678" i="3"/>
  <c r="J704" i="3"/>
  <c r="I704" i="3"/>
  <c r="J734" i="3"/>
  <c r="I734" i="3"/>
  <c r="I639" i="3"/>
  <c r="I657" i="3"/>
  <c r="J666" i="3"/>
  <c r="I613" i="3"/>
  <c r="J687" i="3"/>
  <c r="I627" i="3"/>
  <c r="I638" i="3"/>
  <c r="I670" i="3"/>
  <c r="J695" i="3"/>
  <c r="I720" i="3"/>
  <c r="J648" i="3"/>
  <c r="J726" i="3"/>
  <c r="I726" i="3"/>
  <c r="J722" i="3"/>
  <c r="I722" i="3"/>
  <c r="I595" i="3"/>
  <c r="I610" i="3"/>
  <c r="J681" i="3"/>
  <c r="J716" i="3"/>
  <c r="I716" i="3"/>
  <c r="J719" i="3"/>
  <c r="I719" i="3"/>
  <c r="I778" i="3"/>
  <c r="J892" i="3"/>
  <c r="I892" i="3"/>
  <c r="I748" i="3"/>
  <c r="I763" i="3"/>
  <c r="I777" i="3"/>
  <c r="I805" i="3"/>
  <c r="I816" i="3"/>
  <c r="I826" i="3"/>
  <c r="J840" i="3"/>
  <c r="J867" i="3"/>
  <c r="I867" i="3"/>
  <c r="J874" i="3"/>
  <c r="I874" i="3"/>
  <c r="J859" i="3"/>
  <c r="I859" i="3"/>
  <c r="I731" i="3"/>
  <c r="I775" i="3"/>
  <c r="I789" i="3"/>
  <c r="I814" i="3"/>
  <c r="I824" i="3"/>
  <c r="J845" i="3"/>
  <c r="J923" i="3"/>
  <c r="I923" i="3"/>
  <c r="I802" i="3"/>
  <c r="I832" i="3"/>
  <c r="I865" i="3"/>
  <c r="J884" i="3"/>
  <c r="I755" i="3"/>
  <c r="I770" i="3"/>
  <c r="I821" i="3"/>
  <c r="J843" i="3"/>
  <c r="J853" i="3"/>
  <c r="J869" i="3"/>
  <c r="J908" i="3"/>
  <c r="I908" i="3"/>
  <c r="I809" i="3"/>
  <c r="I837" i="3"/>
  <c r="I847" i="3"/>
  <c r="J861" i="3"/>
  <c r="J937" i="3"/>
  <c r="I937" i="3"/>
  <c r="I796" i="3"/>
  <c r="J864" i="3"/>
  <c r="I751" i="3"/>
  <c r="I766" i="3"/>
  <c r="I795" i="3"/>
  <c r="I841" i="3"/>
  <c r="I851" i="3"/>
  <c r="J856" i="3"/>
  <c r="J882" i="3"/>
  <c r="I882" i="3"/>
  <c r="I900" i="3"/>
  <c r="I915" i="3"/>
  <c r="I929" i="3"/>
  <c r="I952" i="3"/>
  <c r="I913" i="3"/>
  <c r="J1009" i="3"/>
  <c r="I1009" i="3"/>
  <c r="I911" i="3"/>
  <c r="I926" i="3"/>
  <c r="I949" i="3"/>
  <c r="I3" i="5"/>
  <c r="J3" i="5" s="1"/>
  <c r="K3" i="5" s="1"/>
  <c r="H3" i="5"/>
  <c r="J1067" i="3"/>
  <c r="I1067" i="3"/>
  <c r="I988" i="3"/>
  <c r="I906" i="3"/>
  <c r="I921" i="3"/>
  <c r="I935" i="3"/>
  <c r="I946" i="3"/>
  <c r="J957" i="3"/>
  <c r="J972" i="3"/>
  <c r="I972" i="3"/>
  <c r="I903" i="3"/>
  <c r="I918" i="3"/>
  <c r="I964" i="3"/>
  <c r="I995" i="3"/>
  <c r="J1023" i="3"/>
  <c r="I1023" i="3"/>
  <c r="J1003" i="3"/>
  <c r="I1003" i="3"/>
  <c r="H8" i="5"/>
  <c r="I8" i="5"/>
  <c r="J8" i="5" s="1"/>
  <c r="K8" i="5" s="1"/>
  <c r="I21" i="5"/>
  <c r="J21" i="5" s="1"/>
  <c r="K21" i="5" s="1"/>
  <c r="H21" i="5"/>
  <c r="J1038" i="3"/>
  <c r="I1038" i="3"/>
  <c r="I1013" i="3"/>
  <c r="I26" i="5"/>
  <c r="J26" i="5" s="1"/>
  <c r="K26" i="5" s="1"/>
  <c r="H26" i="5"/>
  <c r="I43" i="5"/>
  <c r="J43" i="5" s="1"/>
  <c r="K43" i="5" s="1"/>
  <c r="H43" i="5"/>
  <c r="I62" i="5"/>
  <c r="J62" i="5" s="1"/>
  <c r="K62" i="5" s="1"/>
  <c r="H62" i="5"/>
  <c r="I139" i="5"/>
  <c r="J139" i="5" s="1"/>
  <c r="K139" i="5" s="1"/>
  <c r="H139" i="5"/>
  <c r="I167" i="5"/>
  <c r="J167" i="5" s="1"/>
  <c r="K167" i="5" s="1"/>
  <c r="H167" i="5"/>
  <c r="I1012" i="3"/>
  <c r="I1056" i="3"/>
  <c r="I1071" i="3"/>
  <c r="I1085" i="3"/>
  <c r="I1121" i="3"/>
  <c r="I9" i="5"/>
  <c r="J9" i="5" s="1"/>
  <c r="K9" i="5" s="1"/>
  <c r="H38" i="5"/>
  <c r="I51" i="5"/>
  <c r="J51" i="5" s="1"/>
  <c r="K51" i="5" s="1"/>
  <c r="I54" i="5"/>
  <c r="J54" i="5" s="1"/>
  <c r="K54" i="5" s="1"/>
  <c r="H54" i="5"/>
  <c r="I76" i="5"/>
  <c r="J76" i="5" s="1"/>
  <c r="K76" i="5" s="1"/>
  <c r="H76" i="5"/>
  <c r="H164" i="5"/>
  <c r="I164" i="5"/>
  <c r="J164" i="5" s="1"/>
  <c r="K164" i="5" s="1"/>
  <c r="I204" i="5"/>
  <c r="J204" i="5" s="1"/>
  <c r="K204" i="5" s="1"/>
  <c r="H204" i="5"/>
  <c r="I256" i="5"/>
  <c r="J256" i="5" s="1"/>
  <c r="K256" i="5" s="1"/>
  <c r="H256" i="5"/>
  <c r="I19" i="5"/>
  <c r="J19" i="5" s="1"/>
  <c r="K19" i="5" s="1"/>
  <c r="H19" i="5"/>
  <c r="I103" i="5"/>
  <c r="J103" i="5" s="1"/>
  <c r="K103" i="5" s="1"/>
  <c r="H103" i="5"/>
  <c r="H170" i="5"/>
  <c r="I170" i="5"/>
  <c r="J170" i="5" s="1"/>
  <c r="K170" i="5" s="1"/>
  <c r="I173" i="5"/>
  <c r="J173" i="5" s="1"/>
  <c r="K173" i="5" s="1"/>
  <c r="H173" i="5"/>
  <c r="I201" i="5"/>
  <c r="J201" i="5" s="1"/>
  <c r="K201" i="5" s="1"/>
  <c r="H201" i="5"/>
  <c r="I7" i="5"/>
  <c r="J7" i="5" s="1"/>
  <c r="K7" i="5" s="1"/>
  <c r="H7" i="5"/>
  <c r="I31" i="5"/>
  <c r="J31" i="5" s="1"/>
  <c r="K31" i="5" s="1"/>
  <c r="H31" i="5"/>
  <c r="I57" i="5"/>
  <c r="J57" i="5" s="1"/>
  <c r="K57" i="5" s="1"/>
  <c r="H57" i="5"/>
  <c r="I65" i="5"/>
  <c r="J65" i="5" s="1"/>
  <c r="K65" i="5" s="1"/>
  <c r="H65" i="5"/>
  <c r="I79" i="5"/>
  <c r="J79" i="5" s="1"/>
  <c r="K79" i="5" s="1"/>
  <c r="H79" i="5"/>
  <c r="I91" i="5"/>
  <c r="J91" i="5" s="1"/>
  <c r="K91" i="5" s="1"/>
  <c r="H91" i="5"/>
  <c r="I100" i="5"/>
  <c r="J100" i="5" s="1"/>
  <c r="K100" i="5" s="1"/>
  <c r="H100" i="5"/>
  <c r="I106" i="5"/>
  <c r="J106" i="5" s="1"/>
  <c r="K106" i="5" s="1"/>
  <c r="H106" i="5"/>
  <c r="I109" i="5"/>
  <c r="J109" i="5" s="1"/>
  <c r="K109" i="5" s="1"/>
  <c r="H109" i="5"/>
  <c r="I125" i="5"/>
  <c r="J125" i="5" s="1"/>
  <c r="K125" i="5" s="1"/>
  <c r="H125" i="5"/>
  <c r="I128" i="5"/>
  <c r="J128" i="5" s="1"/>
  <c r="K128" i="5" s="1"/>
  <c r="H128" i="5"/>
  <c r="I142" i="5"/>
  <c r="J142" i="5" s="1"/>
  <c r="K142" i="5" s="1"/>
  <c r="H142" i="5"/>
  <c r="I148" i="5"/>
  <c r="J148" i="5" s="1"/>
  <c r="K148" i="5" s="1"/>
  <c r="H148" i="5"/>
  <c r="I226" i="5"/>
  <c r="J226" i="5" s="1"/>
  <c r="K226" i="5" s="1"/>
  <c r="H226" i="5"/>
  <c r="I36" i="5"/>
  <c r="J36" i="5" s="1"/>
  <c r="K36" i="5" s="1"/>
  <c r="H36" i="5"/>
  <c r="I68" i="5"/>
  <c r="J68" i="5" s="1"/>
  <c r="K68" i="5" s="1"/>
  <c r="H68" i="5"/>
  <c r="I94" i="5"/>
  <c r="J94" i="5" s="1"/>
  <c r="K94" i="5" s="1"/>
  <c r="H94" i="5"/>
  <c r="I115" i="5"/>
  <c r="J115" i="5" s="1"/>
  <c r="K115" i="5" s="1"/>
  <c r="H115" i="5"/>
  <c r="H131" i="5"/>
  <c r="I131" i="5"/>
  <c r="J131" i="5" s="1"/>
  <c r="K131" i="5" s="1"/>
  <c r="I178" i="5"/>
  <c r="J178" i="5" s="1"/>
  <c r="K178" i="5" s="1"/>
  <c r="H178" i="5"/>
  <c r="I1082" i="3"/>
  <c r="I1094" i="3"/>
  <c r="I5" i="5"/>
  <c r="J5" i="5" s="1"/>
  <c r="K5" i="5" s="1"/>
  <c r="H5" i="5"/>
  <c r="I24" i="5"/>
  <c r="J24" i="5" s="1"/>
  <c r="K24" i="5" s="1"/>
  <c r="I88" i="5"/>
  <c r="J88" i="5" s="1"/>
  <c r="K88" i="5" s="1"/>
  <c r="H88" i="5"/>
  <c r="I1106" i="3"/>
  <c r="H29" i="5"/>
  <c r="I44" i="5"/>
  <c r="J44" i="5" s="1"/>
  <c r="K44" i="5" s="1"/>
  <c r="H44" i="5"/>
  <c r="I63" i="5"/>
  <c r="J63" i="5" s="1"/>
  <c r="K63" i="5" s="1"/>
  <c r="H63" i="5"/>
  <c r="H74" i="5"/>
  <c r="I165" i="5"/>
  <c r="J165" i="5" s="1"/>
  <c r="K165" i="5" s="1"/>
  <c r="H165" i="5"/>
  <c r="H168" i="5"/>
  <c r="I168" i="5"/>
  <c r="J168" i="5" s="1"/>
  <c r="K168" i="5" s="1"/>
  <c r="I262" i="5"/>
  <c r="J262" i="5" s="1"/>
  <c r="K262" i="5" s="1"/>
  <c r="H262" i="5"/>
  <c r="I993" i="3"/>
  <c r="I22" i="5"/>
  <c r="J22" i="5" s="1"/>
  <c r="K22" i="5" s="1"/>
  <c r="H22" i="5"/>
  <c r="I52" i="5"/>
  <c r="J52" i="5" s="1"/>
  <c r="K52" i="5" s="1"/>
  <c r="H52" i="5"/>
  <c r="I55" i="5"/>
  <c r="J55" i="5" s="1"/>
  <c r="K55" i="5" s="1"/>
  <c r="H55" i="5"/>
  <c r="I159" i="5"/>
  <c r="J159" i="5" s="1"/>
  <c r="K159" i="5" s="1"/>
  <c r="H159" i="5"/>
  <c r="I202" i="5"/>
  <c r="J202" i="5" s="1"/>
  <c r="K202" i="5" s="1"/>
  <c r="H202" i="5"/>
  <c r="I298" i="5"/>
  <c r="J298" i="5" s="1"/>
  <c r="K298" i="5" s="1"/>
  <c r="H298" i="5"/>
  <c r="I80" i="5"/>
  <c r="J80" i="5" s="1"/>
  <c r="K80" i="5" s="1"/>
  <c r="H80" i="5"/>
  <c r="I101" i="5"/>
  <c r="J101" i="5" s="1"/>
  <c r="K101" i="5" s="1"/>
  <c r="H101" i="5"/>
  <c r="I104" i="5"/>
  <c r="J104" i="5" s="1"/>
  <c r="K104" i="5" s="1"/>
  <c r="H104" i="5"/>
  <c r="I110" i="5"/>
  <c r="J110" i="5" s="1"/>
  <c r="K110" i="5" s="1"/>
  <c r="H110" i="5"/>
  <c r="I123" i="5"/>
  <c r="J123" i="5" s="1"/>
  <c r="K123" i="5" s="1"/>
  <c r="H123" i="5"/>
  <c r="I126" i="5"/>
  <c r="J126" i="5" s="1"/>
  <c r="K126" i="5" s="1"/>
  <c r="H126" i="5"/>
  <c r="I190" i="5"/>
  <c r="J190" i="5" s="1"/>
  <c r="K190" i="5" s="1"/>
  <c r="H190" i="5"/>
  <c r="I27" i="5"/>
  <c r="J27" i="5" s="1"/>
  <c r="K27" i="5" s="1"/>
  <c r="H39" i="5"/>
  <c r="I95" i="5"/>
  <c r="J95" i="5" s="1"/>
  <c r="K95" i="5" s="1"/>
  <c r="H95" i="5"/>
  <c r="I154" i="5"/>
  <c r="J154" i="5" s="1"/>
  <c r="K154" i="5" s="1"/>
  <c r="H154" i="5"/>
  <c r="I37" i="5"/>
  <c r="J37" i="5" s="1"/>
  <c r="K37" i="5" s="1"/>
  <c r="H37" i="5"/>
  <c r="I58" i="5"/>
  <c r="J58" i="5" s="1"/>
  <c r="K58" i="5" s="1"/>
  <c r="H58" i="5"/>
  <c r="I83" i="5"/>
  <c r="J83" i="5" s="1"/>
  <c r="K83" i="5" s="1"/>
  <c r="H83" i="5"/>
  <c r="I86" i="5"/>
  <c r="J86" i="5" s="1"/>
  <c r="K86" i="5" s="1"/>
  <c r="H86" i="5"/>
  <c r="I89" i="5"/>
  <c r="J89" i="5" s="1"/>
  <c r="K89" i="5" s="1"/>
  <c r="H89" i="5"/>
  <c r="I132" i="5"/>
  <c r="J132" i="5" s="1"/>
  <c r="K132" i="5" s="1"/>
  <c r="H132" i="5"/>
  <c r="H146" i="5"/>
  <c r="I146" i="5"/>
  <c r="J146" i="5" s="1"/>
  <c r="K146" i="5" s="1"/>
  <c r="H196" i="5"/>
  <c r="I196" i="5"/>
  <c r="J196" i="5" s="1"/>
  <c r="K196" i="5" s="1"/>
  <c r="I224" i="5"/>
  <c r="J224" i="5" s="1"/>
  <c r="K224" i="5" s="1"/>
  <c r="H224" i="5"/>
  <c r="I1048" i="3"/>
  <c r="I1062" i="3"/>
  <c r="I1077" i="3"/>
  <c r="I1091" i="3"/>
  <c r="J1109" i="3"/>
  <c r="H20" i="5"/>
  <c r="I50" i="5"/>
  <c r="J50" i="5" s="1"/>
  <c r="K50" i="5" s="1"/>
  <c r="H50" i="5"/>
  <c r="I69" i="5"/>
  <c r="J69" i="5" s="1"/>
  <c r="K69" i="5" s="1"/>
  <c r="I72" i="5"/>
  <c r="J72" i="5" s="1"/>
  <c r="K72" i="5" s="1"/>
  <c r="H72" i="5"/>
  <c r="I121" i="5"/>
  <c r="J121" i="5" s="1"/>
  <c r="K121" i="5" s="1"/>
  <c r="H121" i="5"/>
  <c r="I219" i="5"/>
  <c r="J219" i="5" s="1"/>
  <c r="K219" i="5" s="1"/>
  <c r="H219" i="5"/>
  <c r="I1047" i="3"/>
  <c r="I25" i="5"/>
  <c r="J25" i="5" s="1"/>
  <c r="K25" i="5" s="1"/>
  <c r="H25" i="5"/>
  <c r="I45" i="5"/>
  <c r="J45" i="5" s="1"/>
  <c r="K45" i="5" s="1"/>
  <c r="H45" i="5"/>
  <c r="I61" i="5"/>
  <c r="J61" i="5" s="1"/>
  <c r="K61" i="5" s="1"/>
  <c r="H61" i="5"/>
  <c r="I138" i="5"/>
  <c r="J138" i="5" s="1"/>
  <c r="K138" i="5" s="1"/>
  <c r="H138" i="5"/>
  <c r="I160" i="5"/>
  <c r="J160" i="5" s="1"/>
  <c r="K160" i="5" s="1"/>
  <c r="H160" i="5"/>
  <c r="I1017" i="3"/>
  <c r="I1032" i="3"/>
  <c r="I1046" i="3"/>
  <c r="I1113" i="3"/>
  <c r="I13" i="5"/>
  <c r="J13" i="5" s="1"/>
  <c r="K13" i="5" s="1"/>
  <c r="H13" i="5"/>
  <c r="H188" i="5"/>
  <c r="I188" i="5"/>
  <c r="J188" i="5" s="1"/>
  <c r="K188" i="5" s="1"/>
  <c r="I191" i="5"/>
  <c r="J191" i="5" s="1"/>
  <c r="K191" i="5" s="1"/>
  <c r="H191" i="5"/>
  <c r="I209" i="5"/>
  <c r="J209" i="5" s="1"/>
  <c r="K209" i="5" s="1"/>
  <c r="H209" i="5"/>
  <c r="I1016" i="3"/>
  <c r="I1031" i="3"/>
  <c r="I1060" i="3"/>
  <c r="I1075" i="3"/>
  <c r="I1089" i="3"/>
  <c r="I6" i="5"/>
  <c r="J6" i="5" s="1"/>
  <c r="K6" i="5" s="1"/>
  <c r="I18" i="5"/>
  <c r="J18" i="5" s="1"/>
  <c r="K18" i="5" s="1"/>
  <c r="H18" i="5"/>
  <c r="I155" i="5"/>
  <c r="J155" i="5" s="1"/>
  <c r="K155" i="5" s="1"/>
  <c r="H155" i="5"/>
  <c r="I206" i="5"/>
  <c r="J206" i="5" s="1"/>
  <c r="K206" i="5" s="1"/>
  <c r="H206" i="5"/>
  <c r="I244" i="5"/>
  <c r="J244" i="5" s="1"/>
  <c r="K244" i="5" s="1"/>
  <c r="H244" i="5"/>
  <c r="J1118" i="3"/>
  <c r="I1118" i="3"/>
  <c r="I40" i="5"/>
  <c r="J40" i="5" s="1"/>
  <c r="K40" i="5" s="1"/>
  <c r="H40" i="5"/>
  <c r="H56" i="5"/>
  <c r="I84" i="5"/>
  <c r="J84" i="5" s="1"/>
  <c r="K84" i="5" s="1"/>
  <c r="H84" i="5"/>
  <c r="I90" i="5"/>
  <c r="J90" i="5" s="1"/>
  <c r="K90" i="5" s="1"/>
  <c r="H90" i="5"/>
  <c r="I96" i="5"/>
  <c r="J96" i="5" s="1"/>
  <c r="K96" i="5" s="1"/>
  <c r="H96" i="5"/>
  <c r="I102" i="5"/>
  <c r="J102" i="5" s="1"/>
  <c r="K102" i="5" s="1"/>
  <c r="I108" i="5"/>
  <c r="J108" i="5" s="1"/>
  <c r="K108" i="5" s="1"/>
  <c r="H108" i="5"/>
  <c r="I124" i="5"/>
  <c r="J124" i="5" s="1"/>
  <c r="K124" i="5" s="1"/>
  <c r="I133" i="5"/>
  <c r="J133" i="5" s="1"/>
  <c r="K133" i="5" s="1"/>
  <c r="H133" i="5"/>
  <c r="I141" i="5"/>
  <c r="J141" i="5" s="1"/>
  <c r="K141" i="5" s="1"/>
  <c r="H141" i="5"/>
  <c r="I172" i="5"/>
  <c r="J172" i="5" s="1"/>
  <c r="K172" i="5" s="1"/>
  <c r="H172" i="5"/>
  <c r="I4" i="5"/>
  <c r="J4" i="5" s="1"/>
  <c r="K4" i="5" s="1"/>
  <c r="H99" i="5"/>
  <c r="I99" i="5"/>
  <c r="J99" i="5" s="1"/>
  <c r="K99" i="5" s="1"/>
  <c r="I147" i="5"/>
  <c r="J147" i="5" s="1"/>
  <c r="K147" i="5" s="1"/>
  <c r="H147" i="5"/>
  <c r="I70" i="5"/>
  <c r="J70" i="5" s="1"/>
  <c r="K70" i="5" s="1"/>
  <c r="H70" i="5"/>
  <c r="I73" i="5"/>
  <c r="J73" i="5" s="1"/>
  <c r="K73" i="5" s="1"/>
  <c r="H73" i="5"/>
  <c r="I114" i="5"/>
  <c r="J114" i="5" s="1"/>
  <c r="K114" i="5" s="1"/>
  <c r="H114" i="5"/>
  <c r="I144" i="5"/>
  <c r="J144" i="5" s="1"/>
  <c r="K144" i="5" s="1"/>
  <c r="H144" i="5"/>
  <c r="I186" i="5"/>
  <c r="J186" i="5" s="1"/>
  <c r="K186" i="5" s="1"/>
  <c r="H186" i="5"/>
  <c r="I280" i="5"/>
  <c r="J280" i="5" s="1"/>
  <c r="K280" i="5" s="1"/>
  <c r="H280" i="5"/>
  <c r="I184" i="5"/>
  <c r="J184" i="5" s="1"/>
  <c r="K184" i="5" s="1"/>
  <c r="H184" i="5"/>
  <c r="I242" i="5"/>
  <c r="J242" i="5" s="1"/>
  <c r="K242" i="5" s="1"/>
  <c r="H242" i="5"/>
  <c r="I296" i="5"/>
  <c r="J296" i="5" s="1"/>
  <c r="K296" i="5" s="1"/>
  <c r="H296" i="5"/>
  <c r="I325" i="5"/>
  <c r="J325" i="5" s="1"/>
  <c r="K325" i="5" s="1"/>
  <c r="H325" i="5"/>
  <c r="H145" i="5"/>
  <c r="I182" i="5"/>
  <c r="J182" i="5" s="1"/>
  <c r="K182" i="5" s="1"/>
  <c r="H182" i="5"/>
  <c r="I231" i="5"/>
  <c r="J231" i="5" s="1"/>
  <c r="K231" i="5" s="1"/>
  <c r="H231" i="5"/>
  <c r="H233" i="5"/>
  <c r="H240" i="5"/>
  <c r="I249" i="5"/>
  <c r="J249" i="5" s="1"/>
  <c r="K249" i="5" s="1"/>
  <c r="H249" i="5"/>
  <c r="H251" i="5"/>
  <c r="I309" i="5"/>
  <c r="J309" i="5" s="1"/>
  <c r="K309" i="5" s="1"/>
  <c r="H309" i="5"/>
  <c r="I340" i="5"/>
  <c r="J340" i="5" s="1"/>
  <c r="K340" i="5" s="1"/>
  <c r="H340" i="5"/>
  <c r="I346" i="5"/>
  <c r="J346" i="5" s="1"/>
  <c r="K346" i="5" s="1"/>
  <c r="H346" i="5"/>
  <c r="H161" i="5"/>
  <c r="I220" i="5"/>
  <c r="J220" i="5" s="1"/>
  <c r="K220" i="5" s="1"/>
  <c r="H220" i="5"/>
  <c r="I238" i="5"/>
  <c r="J238" i="5" s="1"/>
  <c r="K238" i="5" s="1"/>
  <c r="H238" i="5"/>
  <c r="I291" i="5"/>
  <c r="J291" i="5" s="1"/>
  <c r="K291" i="5" s="1"/>
  <c r="H291" i="5"/>
  <c r="I229" i="5"/>
  <c r="J229" i="5" s="1"/>
  <c r="K229" i="5" s="1"/>
  <c r="I247" i="5"/>
  <c r="J247" i="5" s="1"/>
  <c r="K247" i="5" s="1"/>
  <c r="I273" i="5"/>
  <c r="J273" i="5" s="1"/>
  <c r="K273" i="5" s="1"/>
  <c r="H273" i="5"/>
  <c r="I304" i="5"/>
  <c r="J304" i="5" s="1"/>
  <c r="K304" i="5" s="1"/>
  <c r="H304" i="5"/>
  <c r="H156" i="5"/>
  <c r="H203" i="5"/>
  <c r="I207" i="5"/>
  <c r="J207" i="5" s="1"/>
  <c r="K207" i="5" s="1"/>
  <c r="I286" i="5"/>
  <c r="J286" i="5" s="1"/>
  <c r="K286" i="5" s="1"/>
  <c r="H286" i="5"/>
  <c r="I329" i="5"/>
  <c r="J329" i="5" s="1"/>
  <c r="K329" i="5" s="1"/>
  <c r="H329" i="5"/>
  <c r="I332" i="5"/>
  <c r="J332" i="5" s="1"/>
  <c r="K332" i="5" s="1"/>
  <c r="H332" i="5"/>
  <c r="I335" i="5"/>
  <c r="J335" i="5" s="1"/>
  <c r="K335" i="5" s="1"/>
  <c r="H335" i="5"/>
  <c r="I343" i="5"/>
  <c r="J343" i="5" s="1"/>
  <c r="K343" i="5" s="1"/>
  <c r="H343" i="5"/>
  <c r="H81" i="5"/>
  <c r="H111" i="5"/>
  <c r="H116" i="5"/>
  <c r="I218" i="5"/>
  <c r="J218" i="5" s="1"/>
  <c r="K218" i="5" s="1"/>
  <c r="H218" i="5"/>
  <c r="I315" i="5"/>
  <c r="J315" i="5" s="1"/>
  <c r="K315" i="5" s="1"/>
  <c r="H315" i="5"/>
  <c r="I318" i="5"/>
  <c r="J318" i="5" s="1"/>
  <c r="K318" i="5" s="1"/>
  <c r="I326" i="5"/>
  <c r="J326" i="5" s="1"/>
  <c r="K326" i="5" s="1"/>
  <c r="H326" i="5"/>
  <c r="I130" i="5"/>
  <c r="J130" i="5" s="1"/>
  <c r="K130" i="5" s="1"/>
  <c r="H130" i="5"/>
  <c r="I227" i="5"/>
  <c r="J227" i="5" s="1"/>
  <c r="K227" i="5" s="1"/>
  <c r="I236" i="5"/>
  <c r="J236" i="5" s="1"/>
  <c r="K236" i="5" s="1"/>
  <c r="H236" i="5"/>
  <c r="I245" i="5"/>
  <c r="J245" i="5" s="1"/>
  <c r="K245" i="5" s="1"/>
  <c r="I254" i="5"/>
  <c r="J254" i="5" s="1"/>
  <c r="K254" i="5" s="1"/>
  <c r="H254" i="5"/>
  <c r="I307" i="5"/>
  <c r="J307" i="5" s="1"/>
  <c r="K307" i="5" s="1"/>
  <c r="H307" i="5"/>
  <c r="I195" i="5"/>
  <c r="J195" i="5" s="1"/>
  <c r="K195" i="5" s="1"/>
  <c r="H195" i="5"/>
  <c r="H197" i="5"/>
  <c r="I261" i="5"/>
  <c r="J261" i="5" s="1"/>
  <c r="K261" i="5" s="1"/>
  <c r="I289" i="5"/>
  <c r="J289" i="5" s="1"/>
  <c r="K289" i="5" s="1"/>
  <c r="H289" i="5"/>
  <c r="I297" i="5"/>
  <c r="J297" i="5" s="1"/>
  <c r="K297" i="5" s="1"/>
  <c r="H297" i="5"/>
  <c r="I310" i="5"/>
  <c r="J310" i="5" s="1"/>
  <c r="K310" i="5" s="1"/>
  <c r="H310" i="5"/>
  <c r="H151" i="5"/>
  <c r="I193" i="5"/>
  <c r="J193" i="5" s="1"/>
  <c r="K193" i="5" s="1"/>
  <c r="I264" i="5"/>
  <c r="J264" i="5" s="1"/>
  <c r="K264" i="5" s="1"/>
  <c r="I271" i="5"/>
  <c r="J271" i="5" s="1"/>
  <c r="K271" i="5" s="1"/>
  <c r="H271" i="5"/>
  <c r="I292" i="5"/>
  <c r="J292" i="5" s="1"/>
  <c r="K292" i="5" s="1"/>
  <c r="H292" i="5"/>
  <c r="I274" i="5"/>
  <c r="J274" i="5" s="1"/>
  <c r="K274" i="5" s="1"/>
  <c r="H274" i="5"/>
  <c r="I279" i="5"/>
  <c r="J279" i="5" s="1"/>
  <c r="K279" i="5" s="1"/>
  <c r="H279" i="5"/>
  <c r="I336" i="5"/>
  <c r="J336" i="5" s="1"/>
  <c r="K336" i="5" s="1"/>
  <c r="H336" i="5"/>
  <c r="I344" i="5"/>
  <c r="J344" i="5" s="1"/>
  <c r="K344" i="5" s="1"/>
  <c r="H344" i="5"/>
  <c r="H181" i="5"/>
  <c r="I243" i="5"/>
  <c r="J243" i="5" s="1"/>
  <c r="K243" i="5" s="1"/>
  <c r="H257" i="5"/>
  <c r="H305" i="5"/>
  <c r="I330" i="5"/>
  <c r="J330" i="5" s="1"/>
  <c r="K330" i="5" s="1"/>
  <c r="H330" i="5"/>
  <c r="H75" i="5"/>
  <c r="H93" i="5"/>
  <c r="H98" i="5"/>
  <c r="H120" i="5"/>
  <c r="I153" i="5"/>
  <c r="J153" i="5" s="1"/>
  <c r="K153" i="5" s="1"/>
  <c r="H162" i="5"/>
  <c r="I177" i="5"/>
  <c r="J177" i="5" s="1"/>
  <c r="K177" i="5" s="1"/>
  <c r="H177" i="5"/>
  <c r="H183" i="5"/>
  <c r="H185" i="5"/>
  <c r="I208" i="5"/>
  <c r="J208" i="5" s="1"/>
  <c r="K208" i="5" s="1"/>
  <c r="H208" i="5"/>
  <c r="H221" i="5"/>
  <c r="I225" i="5"/>
  <c r="J225" i="5" s="1"/>
  <c r="K225" i="5" s="1"/>
  <c r="H232" i="5"/>
  <c r="H250" i="5"/>
  <c r="I327" i="5"/>
  <c r="J327" i="5" s="1"/>
  <c r="K327" i="5" s="1"/>
  <c r="H327" i="5"/>
  <c r="H179" i="5"/>
  <c r="I267" i="5"/>
  <c r="J267" i="5" s="1"/>
  <c r="K267" i="5" s="1"/>
  <c r="H267" i="5"/>
  <c r="I282" i="5"/>
  <c r="J282" i="5" s="1"/>
  <c r="K282" i="5" s="1"/>
  <c r="I308" i="5"/>
  <c r="J308" i="5" s="1"/>
  <c r="K308" i="5" s="1"/>
  <c r="H308" i="5"/>
  <c r="I316" i="5"/>
  <c r="J316" i="5" s="1"/>
  <c r="K316" i="5" s="1"/>
  <c r="H316" i="5"/>
  <c r="H49" i="5"/>
  <c r="H67" i="5"/>
  <c r="H85" i="5"/>
  <c r="H105" i="5"/>
  <c r="H134" i="5"/>
  <c r="I255" i="5"/>
  <c r="J255" i="5" s="1"/>
  <c r="K255" i="5" s="1"/>
  <c r="H255" i="5"/>
  <c r="I290" i="5"/>
  <c r="J290" i="5" s="1"/>
  <c r="K290" i="5" s="1"/>
  <c r="H290" i="5"/>
  <c r="I322" i="5"/>
  <c r="J322" i="5" s="1"/>
  <c r="K322" i="5" s="1"/>
  <c r="H322" i="5"/>
  <c r="I166" i="5"/>
  <c r="J166" i="5" s="1"/>
  <c r="K166" i="5" s="1"/>
  <c r="H166" i="5"/>
  <c r="I200" i="5"/>
  <c r="J200" i="5" s="1"/>
  <c r="K200" i="5" s="1"/>
  <c r="H200" i="5"/>
  <c r="I303" i="5"/>
  <c r="J303" i="5" s="1"/>
  <c r="K303" i="5" s="1"/>
  <c r="H303" i="5"/>
  <c r="H311" i="5"/>
  <c r="I345" i="5"/>
  <c r="J345" i="5" s="1"/>
  <c r="K345" i="5" s="1"/>
  <c r="H345" i="5"/>
  <c r="H23" i="5"/>
  <c r="H41" i="5"/>
  <c r="H59" i="5"/>
  <c r="H77" i="5"/>
  <c r="H129" i="5"/>
  <c r="H150" i="5"/>
  <c r="H198" i="5"/>
  <c r="I217" i="5"/>
  <c r="J217" i="5" s="1"/>
  <c r="K217" i="5" s="1"/>
  <c r="I260" i="5"/>
  <c r="J260" i="5" s="1"/>
  <c r="K260" i="5" s="1"/>
  <c r="H260" i="5"/>
  <c r="I272" i="5"/>
  <c r="J272" i="5" s="1"/>
  <c r="K272" i="5" s="1"/>
  <c r="H272" i="5"/>
  <c r="I285" i="5"/>
  <c r="J285" i="5" s="1"/>
  <c r="K285" i="5" s="1"/>
  <c r="H285" i="5"/>
  <c r="H293" i="5"/>
  <c r="I258" i="5"/>
  <c r="J258" i="5" s="1"/>
  <c r="K258" i="5" s="1"/>
  <c r="H258" i="5"/>
  <c r="H275" i="5"/>
  <c r="I314" i="5"/>
  <c r="J314" i="5" s="1"/>
  <c r="K314" i="5" s="1"/>
  <c r="H314" i="5"/>
  <c r="I328" i="5"/>
  <c r="J328" i="5" s="1"/>
  <c r="K328" i="5" s="1"/>
  <c r="H328" i="5"/>
  <c r="I213" i="5"/>
  <c r="J213" i="5" s="1"/>
  <c r="K213" i="5" s="1"/>
  <c r="H213" i="5"/>
  <c r="I253" i="5"/>
  <c r="J253" i="5" s="1"/>
  <c r="K253" i="5" s="1"/>
  <c r="H253" i="5"/>
  <c r="I317" i="5"/>
  <c r="J317" i="5" s="1"/>
  <c r="K317" i="5" s="1"/>
  <c r="H317" i="5"/>
  <c r="I334" i="5"/>
  <c r="J334" i="5" s="1"/>
  <c r="K334" i="5" s="1"/>
  <c r="H334" i="5"/>
  <c r="H276" i="5"/>
  <c r="H294" i="5"/>
  <c r="H312" i="5"/>
  <c r="H278" i="5"/>
  <c r="H321" i="5"/>
  <c r="H339" i="5"/>
  <c r="H313" i="5"/>
  <c r="H331" i="5"/>
  <c r="H333" i="5"/>
  <c r="L48" i="4" l="1"/>
  <c r="L10" i="4"/>
  <c r="L17" i="4"/>
  <c r="L36" i="4"/>
  <c r="L76" i="4"/>
  <c r="L37" i="4"/>
  <c r="L39" i="4"/>
  <c r="L27" i="4"/>
  <c r="L28" i="4"/>
  <c r="L42" i="4"/>
  <c r="L57" i="4"/>
  <c r="L19" i="4"/>
  <c r="L5" i="4"/>
  <c r="L70" i="4"/>
  <c r="L50" i="4"/>
  <c r="L55" i="4"/>
  <c r="L69" i="4"/>
  <c r="L32" i="4"/>
  <c r="L63" i="4"/>
  <c r="L64" i="4"/>
  <c r="L34" i="4"/>
  <c r="L58" i="4"/>
  <c r="L73" i="4"/>
  <c r="L33" i="4"/>
  <c r="L29" i="4"/>
  <c r="L52" i="4"/>
  <c r="L77" i="4"/>
  <c r="L14" i="4"/>
  <c r="L45" i="4"/>
  <c r="L56" i="4"/>
  <c r="L8" i="4"/>
  <c r="L75" i="4"/>
</calcChain>
</file>

<file path=xl/sharedStrings.xml><?xml version="1.0" encoding="utf-8"?>
<sst xmlns="http://schemas.openxmlformats.org/spreadsheetml/2006/main" count="12563" uniqueCount="840">
  <si>
    <t>ID </t>
  </si>
  <si>
    <t>Dept </t>
  </si>
  <si>
    <t>Location </t>
  </si>
  <si>
    <t>State</t>
  </si>
  <si>
    <t>Country</t>
  </si>
  <si>
    <t>Level</t>
  </si>
  <si>
    <t>FLSA</t>
  </si>
  <si>
    <t>Pay Rate type</t>
  </si>
  <si>
    <t>Salary</t>
  </si>
  <si>
    <t>Hourly rate</t>
  </si>
  <si>
    <t>Currency</t>
  </si>
  <si>
    <t>Pay Group</t>
  </si>
  <si>
    <t>Hire Date</t>
  </si>
  <si>
    <t>Term Date</t>
  </si>
  <si>
    <t>Leave Start Date</t>
  </si>
  <si>
    <t>Mgr </t>
  </si>
  <si>
    <t>Status</t>
  </si>
  <si>
    <t>Worker Type</t>
  </si>
  <si>
    <t>scheduled weekly hours</t>
  </si>
  <si>
    <t>time type</t>
  </si>
  <si>
    <t>time entry template</t>
  </si>
  <si>
    <t>time calculation group</t>
  </si>
  <si>
    <t>work schedule</t>
  </si>
  <si>
    <t>Default Shift Code</t>
  </si>
  <si>
    <t>Notes</t>
  </si>
  <si>
    <t>E0001 </t>
  </si>
  <si>
    <t>GPU Cloud </t>
  </si>
  <si>
    <t>San Francisco </t>
  </si>
  <si>
    <t>CA</t>
  </si>
  <si>
    <t>US</t>
  </si>
  <si>
    <t>M5 </t>
  </si>
  <si>
    <t>Exempt</t>
  </si>
  <si>
    <t>285,000 </t>
  </si>
  <si>
    <t>USD</t>
  </si>
  <si>
    <t>US Semi-monthly</t>
  </si>
  <si>
    <t>E0000 </t>
  </si>
  <si>
    <t>Active</t>
  </si>
  <si>
    <t>Employee</t>
  </si>
  <si>
    <t>Full time</t>
  </si>
  <si>
    <t>STD</t>
  </si>
  <si>
    <t>E0004 </t>
  </si>
  <si>
    <t>Remote-US</t>
  </si>
  <si>
    <t>WA</t>
  </si>
  <si>
    <t>IC3 </t>
  </si>
  <si>
    <t>160,000 </t>
  </si>
  <si>
    <t>E0002 </t>
  </si>
  <si>
    <t>Termination pending</t>
  </si>
  <si>
    <t>Term date = end of current pay period (US Semi-monthly Oct 16–31, 2026)</t>
  </si>
  <si>
    <t>E0006 </t>
  </si>
  <si>
    <t>On-Prem </t>
  </si>
  <si>
    <t>London </t>
  </si>
  <si>
    <t>UK </t>
  </si>
  <si>
    <t>UK</t>
  </si>
  <si>
    <t>IC4 </t>
  </si>
  <si>
    <t>85,000 </t>
  </si>
  <si>
    <t>GBP</t>
  </si>
  <si>
    <t>UK Monthly</t>
  </si>
  <si>
    <t>E0005 </t>
  </si>
  <si>
    <t>Term date = end of current pay period (UK Monthly Oct 1–31, 2026)</t>
  </si>
  <si>
    <t>E0008 </t>
  </si>
  <si>
    <t>Engineering </t>
  </si>
  <si>
    <t>Toronto </t>
  </si>
  <si>
    <t>Ontario</t>
  </si>
  <si>
    <t>IC5 </t>
  </si>
  <si>
    <t>CAD</t>
  </si>
  <si>
    <t>Canada Monthly</t>
  </si>
  <si>
    <t>E0007 </t>
  </si>
  <si>
    <t>E0009 </t>
  </si>
  <si>
    <t>Bangalore</t>
  </si>
  <si>
    <t>Karnataka</t>
  </si>
  <si>
    <t>IN</t>
  </si>
  <si>
    <t>45,00,000</t>
  </si>
  <si>
    <t>INR</t>
  </si>
  <si>
    <t>India Monthly</t>
  </si>
  <si>
    <t>Term date mid-period (India Monthly Oct 1–31, 2026)</t>
  </si>
  <si>
    <t>E0021 </t>
  </si>
  <si>
    <t>San Jose</t>
  </si>
  <si>
    <t>T2 </t>
  </si>
  <si>
    <t>Non-Exempt</t>
  </si>
  <si>
    <t>Hourly</t>
  </si>
  <si>
    <t>US Biweekly</t>
  </si>
  <si>
    <t>DAY</t>
  </si>
  <si>
    <t>E0022 </t>
  </si>
  <si>
    <t>Austin </t>
  </si>
  <si>
    <t>TX</t>
  </si>
  <si>
    <t>SWNG</t>
  </si>
  <si>
    <t>E0148 </t>
  </si>
  <si>
    <t>Last day = end of current pay period (US Biweekly Oct 4–17, 2026)</t>
  </si>
  <si>
    <t>E0149 </t>
  </si>
  <si>
    <t>G&amp;A </t>
  </si>
  <si>
    <t>NY</t>
  </si>
  <si>
    <t>180,000 </t>
  </si>
  <si>
    <t>E0010 </t>
  </si>
  <si>
    <t>On Leave(unpaid)</t>
  </si>
  <si>
    <t>E0203 </t>
  </si>
  <si>
    <t>190,000 </t>
  </si>
  <si>
    <t>New Hire</t>
  </si>
  <si>
    <t>New hire starting mid-period (US Semi-monthly Oct 16–31, 2026)</t>
  </si>
  <si>
    <t>E0000</t>
  </si>
  <si>
    <t>G&amp;A</t>
  </si>
  <si>
    <t>San Francisco</t>
  </si>
  <si>
    <t>M7</t>
  </si>
  <si>
    <t>E0002</t>
  </si>
  <si>
    <t>GPU Cloud</t>
  </si>
  <si>
    <t>M6</t>
  </si>
  <si>
    <t>E0003</t>
  </si>
  <si>
    <t>Seattle</t>
  </si>
  <si>
    <t>M5</t>
  </si>
  <si>
    <t>E0005</t>
  </si>
  <si>
    <t>On-Prem</t>
  </si>
  <si>
    <t>Dallas</t>
  </si>
  <si>
    <t>E0007</t>
  </si>
  <si>
    <t>Engineering</t>
  </si>
  <si>
    <t>Austin</t>
  </si>
  <si>
    <t>E0010</t>
  </si>
  <si>
    <t>E0011</t>
  </si>
  <si>
    <t>E0012</t>
  </si>
  <si>
    <t>E0013</t>
  </si>
  <si>
    <t>E0014</t>
  </si>
  <si>
    <t>M4</t>
  </si>
  <si>
    <t>E0015</t>
  </si>
  <si>
    <t>T2</t>
  </si>
  <si>
    <t>E0016</t>
  </si>
  <si>
    <t>E0017</t>
  </si>
  <si>
    <t>IC2</t>
  </si>
  <si>
    <t>Term date mid-period (US Semi-monthly Oct 16–31, 2026)</t>
  </si>
  <si>
    <t>E0018</t>
  </si>
  <si>
    <t>New York</t>
  </si>
  <si>
    <t>E0019</t>
  </si>
  <si>
    <t>E0020</t>
  </si>
  <si>
    <t>T1</t>
  </si>
  <si>
    <t>E0023</t>
  </si>
  <si>
    <t>T3</t>
  </si>
  <si>
    <t>E0024</t>
  </si>
  <si>
    <t>E0025</t>
  </si>
  <si>
    <t>E0026</t>
  </si>
  <si>
    <t>E0027</t>
  </si>
  <si>
    <t>E0028</t>
  </si>
  <si>
    <t>Term date mid-period (US Biweekly Oct 4–17, 2026); timecards after Oct 13 removed (incl. Oct 14 off-schedule punch)</t>
  </si>
  <si>
    <t>E0029</t>
  </si>
  <si>
    <t>Part time</t>
  </si>
  <si>
    <t>PT</t>
  </si>
  <si>
    <t>Term date = end of current pay period (US Biweekly Oct 4–17, 2026)</t>
  </si>
  <si>
    <t>E0030</t>
  </si>
  <si>
    <t>E0031</t>
  </si>
  <si>
    <t>E0032</t>
  </si>
  <si>
    <t>E0033</t>
  </si>
  <si>
    <t>E0034</t>
  </si>
  <si>
    <t>E0035</t>
  </si>
  <si>
    <t>IC1</t>
  </si>
  <si>
    <t>E0036</t>
  </si>
  <si>
    <t>WKND</t>
  </si>
  <si>
    <t>E0037</t>
  </si>
  <si>
    <t>E0038</t>
  </si>
  <si>
    <t>MA</t>
  </si>
  <si>
    <t>E0039</t>
  </si>
  <si>
    <t>IC5</t>
  </si>
  <si>
    <t>E0040</t>
  </si>
  <si>
    <t>E0041</t>
  </si>
  <si>
    <t>E0042</t>
  </si>
  <si>
    <t>E0043</t>
  </si>
  <si>
    <t>E0044</t>
  </si>
  <si>
    <t>E0045</t>
  </si>
  <si>
    <t>IC3</t>
  </si>
  <si>
    <t>E0046</t>
  </si>
  <si>
    <t>IC4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</si>
  <si>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</si>
  <si>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</si>
  <si>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</si>
  <si>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</si>
  <si>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</si>
  <si>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</si>
  <si>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</si>
  <si>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</si>
  <si>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</si>
  <si>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</si>
  <si>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E0001</t>
  </si>
  <si>
    <t>E0057</t>
  </si>
  <si>
    <t>E0058</t>
  </si>
  <si>
    <t>E0059</t>
  </si>
  <si>
    <t>London</t>
  </si>
  <si>
    <t>E0060</t>
  </si>
  <si>
    <t>E0061</t>
  </si>
  <si>
    <t>E0062</t>
  </si>
  <si>
    <t>E0063</t>
  </si>
  <si>
    <t>GA</t>
  </si>
  <si>
    <t>E0064</t>
  </si>
  <si>
    <t>E0065</t>
  </si>
  <si>
    <t>E0066</t>
  </si>
  <si>
    <t>IL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</si>
  <si>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</si>
  <si>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</si>
  <si>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</si>
  <si>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</si>
  <si>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</si>
  <si>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</si>
  <si>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</si>
  <si>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</si>
  <si>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</si>
  <si>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</si>
  <si>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</si>
  <si>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</si>
  <si>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</si>
  <si>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</si>
  <si>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</si>
  <si>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</si>
  <si>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</si>
  <si>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</si>
  <si>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</si>
  <si>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</si>
  <si>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</si>
  <si>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</si>
  <si>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</si>
  <si>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</si>
  <si>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</si>
  <si>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</si>
  <si>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</si>
  <si>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</si>
  <si>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</si>
  <si>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</si>
  <si>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</si>
  <si>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</si>
  <si>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</si>
  <si>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</si>
  <si>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Hyderabad</t>
  </si>
  <si>
    <t>Telangana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</si>
  <si>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</si>
  <si>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</si>
  <si>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</si>
  <si>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</si>
  <si>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</si>
  <si>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</si>
  <si>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</si>
  <si>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</si>
  <si>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</si>
  <si>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</si>
  <si>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IC6</t>
  </si>
  <si>
    <t>E0111</t>
  </si>
  <si>
    <t>E0112</t>
  </si>
  <si>
    <t>NGHT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</si>
  <si>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</si>
  <si>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</si>
  <si>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</si>
  <si>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</si>
  <si>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</si>
  <si>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</si>
  <si>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</si>
  <si>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</si>
  <si>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</si>
  <si>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</si>
  <si>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</si>
  <si>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</si>
  <si>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</si>
  <si>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</si>
  <si>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</si>
  <si>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</si>
  <si>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</si>
  <si>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</si>
  <si>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</si>
  <si>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</si>
  <si>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</si>
  <si>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</si>
  <si>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</si>
  <si>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</si>
  <si>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</si>
  <si>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</si>
  <si>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CO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</si>
  <si>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</si>
  <si>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</si>
  <si>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</si>
  <si>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</si>
  <si>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</si>
  <si>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</si>
  <si>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</si>
  <si>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</si>
  <si>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</si>
  <si>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</si>
  <si>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</si>
  <si>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</si>
  <si>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</si>
  <si>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</si>
  <si>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</si>
  <si>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</si>
  <si>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</si>
  <si>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</si>
  <si>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</si>
  <si>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</si>
  <si>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On Leave(paid)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</si>
  <si>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</si>
  <si>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</si>
  <si>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</si>
  <si>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</si>
  <si>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</si>
  <si>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</si>
  <si>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</si>
  <si>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</si>
  <si>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</si>
  <si>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</si>
  <si>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</si>
  <si>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</si>
  <si>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</si>
  <si>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</si>
  <si>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</si>
  <si>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</si>
  <si>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</si>
  <si>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</si>
  <si>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</si>
  <si>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</si>
  <si>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</si>
  <si>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</si>
  <si>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</si>
  <si>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</si>
  <si>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</si>
  <si>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</si>
  <si>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</si>
  <si>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</si>
  <si>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</si>
  <si>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</si>
  <si>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</si>
  <si>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</si>
  <si>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</si>
  <si>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</si>
  <si>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</si>
  <si>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</si>
  <si>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</si>
  <si>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</si>
  <si>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</si>
  <si>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</si>
  <si>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</si>
  <si>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</si>
  <si>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</si>
  <si>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</si>
  <si>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</si>
  <si>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</si>
  <si>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</si>
  <si>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</si>
  <si>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</si>
  <si>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</si>
  <si>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</si>
  <si>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</si>
  <si>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</si>
  <si>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</si>
  <si>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</si>
  <si>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</si>
  <si>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</si>
  <si>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</si>
  <si>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</si>
  <si>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</si>
  <si>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</si>
  <si>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</si>
  <si>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</si>
  <si>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</si>
  <si>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</si>
  <si>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</si>
  <si>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</si>
  <si>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</si>
  <si>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</si>
  <si>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</si>
  <si>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</si>
  <si>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</si>
  <si>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</si>
  <si>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</si>
  <si>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</si>
  <si>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</si>
  <si>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</si>
  <si>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</si>
  <si>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</si>
  <si>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</si>
  <si>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</si>
  <si>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</si>
  <si>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</si>
  <si>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</si>
  <si>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</si>
  <si>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</si>
  <si>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</si>
  <si>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</si>
  <si>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</si>
  <si>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</si>
  <si>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</si>
  <si>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</si>
  <si>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</si>
  <si>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</si>
  <si>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</si>
  <si>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</si>
  <si>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</si>
  <si>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</si>
  <si>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</si>
  <si>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</si>
  <si>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</si>
  <si>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</si>
  <si>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</si>
  <si>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</si>
  <si>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</si>
  <si>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</si>
  <si>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</si>
  <si>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Hire date updated to Aug 1, 2026; 6 US Semi-monthly periods through Oct 16–31, 2026 (derived YTD = salary/24 × 6)</t>
  </si>
  <si>
    <t>E0269</t>
  </si>
  <si>
    <t>E0270</t>
  </si>
  <si>
    <t>Hire date updated to Sep 16, 2026; 3 US Semi-monthly periods through Oct 16–31, 2026 (derived YTD = salary/24 × 3)</t>
  </si>
  <si>
    <t>E0271</t>
  </si>
  <si>
    <t>E0272</t>
  </si>
  <si>
    <t>E0273</t>
  </si>
  <si>
    <t>Hire date updated to Aug 16, 2026; 5 US Semi-monthly periods through Oct 16–31, 2026 (derived YTD = salary/24 × 5)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</si>
  <si>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</si>
  <si>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</si>
  <si>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</si>
  <si>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</si>
  <si>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</si>
  <si>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</si>
  <si>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</si>
  <si>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</si>
  <si>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</si>
  <si>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</si>
  <si>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</si>
  <si>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</si>
  <si>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</si>
  <si>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</si>
  <si>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</si>
  <si>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</si>
  <si>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</si>
  <si>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</si>
  <si>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</si>
  <si>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</si>
  <si>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Hire date updated to Sep 1, 2026; 4 US Semi-monthly periods through Oct 16–31, 2026 (derived YTD = salary/24 × 4)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</si>
  <si>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</si>
  <si>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</si>
  <si>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</si>
  <si>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</si>
  <si>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</si>
  <si>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</si>
  <si>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</si>
  <si>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</si>
  <si>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</si>
  <si>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</si>
  <si>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</si>
  <si>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</si>
  <si>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</si>
  <si>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</si>
  <si>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</si>
  <si>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</si>
  <si>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</si>
  <si>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</si>
  <si>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</si>
  <si>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</si>
  <si>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</si>
  <si>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</si>
  <si>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</si>
  <si>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</si>
  <si>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</si>
  <si>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</si>
  <si>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</si>
  <si>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</si>
  <si>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</si>
  <si>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</si>
  <si>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</si>
  <si>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</si>
  <si>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</si>
  <si>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</si>
  <si>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</si>
  <si>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</si>
  <si>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</si>
  <si>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</si>
  <si>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</si>
  <si>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</si>
  <si>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</si>
  <si>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</si>
  <si>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</si>
  <si>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</si>
  <si>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</si>
  <si>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</si>
  <si>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</si>
  <si>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</si>
  <si>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</si>
  <si>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</si>
  <si>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</si>
  <si>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</si>
  <si>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</si>
  <si>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</si>
  <si>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</si>
  <si>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</si>
  <si>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</si>
  <si>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Toronto</t>
  </si>
  <si>
    <t>E0351</t>
  </si>
  <si>
    <t>E0352</t>
  </si>
  <si>
    <t>Vancouver</t>
  </si>
  <si>
    <t>British Columbia</t>
  </si>
  <si>
    <t>E0353</t>
  </si>
  <si>
    <t>E0354</t>
  </si>
  <si>
    <t>Montreal</t>
  </si>
  <si>
    <t>Quebec</t>
  </si>
  <si>
    <t>E0355</t>
  </si>
  <si>
    <t>E0356</t>
  </si>
  <si>
    <t>Ottawa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</si>
  <si>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</si>
  <si>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</si>
  <si>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</si>
  <si>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</si>
  <si>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</si>
  <si>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</si>
  <si>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</si>
  <si>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</si>
  <si>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</si>
  <si>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</si>
  <si>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</si>
  <si>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</si>
  <si>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</si>
  <si>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</si>
  <si>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</si>
  <si>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</si>
  <si>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</si>
  <si>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</si>
  <si>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C0001</t>
  </si>
  <si>
    <t>Contractor</t>
  </si>
  <si>
    <t>C0004</t>
  </si>
  <si>
    <t>C0007</t>
  </si>
  <si>
    <t>C0089</t>
  </si>
  <si>
    <t>C0034</t>
  </si>
  <si>
    <t>C0104</t>
  </si>
  <si>
    <t>C0208</t>
  </si>
  <si>
    <t>C0002</t>
  </si>
  <si>
    <t>C0003</t>
  </si>
  <si>
    <t>C0005</t>
  </si>
  <si>
    <t>C0006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</si>
  <si>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</si>
  <si>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</si>
  <si>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</si>
  <si>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</si>
  <si>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</si>
  <si>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</si>
  <si>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</si>
  <si>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</si>
  <si>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</si>
  <si>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</si>
  <si>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</si>
  <si>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</si>
  <si>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</si>
  <si>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</si>
  <si>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</si>
  <si>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</si>
  <si>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</si>
  <si>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</si>
  <si>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</si>
  <si>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Employee ID </t>
  </si>
  <si>
    <t>Plan </t>
  </si>
  <si>
    <t>Balance (hours or days)</t>
  </si>
  <si>
    <t>Last Accrual Date </t>
  </si>
  <si>
    <t>Unit</t>
  </si>
  <si>
    <t>Balance As-Of Dates</t>
  </si>
  <si>
    <t>US Flexible PTO </t>
  </si>
  <si>
    <t>n/a (unlimited) </t>
  </si>
  <si>
    <t>n/a</t>
  </si>
  <si>
    <t>Monthly &amp; semi-monthly pay groups</t>
  </si>
  <si>
    <t>US Hourly Vacation </t>
  </si>
  <si>
    <t>Accrues per hour worked</t>
  </si>
  <si>
    <t>hrs</t>
  </si>
  <si>
    <t>US Biweekly (hourly US)</t>
  </si>
  <si>
    <t>CA Paid Sick Leave </t>
  </si>
  <si>
    <t>UK Annual Leave </t>
  </si>
  <si>
    <t>Holiday year Jan–Dec; Payout on termination</t>
  </si>
  <si>
    <t>days</t>
  </si>
  <si>
    <t>Canada Vacation </t>
  </si>
  <si>
    <t>Ontario, 3 weeks/year</t>
  </si>
  <si>
    <t>India Earned Leave </t>
  </si>
  <si>
    <t>Karnataka S&amp;E Act; Payout on termination</t>
  </si>
  <si>
    <t>Payout on termination</t>
  </si>
  <si>
    <t>E0148</t>
  </si>
  <si>
    <t>CA Paid Sick Leave</t>
  </si>
  <si>
    <t>CA Labor Code 246; accrual cap 80 hrs; no payout on termination – balance needed</t>
  </si>
  <si>
    <t>US Flexible PTO</t>
  </si>
  <si>
    <t xml:space="preserve">n/a (unlimited) </t>
  </si>
  <si>
    <t>No accrual</t>
  </si>
  <si>
    <t>CA Labor Code 246; accrual cap 80 hrs</t>
  </si>
  <si>
    <t>E0004</t>
  </si>
  <si>
    <t>US Hourly Vacation</t>
  </si>
  <si>
    <t>Accrues per hour worked; cap 120 hrs</t>
  </si>
  <si>
    <t>TX Hourly Sick (company)</t>
  </si>
  <si>
    <t>Company policy; 40 hrs/yr</t>
  </si>
  <si>
    <t>NY Paid Sick Leave</t>
  </si>
  <si>
    <t>NY Labor Law 196-b; 56 hrs/yr</t>
  </si>
  <si>
    <t>E0022</t>
  </si>
  <si>
    <t>At 120-hr cap – accrual paused</t>
  </si>
  <si>
    <t>Accrues per hour worked; cap 120 hrs; Payout on termination</t>
  </si>
  <si>
    <t>MA Earned Sick Time</t>
  </si>
  <si>
    <t>MA ESTL; 40 hrs/yr</t>
  </si>
  <si>
    <t>India Earned Leave</t>
  </si>
  <si>
    <t>Karnataka S&amp;E Act; 1.5 days/month</t>
  </si>
  <si>
    <t>India Sick/Casual Leave</t>
  </si>
  <si>
    <t>12 days/yr; no carry-forward</t>
  </si>
  <si>
    <t>UK Annual Leave</t>
  </si>
  <si>
    <t>Holiday year Jan–Dec</t>
  </si>
  <si>
    <t>IL Paid Leave for All Workers</t>
  </si>
  <si>
    <t>IL PLAWA; 40 hrs/yr</t>
  </si>
  <si>
    <t>CO Paid Sick Leave</t>
  </si>
  <si>
    <t>CO HFWA; 48 hrs/yr</t>
  </si>
  <si>
    <t>E0149</t>
  </si>
  <si>
    <t>NY Labor Law 196-b; 56 hrs/yr; Accrual paused during unpaid leave</t>
  </si>
  <si>
    <t>E0203</t>
  </si>
  <si>
    <t>No accrual; new hire</t>
  </si>
  <si>
    <t>Hired after balance date – no balance yet</t>
  </si>
  <si>
    <t>CA Labor Code 246; accrual cap 80 hrs; Accrual paused during unpaid leave</t>
  </si>
  <si>
    <t>Canada Vacation</t>
  </si>
  <si>
    <t>Canada Sick Leave</t>
  </si>
  <si>
    <t>Company plan 10 days/yr (Ontario ESA: 3 unpaid sick days)</t>
  </si>
  <si>
    <t>British Columbia, 3 weeks/year</t>
  </si>
  <si>
    <t>Company plan 10 days/yr (meets BC 5 paid sick days)</t>
  </si>
  <si>
    <t>Quebec, 3 weeks/year</t>
  </si>
  <si>
    <t>Company plan 10 days/yr (meets Quebec 2 paid sick days)</t>
  </si>
  <si>
    <t>Payroll Inputs – Ongoing Employee Deductions (US)</t>
  </si>
  <si>
    <t>Deduction codes &amp; default rates (blue = editable input). Benefits are flat $ per pay period (Medical $200, Dental $44, Vision $30); 401(k) % set per employee in the table below.</t>
  </si>
  <si>
    <t>Default Rate / Amount</t>
  </si>
  <si>
    <t>Code</t>
  </si>
  <si>
    <t>Description</t>
  </si>
  <si>
    <t>Deduction Type</t>
  </si>
  <si>
    <t>Tax Treatment</t>
  </si>
  <si>
    <t>Calc Method</t>
  </si>
  <si>
    <t>Default Rate</t>
  </si>
  <si>
    <t>Basis</t>
  </si>
  <si>
    <t>Frequency</t>
  </si>
  <si>
    <t>401K_EE</t>
  </si>
  <si>
    <t>401(k) Employee Deferral</t>
  </si>
  <si>
    <t>Retirement</t>
  </si>
  <si>
    <t>Pre-tax (exempt from FIT/SIT; subject to FICA)</t>
  </si>
  <si>
    <t>Percent</t>
  </si>
  <si>
    <t>Per employee</t>
  </si>
  <si>
    <t>Gross pay</t>
  </si>
  <si>
    <t>Every pay period (ongoing)</t>
  </si>
  <si>
    <t>MED_EE</t>
  </si>
  <si>
    <t>Medical (Health) – Employee</t>
  </si>
  <si>
    <t>Benefits</t>
  </si>
  <si>
    <t>Pre-tax Section 125 (exempt from FIT/SIT/FICA)</t>
  </si>
  <si>
    <t>Flat</t>
  </si>
  <si>
    <t>Per pay period</t>
  </si>
  <si>
    <t>DEN_EE</t>
  </si>
  <si>
    <t>Dental – Employee</t>
  </si>
  <si>
    <t>VIS_EE</t>
  </si>
  <si>
    <t>Vision – Employee</t>
  </si>
  <si>
    <t>Total benefits (Health + Dental + Vision)</t>
  </si>
  <si>
    <t>Employee ID</t>
  </si>
  <si>
    <t>Worker Status</t>
  </si>
  <si>
    <t>Deduction Code</t>
  </si>
  <si>
    <t>Rate (%)</t>
  </si>
  <si>
    <t>Flat Amount</t>
  </si>
  <si>
    <t>Effective Start</t>
  </si>
  <si>
    <t>Effective End</t>
  </si>
  <si>
    <t>Ongoing until term date; stop after final pay</t>
  </si>
  <si>
    <t>E0021</t>
  </si>
  <si>
    <t>Unpaid leave – no gross; deduction suspends, arrears per policy</t>
  </si>
  <si>
    <t>New hire – start with first paycheck</t>
  </si>
  <si>
    <t>Paid leave – deduct from leave pay</t>
  </si>
  <si>
    <t>Event Type</t>
  </si>
  <si>
    <t>Period Start</t>
  </si>
  <si>
    <t>Period End</t>
  </si>
  <si>
    <t>Day</t>
  </si>
  <si>
    <t>Time Off Plan</t>
  </si>
  <si>
    <t>Quantity</t>
  </si>
  <si>
    <t>Period Check</t>
  </si>
  <si>
    <t>Change Field</t>
  </si>
  <si>
    <t>Old Value</t>
  </si>
  <si>
    <t>New Value</t>
  </si>
  <si>
    <t>Time Off</t>
  </si>
  <si>
    <t>Approved</t>
  </si>
  <si>
    <t>Sick day</t>
  </si>
  <si>
    <t>E0008</t>
  </si>
  <si>
    <t>Bridging Thanksgiving (Mon Oct 12)</t>
  </si>
  <si>
    <t>Half day</t>
  </si>
  <si>
    <t>Annual leave (2 days)</t>
  </si>
  <si>
    <t>Part-time scheduled day (Mon/Wed/Fri)</t>
  </si>
  <si>
    <t>Partial day (left at midday)</t>
  </si>
  <si>
    <t>Future-dated – falls in next biweekly period</t>
  </si>
  <si>
    <t>Weekend-shift worker; Friday scheduled shift (12 paid hrs)</t>
  </si>
  <si>
    <t>Uses full remaining sick balance (3 hrs)</t>
  </si>
  <si>
    <t>Unpaid Leave</t>
  </si>
  <si>
    <t>Unpaid leave starting mid-period (US Semi-monthly); open-ended, no return date</t>
  </si>
  <si>
    <t>Unpaid leave starting mid-period (US Semi-monthly Oct 16–31); returns Nov 21</t>
  </si>
  <si>
    <t>Unpaid leave starting mid-period (US Biweekly Oct 4–17); spans into next period</t>
  </si>
  <si>
    <t>Unpaid leave starting mid-period (UK Monthly Oct 1–31); returns Nov 16</t>
  </si>
  <si>
    <t>Comp Change</t>
  </si>
  <si>
    <t>Mid-period rate change effective Sat Oct 10 (US Biweekly Oct 4–17); Oct 5–9 punches at old rate, Oct 12–16 at new rate</t>
  </si>
  <si>
    <t>Hourly Rate (USD)</t>
  </si>
  <si>
    <t>Location Change</t>
  </si>
  <si>
    <t>Work Location / State</t>
  </si>
  <si>
    <t>San Jose, CA</t>
  </si>
  <si>
    <t>Dallas, TX</t>
  </si>
  <si>
    <t>Garnishment</t>
  </si>
  <si>
    <t>Hourly EE; Case # CS-2026-0418 (CA DCSS); ongoing, deduct every pay period</t>
  </si>
  <si>
    <t>Child Support Order</t>
  </si>
  <si>
    <t>25% of disposable earnings</t>
  </si>
  <si>
    <t>Salaried EE; Writ # CV-26-7731 (creditor judgment); remaining balance $4,200.00</t>
  </si>
  <si>
    <t>Creditor Garnishment</t>
  </si>
  <si>
    <t>$350.00 per pay period</t>
  </si>
  <si>
    <t>Case # TBD; ongoing, deduct every pay period</t>
  </si>
  <si>
    <t>$830.00 per pay period</t>
  </si>
  <si>
    <t>Merit increase effective Mon Oct 12 (US Biweekly Oct 4–17); Oct 5–10 punches at old rate, Oct 12–16 at new rate</t>
  </si>
  <si>
    <t>Merit increase effective Mon Oct 19 (US Semi-monthly Oct 16–31); prorate Oct 16–18 old / Oct 19–31 new</t>
  </si>
  <si>
    <t>Annual Salary (USD)</t>
  </si>
  <si>
    <t>Salary increase effective Mon Oct 12 (UK Monthly Oct 1–31); prorate Oct 1–11 old / Oct 12–31 new</t>
  </si>
  <si>
    <t>Annual Salary (GBP)</t>
  </si>
  <si>
    <t>Salary increase effective Mon Oct 19 (India Monthly Oct 1–31); prorate Oct 1–18 old / Oct 19–31 new</t>
  </si>
  <si>
    <t>Annual Salary (INR)</t>
  </si>
  <si>
    <t>State-to-state move mid-period (US Semi-monthly Oct 16–31); split state tax TX→CA (CA SIT/SDI start Oct 19); enroll in CA Paid Sick Leave</t>
  </si>
  <si>
    <t>Austin, TX</t>
  </si>
  <si>
    <t>State-to-state move mid-period (US Semi-monthly Oct 16–31); split state tax CA→TX (CA SIT/SDI stop Oct 25); CA sick balance to be reviewed</t>
  </si>
  <si>
    <t>San Francisco, CA</t>
  </si>
  <si>
    <t>Intra-state move mid-period (US Semi-monthly Oct 16–31); same state (CA), work city changes San Jose→San Francisco for local reporting</t>
  </si>
  <si>
    <t>Work Location / City</t>
  </si>
  <si>
    <t>Bonus</t>
  </si>
  <si>
    <t>New hire Oct 21 (mid-period); one-time sign-on paid in US Semi-monthly Oct 16–31</t>
  </si>
  <si>
    <t>Sign-on Bonus (USD)</t>
  </si>
  <si>
    <t>New hire Oct 19 (mid-period); one-time sign-on paid in US Semi-monthly Oct 16–31</t>
  </si>
  <si>
    <t>New hire Oct 20 (mid-period); one-time sign-on paid in US Semi-monthly Oct 16–31</t>
  </si>
  <si>
    <t>New hire Oct 22 (mid-period); one-time sign-on paid in US Semi-monthly Oct 16–31</t>
  </si>
  <si>
    <t>New hire Oct 26 (mid-period); one-time sign-on paid in US Semi-monthly Oct 16–31</t>
  </si>
  <si>
    <t>Sign-on deferred to first eligible period after 30-day probation; US Semi-monthly Oct 16–31</t>
  </si>
  <si>
    <t>Hourly new hire Oct 7; one-time sign-on paid in US Biweekly Oct 4–17 (supplemental wages)</t>
  </si>
  <si>
    <t>Hourly new hire Oct 14; one-time sign-on paid in US Biweekly Oct 4–17 (supplemental wages)</t>
  </si>
  <si>
    <t>Sign-on paid in UK Monthly Oct 1–31; subject to PAYE/NIC; clawback if leaves within 12 months</t>
  </si>
  <si>
    <t>Sign-on Bonus (GBP)</t>
  </si>
  <si>
    <t>New hire Oct 1; sign-on paid in UK Monthly Oct 1–31; subject to PAYE/NIC</t>
  </si>
  <si>
    <t>Joining bonus paid in India Monthly Oct 1–31; taxable under TDS; clawback if leaves within 12 months</t>
  </si>
  <si>
    <t>Sign-on Bonus (INR)</t>
  </si>
  <si>
    <t>Joining bonus paid in India Monthly Oct 1–31; taxable under TDS</t>
  </si>
  <si>
    <t>Spot award – GPU Cloud launch; one-time, US Semi-monthly Oct 16–31 (supplemental wages)</t>
  </si>
  <si>
    <t>Spot Bonus (USD)</t>
  </si>
  <si>
    <t>Spot award; one-time, US Semi-monthly Oct 16–31 (supplemental wages)</t>
  </si>
  <si>
    <t>Hourly non-exempt spot award; US Biweekly Oct 4–17; discretionary (excluded from regular rate)</t>
  </si>
  <si>
    <t>Spot award; one-time, UK Monthly Oct 1–31; subject to PAYE/NIC</t>
  </si>
  <si>
    <t>Spot Bonus (GBP)</t>
  </si>
  <si>
    <t>Spot award; one-time, India Monthly Oct 1–31; taxable under TDS</t>
  </si>
  <si>
    <t>Spot Bonus (INR)</t>
  </si>
  <si>
    <t>Spot award; one-time, Canada Monthly Oct 1–31; subject to CPP/EI and income tax</t>
  </si>
  <si>
    <t>Spot Bonus (CAD)</t>
  </si>
  <si>
    <t>Vacation day</t>
  </si>
  <si>
    <t>Vacation (3-day block)</t>
  </si>
  <si>
    <t>Unpaid personal leave starting mid-period (Canada Monthly Oct 1–31); returns Nov 20; issue ROE if interruption of earnings 7+ days</t>
  </si>
  <si>
    <t>Merit increase effective Wed Oct 14 (Canada Monthly Oct 1–31); Oct 1–13 hours at old rate, Oct 14–31 at new rate</t>
  </si>
  <si>
    <t>Hourly Rate (CAD)</t>
  </si>
  <si>
    <t>Promotion increase effective Fri Oct 16 (Canada Monthly Oct 1–31); prorate salary by working days</t>
  </si>
  <si>
    <t>Annual Salary (CAD)</t>
  </si>
  <si>
    <t>Hourly EE; Ontario Family Responsibility Office (FRO) support deduction notice; ongoing, deduct every pay period</t>
  </si>
  <si>
    <t>Family Support Order</t>
  </si>
  <si>
    <t>50% of net pay (FRO max)</t>
  </si>
  <si>
    <t>New hire Oct 15 (mid-period); one-time sign-on paid in Canada Monthly Oct 1–31; subject to CPP/EI and income tax</t>
  </si>
  <si>
    <t>Sign-on Bonus (CAD)</t>
  </si>
  <si>
    <t>New hire Oct 23 (mid-period); one-time sign-on paid in Canada Monthly Oct 1–31; subject to CPP/EI and income tax</t>
  </si>
  <si>
    <t>Work Date</t>
  </si>
  <si>
    <t>In</t>
  </si>
  <si>
    <t>Out</t>
  </si>
  <si>
    <t>Meal Start</t>
  </si>
  <si>
    <t>Meal End</t>
  </si>
  <si>
    <t>Shift Code</t>
  </si>
  <si>
    <t>Work Schedule</t>
  </si>
  <si>
    <t>Sched Start</t>
  </si>
  <si>
    <t>Start Variance (min)</t>
  </si>
  <si>
    <t>Shift Check</t>
  </si>
  <si>
    <t>Hours Worked</t>
  </si>
  <si>
    <t>Entry Type</t>
  </si>
  <si>
    <t>Entered On</t>
  </si>
  <si>
    <t>Pay Period</t>
  </si>
  <si>
    <t>Original</t>
  </si>
  <si>
    <t>Off-schedule Tolerance (min)</t>
  </si>
  <si>
    <t>Extra Saturday shift – workweek &gt;40 hrs</t>
  </si>
  <si>
    <t>Extra shift (consecutive-day streak)</t>
  </si>
  <si>
    <t>7th consecutive day worked in workweek</t>
  </si>
  <si>
    <t>Double-time: &gt;12 hrs worked; Meal started after 5th hour</t>
  </si>
  <si>
    <t>—</t>
  </si>
  <si>
    <t>No meal recorded</t>
  </si>
  <si>
    <t>Roster corrected to SWNG (swap not worked)</t>
  </si>
  <si>
    <t>Daily OT: &gt;8 hrs worked; Crosses midnight</t>
  </si>
  <si>
    <t>Meal started after 5th hour</t>
  </si>
  <si>
    <t>Swap not worked – E0028 worked usual DAY shift; punches entered from schedule, actual times to be confirmed</t>
  </si>
  <si>
    <t>Manual Entry</t>
  </si>
  <si>
    <t>Daily OT: &gt;8 hrs worked</t>
  </si>
  <si>
    <t>Double-time: &gt;12 hrs worked</t>
  </si>
  <si>
    <t>Retro correction to prior period: missing Out punch added</t>
  </si>
  <si>
    <t>Retro Correction</t>
  </si>
  <si>
    <t>Partial day – 4 hrs worked + 4 hrs sick (see employee events)</t>
  </si>
  <si>
    <t>Duplicate punch (identical to previous row)</t>
  </si>
  <si>
    <t>Partial day – 9 hrs worked + 3 hrs sick (see employee events)</t>
  </si>
  <si>
    <t>Retro correction to prior period: Out changed 06:30→07:00; Crosses midnight</t>
  </si>
  <si>
    <t>Crosses midnight</t>
  </si>
  <si>
    <t>Extra shift (consecutive-day streak); Crosses midnight</t>
  </si>
  <si>
    <t>7th consecutive day worked in workweek; Crosses midnight</t>
  </si>
  <si>
    <t>Meal started after 5th hour; Crosses midnight</t>
  </si>
  <si>
    <t>Double-time: &gt;12 hrs worked; Crosses midnight</t>
  </si>
  <si>
    <t>Long day contributing to weekly OT (&gt;40 hrs)</t>
  </si>
  <si>
    <t>Duplicate punch (identical to previous row); Crosses midnight</t>
  </si>
  <si>
    <t>No meal recorded; Crosses midnight</t>
  </si>
  <si>
    <t>Period Start Date</t>
  </si>
  <si>
    <t>Period End Date</t>
  </si>
  <si>
    <t>Pay Date</t>
  </si>
  <si>
    <t>Semi-monthly</t>
  </si>
  <si>
    <t>Monthly</t>
  </si>
  <si>
    <t>Bi-weekly</t>
  </si>
  <si>
    <t>Shift Name</t>
  </si>
  <si>
    <t>Days</t>
  </si>
  <si>
    <t>Start</t>
  </si>
  <si>
    <t>End</t>
  </si>
  <si>
    <t>Meal (min)</t>
  </si>
  <si>
    <t>Paid Hours</t>
  </si>
  <si>
    <t>Crosses Midnight</t>
  </si>
  <si>
    <t>Differential ($/hr)</t>
  </si>
  <si>
    <t>Standard</t>
  </si>
  <si>
    <t>Standard (Mon–Fri 9:00–17:30)</t>
  </si>
  <si>
    <t>Mon–Fri</t>
  </si>
  <si>
    <t>Shift A – Day (Mon–Fri 06:00–14:30)</t>
  </si>
  <si>
    <t>Swing</t>
  </si>
  <si>
    <t>Shift B – Swing (Mon–Fri 14:00–22:30)</t>
  </si>
  <si>
    <t>Night</t>
  </si>
  <si>
    <t>Shift C – Night (Sun–Thu 22:00–06:30)</t>
  </si>
  <si>
    <t>Sun–Thu</t>
  </si>
  <si>
    <t>Weekend</t>
  </si>
  <si>
    <t>Shift D – Weekend (Fri–Sun 06:00–18:30)</t>
  </si>
  <si>
    <t>Fri–Sun</t>
  </si>
  <si>
    <t>Part-time Day</t>
  </si>
  <si>
    <t>Part-time – Day (Mon/Wed/Fri 06:00–14:30)</t>
  </si>
  <si>
    <t>Mon/Wed/Fri</t>
  </si>
  <si>
    <t>Blue = editable inputs. Paid Hours and Crosses Midnight are calculated. Edit a shift here and the worker file and timesheet update automatically.</t>
  </si>
  <si>
    <t>Date</t>
  </si>
  <si>
    <t>Source</t>
  </si>
  <si>
    <t>Reason</t>
  </si>
  <si>
    <t>Updated On</t>
  </si>
  <si>
    <t>Updated By</t>
  </si>
  <si>
    <t>How this works</t>
  </si>
  <si>
    <t>Scheduler</t>
  </si>
  <si>
    <t>Sunday coverage</t>
  </si>
  <si>
    <t>Scheduler/manager overrides only – one row per employee per date. If an employee has no row for a date, the timesheet uses their Default Shift Code from the worker file.</t>
  </si>
  <si>
    <t>Saturday coverage</t>
  </si>
  <si>
    <t>If the same employee/date appears more than once, the LAST row added wins (keep history; append, don't overwrite).</t>
  </si>
  <si>
    <t>Swing coverage</t>
  </si>
  <si>
    <t>Manager</t>
  </si>
  <si>
    <t>Saturday coverage (OT approved)</t>
  </si>
  <si>
    <t>Friday night coverage</t>
  </si>
  <si>
    <t>Saturday night coverage</t>
  </si>
  <si>
    <t>Coverage cancelled – back to default</t>
  </si>
  <si>
    <t>Swap</t>
  </si>
  <si>
    <t>Shift swap with E0028 (approved)</t>
  </si>
  <si>
    <t>Shift swap with E0023 (approved)</t>
  </si>
  <si>
    <t>Correction – swap not worked; E0023 worked swing (punches 13:54–22:22)</t>
  </si>
  <si>
    <t>Correction – swap not worked; E0028 worked usual day shift</t>
  </si>
  <si>
    <t xml:space="preserve">State-to-state move mid-period (US Semi-monthly Oct 16–31); update state tax (CA→TX, no state income tax); CA sick balance to be reviewed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</si>
</sst>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[$-409]mmmm\ d&quot;, &quot;yyyy;@"/>
    <numFmt numFmtId="165" formatCode="\$#,##0.00_);[Red]&quot;($&quot;#,##0.00\)"/>
    <numFmt numFmtId="166" formatCode="\$#,##0.00"/>
    <numFmt numFmtId="167" formatCode="[&gt;=10000000]##\,##\,##\,##0;[&gt;=100000]##\,##\,##0;##,##0"/>
    <numFmt numFmtId="168" formatCode="\₹#,##0"/>
    <numFmt numFmtId="169" formatCode="\£#,##0.00"/>
    <numFmt numFmtId="170" formatCode="0.00&quot; hrs&quot;"/>
    <numFmt numFmtId="171" formatCode="0.0&quot; days&quot;"/>
    <numFmt numFmtId="172" formatCode="0.0%"/>
    <numFmt numFmtId="173" formatCode="0.0#"/>
    <numFmt numFmtId="174" formatCode="\$#,##0"/>
    <numFmt numFmtId="175" formatCode="\£#,##0"/>
    <numFmt numFmtId="176" formatCode="\₹###,##0"/>
    <numFmt numFmtId="177" formatCode="&quot;CA$&quot;#,##0"/>
    <numFmt numFmtId="178" formatCode="&quot;CA$&quot;#,##0.00"/>
    <numFmt numFmtId="179" formatCode="0;\-0;0"/>
    <numFmt numFmtId="180" formatCode="\$#,##0.00;&quot;($&quot;#,##0.00\);\-"/>
  </numFmts>
  <fonts count="14" x14ac:knownFonts="1">
    <font>
      <sz val="11"/>
      <color rgb="FF000000"/>
      <name val="Aptos Narrow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b/>
      <sz val="14"/>
      <color rgb="FF000000"/>
      <name val="Aptos Narrow"/>
      <family val="2"/>
      <charset val="1"/>
    </font>
    <font>
      <i/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FF"/>
      <name val="Aptos Narrow"/>
      <family val="2"/>
      <charset val="1"/>
    </font>
    <font>
      <sz val="11"/>
      <color rgb="FF008000"/>
      <name val="Aptos Narrow"/>
      <family val="2"/>
      <charset val="1"/>
    </font>
    <font>
      <b/>
      <sz val="11"/>
      <color rgb="FF000000"/>
      <name val="Aptos Narrow"/>
    </font>
    <font>
      <i/>
      <sz val="10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3" fontId="2" fillId="0" borderId="3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0" fontId="2" fillId="0" borderId="5" xfId="0" applyFont="1" applyBorder="1"/>
    <xf numFmtId="164" fontId="2" fillId="0" borderId="5" xfId="0" applyNumberFormat="1" applyFont="1" applyBorder="1"/>
    <xf numFmtId="167" fontId="2" fillId="0" borderId="3" xfId="0" applyNumberFormat="1" applyFont="1" applyBorder="1"/>
    <xf numFmtId="168" fontId="2" fillId="0" borderId="3" xfId="0" applyNumberFormat="1" applyFont="1" applyBorder="1"/>
    <xf numFmtId="169" fontId="2" fillId="0" borderId="3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3" fillId="0" borderId="0" xfId="0" applyNumberFormat="1" applyFont="1"/>
    <xf numFmtId="170" fontId="2" fillId="0" borderId="3" xfId="0" applyNumberFormat="1" applyFont="1" applyBorder="1" applyAlignment="1">
      <alignment horizontal="right"/>
    </xf>
    <xf numFmtId="171" fontId="2" fillId="0" borderId="3" xfId="0" applyNumberFormat="1" applyFont="1" applyBorder="1" applyAlignment="1">
      <alignment horizontal="right"/>
    </xf>
    <xf numFmtId="170" fontId="2" fillId="2" borderId="3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172" fontId="0" fillId="0" borderId="0" xfId="0" applyNumberFormat="1" applyAlignment="1">
      <alignment horizontal="right"/>
    </xf>
    <xf numFmtId="166" fontId="7" fillId="0" borderId="0" xfId="0" applyNumberFormat="1" applyFont="1"/>
    <xf numFmtId="0" fontId="0" fillId="0" borderId="8" xfId="0" applyBorder="1"/>
    <xf numFmtId="0" fontId="6" fillId="0" borderId="8" xfId="0" applyFont="1" applyBorder="1"/>
    <xf numFmtId="166" fontId="6" fillId="0" borderId="8" xfId="0" applyNumberFormat="1" applyFont="1" applyBorder="1"/>
    <xf numFmtId="0" fontId="7" fillId="0" borderId="0" xfId="0" applyFont="1"/>
    <xf numFmtId="0" fontId="8" fillId="0" borderId="0" xfId="0" applyFont="1"/>
    <xf numFmtId="172" fontId="7" fillId="0" borderId="0" xfId="0" applyNumberFormat="1" applyFont="1"/>
    <xf numFmtId="166" fontId="0" fillId="0" borderId="0" xfId="0" applyNumberFormat="1"/>
    <xf numFmtId="164" fontId="0" fillId="0" borderId="0" xfId="0" applyNumberFormat="1"/>
    <xf numFmtId="172" fontId="0" fillId="0" borderId="0" xfId="0" applyNumberFormat="1"/>
    <xf numFmtId="164" fontId="8" fillId="0" borderId="0" xfId="0" applyNumberFormat="1" applyFont="1"/>
    <xf numFmtId="164" fontId="7" fillId="0" borderId="0" xfId="0" applyNumberFormat="1" applyFont="1"/>
    <xf numFmtId="173" fontId="7" fillId="0" borderId="0" xfId="0" applyNumberFormat="1" applyFont="1"/>
    <xf numFmtId="174" fontId="7" fillId="0" borderId="0" xfId="0" applyNumberFormat="1" applyFont="1"/>
    <xf numFmtId="175" fontId="7" fillId="0" borderId="0" xfId="0" applyNumberFormat="1" applyFont="1"/>
    <xf numFmtId="176" fontId="7" fillId="0" borderId="0" xfId="0" applyNumberFormat="1" applyFont="1"/>
    <xf numFmtId="49" fontId="7" fillId="0" borderId="0" xfId="0" applyNumberFormat="1" applyFont="1"/>
    <xf numFmtId="174" fontId="7" fillId="0" borderId="0" xfId="0" applyNumberFormat="1" applyFont="1" applyAlignment="1">
      <alignment horizontal="right"/>
    </xf>
    <xf numFmtId="175" fontId="7" fillId="0" borderId="0" xfId="0" applyNumberFormat="1" applyFont="1" applyAlignment="1">
      <alignment horizontal="right"/>
    </xf>
    <xf numFmtId="176" fontId="7" fillId="0" borderId="0" xfId="0" applyNumberFormat="1" applyFont="1" applyAlignment="1">
      <alignment horizontal="right"/>
    </xf>
    <xf numFmtId="177" fontId="7" fillId="0" borderId="0" xfId="0" applyNumberFormat="1" applyFont="1" applyAlignment="1">
      <alignment horizontal="right"/>
    </xf>
    <xf numFmtId="178" fontId="7" fillId="0" borderId="0" xfId="0" applyNumberFormat="1" applyFont="1"/>
    <xf numFmtId="178" fontId="7" fillId="0" borderId="0" xfId="0" applyNumberFormat="1" applyFont="1" applyAlignment="1">
      <alignment horizontal="right"/>
    </xf>
    <xf numFmtId="177" fontId="7" fillId="0" borderId="0" xfId="0" applyNumberFormat="1" applyFont="1"/>
    <xf numFmtId="0" fontId="1" fillId="0" borderId="9" xfId="0" applyFont="1" applyBorder="1"/>
    <xf numFmtId="20" fontId="2" fillId="0" borderId="3" xfId="0" applyNumberFormat="1" applyFont="1" applyBorder="1"/>
    <xf numFmtId="20" fontId="2" fillId="0" borderId="3" xfId="0" applyNumberFormat="1" applyFont="1" applyBorder="1" applyAlignment="1">
      <alignment horizontal="right"/>
    </xf>
    <xf numFmtId="20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179" fontId="2" fillId="0" borderId="3" xfId="0" applyNumberFormat="1" applyFont="1" applyBorder="1" applyAlignment="1">
      <alignment horizontal="center"/>
    </xf>
    <xf numFmtId="0" fontId="2" fillId="0" borderId="9" xfId="0" applyFont="1" applyBorder="1"/>
    <xf numFmtId="2" fontId="2" fillId="0" borderId="3" xfId="0" applyNumberFormat="1" applyFont="1" applyBorder="1"/>
    <xf numFmtId="0" fontId="3" fillId="0" borderId="0" xfId="0" applyFont="1"/>
    <xf numFmtId="20" fontId="2" fillId="2" borderId="3" xfId="0" applyNumberFormat="1" applyFont="1" applyFill="1" applyBorder="1"/>
    <xf numFmtId="20" fontId="2" fillId="2" borderId="3" xfId="0" applyNumberFormat="1" applyFont="1" applyFill="1" applyBorder="1" applyAlignment="1">
      <alignment horizontal="right"/>
    </xf>
    <xf numFmtId="20" fontId="2" fillId="2" borderId="2" xfId="0" applyNumberFormat="1" applyFont="1" applyFill="1" applyBorder="1" applyAlignment="1">
      <alignment horizontal="right"/>
    </xf>
    <xf numFmtId="0" fontId="9" fillId="0" borderId="0" xfId="0" applyFont="1"/>
    <xf numFmtId="15" fontId="0" fillId="0" borderId="0" xfId="0" applyNumberFormat="1"/>
    <xf numFmtId="20" fontId="3" fillId="0" borderId="0" xfId="0" applyNumberFormat="1" applyFont="1"/>
    <xf numFmtId="2" fontId="2" fillId="0" borderId="0" xfId="0" applyNumberFormat="1" applyFont="1"/>
    <xf numFmtId="180" fontId="3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4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Inputs" displayName="PayrollInputs" ref="A11:O1123" totalsRowShown="0">
  <autoFilter ref="A11:O1123" xr:uid="{00000000-0009-0000-0100-000001000000}"/>
  <tableColumns count="15">
    <tableColumn id="1" xr3:uid="{00000000-0010-0000-0000-000001000000}" name="Employee ID"/>
    <tableColumn id="2" xr3:uid="{00000000-0010-0000-0000-000002000000}" name="Pay Group"/>
    <tableColumn id="3" xr3:uid="{00000000-0010-0000-0000-000003000000}" name="State"/>
    <tableColumn id="4" xr3:uid="{00000000-0010-0000-0000-000004000000}" name="Worker Status"/>
    <tableColumn id="5" xr3:uid="{00000000-0010-0000-0000-000005000000}" name="Deduction Code"/>
    <tableColumn id="6" xr3:uid="{00000000-0010-0000-0000-000006000000}" name="Description"/>
    <tableColumn id="7" xr3:uid="{00000000-0010-0000-0000-000007000000}" name="Tax Treatment"/>
    <tableColumn id="8" xr3:uid="{00000000-0010-0000-0000-000008000000}" name="Calc Method"/>
    <tableColumn id="9" xr3:uid="{00000000-0010-0000-0000-000009000000}" name="Rate (%)"/>
    <tableColumn id="10" xr3:uid="{00000000-0010-0000-0000-00000A000000}" name="Flat Amount"/>
    <tableColumn id="11" xr3:uid="{00000000-0010-0000-0000-00000B000000}" name="Basis"/>
    <tableColumn id="12" xr3:uid="{00000000-0010-0000-0000-00000C000000}" name="Frequency"/>
    <tableColumn id="13" xr3:uid="{00000000-0010-0000-0000-00000D000000}" name="Effective Start"/>
    <tableColumn id="14" xr3:uid="{00000000-0010-0000-0000-00000E000000}" name="Effective End"/>
    <tableColumn id="15" xr3:uid="{00000000-0010-0000-0000-00000F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iftCodes" displayName="ShiftCodes" ref="A1:J7" totalsRowShown="0">
  <autoFilter ref="A1:J7" xr:uid="{00000000-0009-0000-0100-000002000000}"/>
  <tableColumns count="10">
    <tableColumn id="1" xr3:uid="{00000000-0010-0000-0100-000001000000}" name="Code"/>
    <tableColumn id="2" xr3:uid="{00000000-0010-0000-0100-000002000000}" name="Shift Name"/>
    <tableColumn id="3" xr3:uid="{00000000-0010-0000-0100-000003000000}" name="Work Schedule"/>
    <tableColumn id="4" xr3:uid="{00000000-0010-0000-0100-000004000000}" name="Days"/>
    <tableColumn id="5" xr3:uid="{00000000-0010-0000-0100-000005000000}" name="Start"/>
    <tableColumn id="6" xr3:uid="{00000000-0010-0000-0100-000006000000}" name="End"/>
    <tableColumn id="7" xr3:uid="{00000000-0010-0000-0100-000007000000}" name="Meal (min)"/>
    <tableColumn id="8" xr3:uid="{00000000-0010-0000-0100-000008000000}" name="Paid Hours"/>
    <tableColumn id="9" xr3:uid="{00000000-0010-0000-0100-000009000000}" name="Crosses Midnight"/>
    <tableColumn id="10" xr3:uid="{00000000-0010-0000-0100-00000A000000}" name="Differential ($/hr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hiftRoster" displayName="ShiftRoster" ref="A1:G13" totalsRowShown="0">
  <autoFilter ref="A1:G13" xr:uid="{00000000-0009-0000-0100-000003000000}"/>
  <tableColumns count="7">
    <tableColumn id="1" xr3:uid="{00000000-0010-0000-0200-000001000000}" name="Employee ID"/>
    <tableColumn id="2" xr3:uid="{00000000-0010-0000-0200-000002000000}" name="Date"/>
    <tableColumn id="3" xr3:uid="{00000000-0010-0000-0200-000003000000}" name="Shift Code"/>
    <tableColumn id="4" xr3:uid="{00000000-0010-0000-0200-000004000000}" name="Source"/>
    <tableColumn id="5" xr3:uid="{00000000-0010-0000-0200-000005000000}" name="Reason"/>
    <tableColumn id="6" xr3:uid="{00000000-0010-0000-0200-000006000000}" name="Updated On"/>
    <tableColumn id="7" xr3:uid="{00000000-0010-0000-0200-000007000000}" name="Updated 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6"/>
  <sheetViews>
    <sheetView zoomScaleNormal="100" workbookViewId="0">
      <pane ySplit="1" topLeftCell="A366" activePane="bottomLeft" state="frozen"/>
      <selection pane="bottomLeft" activeCell="G411" sqref="G411"/>
    </sheetView>
  </sheetViews>
  <sheetFormatPr baseColWidth="10" defaultColWidth="10.5" defaultRowHeight="15" x14ac:dyDescent="0.2"/>
  <cols>
    <col min="3" max="3" width="16.5" customWidth="1"/>
    <col min="12" max="12" width="26" customWidth="1"/>
    <col min="13" max="13" width="19.83203125" customWidth="1"/>
    <col min="14" max="14" width="19.33203125" customWidth="1"/>
    <col min="15" max="15" width="19.83203125" customWidth="1"/>
    <col min="17" max="17" width="21" customWidth="1"/>
    <col min="19" max="19" width="10" customWidth="1"/>
    <col min="20" max="22" width="11.6640625" customWidth="1"/>
    <col min="23" max="23" width="40.83203125" customWidth="1"/>
    <col min="24" max="24" width="18.5" customWidth="1"/>
    <col min="25" max="25" width="6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</row>
    <row r="2" spans="1:25" ht="16" x14ac:dyDescent="0.2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8</v>
      </c>
      <c r="I2" s="5" t="s">
        <v>32</v>
      </c>
      <c r="J2" s="5"/>
      <c r="K2" s="5" t="s">
        <v>33</v>
      </c>
      <c r="L2" s="5" t="s">
        <v>34</v>
      </c>
      <c r="M2" s="6">
        <v>44635</v>
      </c>
      <c r="N2" s="5"/>
      <c r="O2" s="5"/>
      <c r="P2" s="5" t="s">
        <v>35</v>
      </c>
      <c r="Q2" s="5" t="s">
        <v>36</v>
      </c>
      <c r="R2" s="7" t="s">
        <v>37</v>
      </c>
      <c r="S2" s="5">
        <v>40</v>
      </c>
      <c r="T2" s="5" t="s">
        <v>38</v>
      </c>
      <c r="U2" s="8" t="str">
        <f t="shared" ref="U2:U65" si="0">IF(AND(TRIM(E2)="US",TRIM(G2)="Non-Exempt"),"US Non-Exempt EEs","")</f>
        <v/>
      </c>
      <c r="V2" s="8" t="str">
        <f t="shared" ref="V2:V65" si="1">IF(AND(TRIM(E2)="US",TRIM(G2)="Non-Exempt"),IF(TRIM(D2)="CA","US California Non-Exempt","US Non-California Non-Exempt"),"")</f>
        <v/>
      </c>
      <c r="W2" s="8" t="str">
        <f>_xlfn.XLOOKUP(X2,ShiftCodes[Code],ShiftCodes[Work Schedule],"Unknown code")</f>
        <v>Standard (Mon–Fri 9:00–17:30)</v>
      </c>
      <c r="X2" s="9" t="s">
        <v>39</v>
      </c>
      <c r="Y2" s="5"/>
    </row>
    <row r="3" spans="1:25" ht="16" x14ac:dyDescent="0.2">
      <c r="A3" s="5" t="s">
        <v>40</v>
      </c>
      <c r="B3" s="5" t="s">
        <v>26</v>
      </c>
      <c r="C3" s="5" t="s">
        <v>41</v>
      </c>
      <c r="D3" s="5" t="s">
        <v>42</v>
      </c>
      <c r="E3" s="5" t="s">
        <v>29</v>
      </c>
      <c r="F3" s="5" t="s">
        <v>43</v>
      </c>
      <c r="G3" s="5" t="s">
        <v>31</v>
      </c>
      <c r="H3" s="5" t="s">
        <v>8</v>
      </c>
      <c r="I3" s="5" t="s">
        <v>44</v>
      </c>
      <c r="J3" s="5"/>
      <c r="K3" s="5" t="s">
        <v>33</v>
      </c>
      <c r="L3" s="5" t="s">
        <v>34</v>
      </c>
      <c r="M3" s="6">
        <v>45158</v>
      </c>
      <c r="N3" s="6">
        <v>46326</v>
      </c>
      <c r="O3" s="5"/>
      <c r="P3" s="5" t="s">
        <v>45</v>
      </c>
      <c r="Q3" s="5" t="s">
        <v>46</v>
      </c>
      <c r="R3" s="7" t="s">
        <v>37</v>
      </c>
      <c r="S3" s="5">
        <v>40</v>
      </c>
      <c r="T3" s="5" t="s">
        <v>38</v>
      </c>
      <c r="U3" s="8" t="str">
        <f t="shared" si="0"/>
        <v/>
      </c>
      <c r="V3" s="8" t="str">
        <f t="shared" si="1"/>
        <v/>
      </c>
      <c r="W3" s="8" t="str">
        <f>_xlfn.XLOOKUP(X3,ShiftCodes[Code],ShiftCodes[Work Schedule],"Unknown code")</f>
        <v>Standard (Mon–Fri 9:00–17:30)</v>
      </c>
      <c r="X3" s="9" t="s">
        <v>39</v>
      </c>
      <c r="Y3" s="5" t="s">
        <v>47</v>
      </c>
    </row>
    <row r="4" spans="1:25" ht="16" x14ac:dyDescent="0.2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31</v>
      </c>
      <c r="H4" s="5" t="s">
        <v>8</v>
      </c>
      <c r="I4" s="5" t="s">
        <v>54</v>
      </c>
      <c r="J4" s="5"/>
      <c r="K4" s="5" t="s">
        <v>55</v>
      </c>
      <c r="L4" s="5" t="s">
        <v>56</v>
      </c>
      <c r="M4" s="6">
        <v>45340</v>
      </c>
      <c r="N4" s="6">
        <v>46326</v>
      </c>
      <c r="O4" s="5"/>
      <c r="P4" s="5" t="s">
        <v>57</v>
      </c>
      <c r="Q4" s="5" t="s">
        <v>46</v>
      </c>
      <c r="R4" s="7" t="s">
        <v>37</v>
      </c>
      <c r="S4" s="5">
        <v>37.5</v>
      </c>
      <c r="T4" s="5" t="s">
        <v>38</v>
      </c>
      <c r="U4" s="8" t="str">
        <f t="shared" si="0"/>
        <v/>
      </c>
      <c r="V4" s="8" t="str">
        <f t="shared" si="1"/>
        <v/>
      </c>
      <c r="W4" s="8" t="str">
        <f>_xlfn.XLOOKUP(X4,ShiftCodes[Code],ShiftCodes[Work Schedule],"Unknown code")</f>
        <v>Standard (Mon–Fri 9:00–17:30)</v>
      </c>
      <c r="X4" s="9" t="s">
        <v>39</v>
      </c>
      <c r="Y4" s="5" t="s">
        <v>58</v>
      </c>
    </row>
    <row r="5" spans="1:25" ht="16" x14ac:dyDescent="0.2">
      <c r="A5" s="5" t="s">
        <v>59</v>
      </c>
      <c r="B5" s="5" t="s">
        <v>60</v>
      </c>
      <c r="C5" s="5" t="s">
        <v>61</v>
      </c>
      <c r="D5" s="5" t="s">
        <v>62</v>
      </c>
      <c r="E5" s="5" t="s">
        <v>28</v>
      </c>
      <c r="F5" s="5" t="s">
        <v>63</v>
      </c>
      <c r="G5" s="5" t="s">
        <v>31</v>
      </c>
      <c r="H5" s="5" t="s">
        <v>8</v>
      </c>
      <c r="I5" s="10">
        <v>225000</v>
      </c>
      <c r="J5" s="10"/>
      <c r="K5" s="5" t="s">
        <v>64</v>
      </c>
      <c r="L5" s="5" t="s">
        <v>65</v>
      </c>
      <c r="M5" s="6">
        <v>45019</v>
      </c>
      <c r="N5" s="5"/>
      <c r="O5" s="5"/>
      <c r="P5" s="5" t="s">
        <v>66</v>
      </c>
      <c r="Q5" s="5" t="s">
        <v>36</v>
      </c>
      <c r="R5" s="7" t="s">
        <v>37</v>
      </c>
      <c r="S5" s="5">
        <v>40</v>
      </c>
      <c r="T5" s="5" t="s">
        <v>38</v>
      </c>
      <c r="U5" s="8" t="str">
        <f t="shared" si="0"/>
        <v/>
      </c>
      <c r="V5" s="8" t="str">
        <f t="shared" si="1"/>
        <v/>
      </c>
      <c r="W5" s="8" t="str">
        <f>_xlfn.XLOOKUP(X5,ShiftCodes[Code],ShiftCodes[Work Schedule],"Unknown code")</f>
        <v>Standard (Mon–Fri 9:00–17:30)</v>
      </c>
      <c r="X5" s="9" t="s">
        <v>39</v>
      </c>
      <c r="Y5" s="5"/>
    </row>
    <row r="6" spans="1:25" ht="16" x14ac:dyDescent="0.2">
      <c r="A6" s="5" t="s">
        <v>67</v>
      </c>
      <c r="B6" s="5" t="s">
        <v>60</v>
      </c>
      <c r="C6" s="5" t="s">
        <v>68</v>
      </c>
      <c r="D6" s="5" t="s">
        <v>69</v>
      </c>
      <c r="E6" s="5" t="s">
        <v>70</v>
      </c>
      <c r="F6" s="5" t="s">
        <v>53</v>
      </c>
      <c r="G6" s="5" t="s">
        <v>31</v>
      </c>
      <c r="H6" s="5" t="s">
        <v>8</v>
      </c>
      <c r="I6" s="5" t="s">
        <v>71</v>
      </c>
      <c r="J6" s="5"/>
      <c r="K6" s="5" t="s">
        <v>72</v>
      </c>
      <c r="L6" s="5" t="s">
        <v>73</v>
      </c>
      <c r="M6" s="6">
        <v>44948</v>
      </c>
      <c r="N6" s="6">
        <v>46310</v>
      </c>
      <c r="O6" s="5"/>
      <c r="P6" s="5" t="s">
        <v>66</v>
      </c>
      <c r="Q6" s="5" t="s">
        <v>46</v>
      </c>
      <c r="R6" s="7" t="s">
        <v>37</v>
      </c>
      <c r="S6" s="5">
        <v>40</v>
      </c>
      <c r="T6" s="5" t="s">
        <v>38</v>
      </c>
      <c r="U6" s="8" t="str">
        <f t="shared" si="0"/>
        <v/>
      </c>
      <c r="V6" s="8" t="str">
        <f t="shared" si="1"/>
        <v/>
      </c>
      <c r="W6" s="8" t="str">
        <f>_xlfn.XLOOKUP(X6,ShiftCodes[Code],ShiftCodes[Work Schedule],"Unknown code")</f>
        <v>Standard (Mon–Fri 9:00–17:30)</v>
      </c>
      <c r="X6" s="9" t="s">
        <v>39</v>
      </c>
      <c r="Y6" s="5" t="s">
        <v>74</v>
      </c>
    </row>
    <row r="7" spans="1:25" ht="16" x14ac:dyDescent="0.2">
      <c r="A7" s="5" t="s">
        <v>75</v>
      </c>
      <c r="B7" s="5" t="s">
        <v>49</v>
      </c>
      <c r="C7" s="5" t="s">
        <v>76</v>
      </c>
      <c r="D7" s="5" t="s">
        <v>28</v>
      </c>
      <c r="E7" s="5" t="s">
        <v>29</v>
      </c>
      <c r="F7" s="5" t="s">
        <v>77</v>
      </c>
      <c r="G7" s="5" t="s">
        <v>78</v>
      </c>
      <c r="H7" s="5" t="s">
        <v>79</v>
      </c>
      <c r="J7" s="11">
        <v>42</v>
      </c>
      <c r="K7" s="5" t="s">
        <v>33</v>
      </c>
      <c r="L7" s="5" t="s">
        <v>80</v>
      </c>
      <c r="M7" s="6">
        <v>45418</v>
      </c>
      <c r="N7" s="5"/>
      <c r="O7" s="5"/>
      <c r="P7" s="5" t="s">
        <v>57</v>
      </c>
      <c r="Q7" s="5" t="s">
        <v>36</v>
      </c>
      <c r="R7" s="7" t="s">
        <v>37</v>
      </c>
      <c r="S7" s="5">
        <v>40</v>
      </c>
      <c r="T7" s="5" t="s">
        <v>38</v>
      </c>
      <c r="U7" s="8" t="str">
        <f t="shared" si="0"/>
        <v>US Non-Exempt EEs</v>
      </c>
      <c r="V7" s="8" t="str">
        <f t="shared" si="1"/>
        <v>US California Non-Exempt</v>
      </c>
      <c r="W7" s="8" t="str">
        <f>_xlfn.XLOOKUP(X7,ShiftCodes[Code],ShiftCodes[Work Schedule],"Unknown code")</f>
        <v>Shift A – Day (Mon–Fri 06:00–14:30)</v>
      </c>
      <c r="X7" s="9" t="s">
        <v>81</v>
      </c>
      <c r="Y7" s="5"/>
    </row>
    <row r="8" spans="1:25" ht="16" x14ac:dyDescent="0.2">
      <c r="A8" s="5" t="s">
        <v>82</v>
      </c>
      <c r="B8" s="5" t="s">
        <v>49</v>
      </c>
      <c r="C8" s="5" t="s">
        <v>83</v>
      </c>
      <c r="D8" s="5" t="s">
        <v>84</v>
      </c>
      <c r="E8" s="5" t="s">
        <v>29</v>
      </c>
      <c r="F8" s="5" t="s">
        <v>77</v>
      </c>
      <c r="G8" s="5" t="s">
        <v>78</v>
      </c>
      <c r="H8" s="5" t="s">
        <v>79</v>
      </c>
      <c r="J8" s="11">
        <v>40</v>
      </c>
      <c r="K8" s="5" t="s">
        <v>33</v>
      </c>
      <c r="L8" s="5" t="s">
        <v>80</v>
      </c>
      <c r="M8" s="6">
        <v>45488</v>
      </c>
      <c r="N8" s="5"/>
      <c r="O8" s="5"/>
      <c r="P8" s="5" t="s">
        <v>57</v>
      </c>
      <c r="Q8" s="5" t="s">
        <v>36</v>
      </c>
      <c r="R8" s="7" t="s">
        <v>37</v>
      </c>
      <c r="S8" s="5">
        <v>40</v>
      </c>
      <c r="T8" s="5" t="s">
        <v>38</v>
      </c>
      <c r="U8" s="8" t="str">
        <f t="shared" si="0"/>
        <v>US Non-Exempt EEs</v>
      </c>
      <c r="V8" s="8" t="str">
        <f t="shared" si="1"/>
        <v>US Non-California Non-Exempt</v>
      </c>
      <c r="W8" s="8" t="str">
        <f>_xlfn.XLOOKUP(X8,ShiftCodes[Code],ShiftCodes[Work Schedule],"Unknown code")</f>
        <v>Shift B – Swing (Mon–Fri 14:00–22:30)</v>
      </c>
      <c r="X8" s="9" t="s">
        <v>85</v>
      </c>
      <c r="Y8" s="5"/>
    </row>
    <row r="9" spans="1:25" ht="16" x14ac:dyDescent="0.2">
      <c r="A9" s="5" t="s">
        <v>86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43</v>
      </c>
      <c r="G9" s="5" t="s">
        <v>78</v>
      </c>
      <c r="H9" s="5" t="s">
        <v>79</v>
      </c>
      <c r="I9" s="5"/>
      <c r="J9" s="12">
        <v>80</v>
      </c>
      <c r="K9" s="5" t="s">
        <v>33</v>
      </c>
      <c r="L9" s="5" t="s">
        <v>80</v>
      </c>
      <c r="M9" s="6">
        <v>45545</v>
      </c>
      <c r="N9" s="6">
        <v>46312</v>
      </c>
      <c r="O9" s="5"/>
      <c r="P9" s="5" t="s">
        <v>45</v>
      </c>
      <c r="Q9" s="5" t="s">
        <v>46</v>
      </c>
      <c r="R9" s="7" t="s">
        <v>37</v>
      </c>
      <c r="S9" s="5">
        <v>40</v>
      </c>
      <c r="T9" s="5" t="s">
        <v>38</v>
      </c>
      <c r="U9" s="8" t="str">
        <f t="shared" si="0"/>
        <v>US Non-Exempt EEs</v>
      </c>
      <c r="V9" s="8" t="str">
        <f t="shared" si="1"/>
        <v>US California Non-Exempt</v>
      </c>
      <c r="W9" s="8" t="str">
        <f>_xlfn.XLOOKUP(X9,ShiftCodes[Code],ShiftCodes[Work Schedule],"Unknown code")</f>
        <v>Standard (Mon–Fri 9:00–17:30)</v>
      </c>
      <c r="X9" s="9" t="s">
        <v>39</v>
      </c>
      <c r="Y9" s="5" t="s">
        <v>87</v>
      </c>
    </row>
    <row r="10" spans="1:25" ht="16" x14ac:dyDescent="0.2">
      <c r="A10" s="5" t="s">
        <v>88</v>
      </c>
      <c r="B10" s="5" t="s">
        <v>89</v>
      </c>
      <c r="C10" s="5" t="s">
        <v>41</v>
      </c>
      <c r="D10" s="5" t="s">
        <v>90</v>
      </c>
      <c r="E10" s="5" t="s">
        <v>29</v>
      </c>
      <c r="F10" s="5" t="s">
        <v>53</v>
      </c>
      <c r="G10" s="5" t="s">
        <v>31</v>
      </c>
      <c r="H10" s="5" t="s">
        <v>8</v>
      </c>
      <c r="I10" s="5" t="s">
        <v>91</v>
      </c>
      <c r="J10" s="5"/>
      <c r="K10" s="5" t="s">
        <v>33</v>
      </c>
      <c r="L10" s="5" t="s">
        <v>34</v>
      </c>
      <c r="M10" s="6">
        <v>45383</v>
      </c>
      <c r="N10" s="5"/>
      <c r="O10" s="6">
        <v>46297</v>
      </c>
      <c r="P10" s="5" t="s">
        <v>92</v>
      </c>
      <c r="Q10" s="5" t="s">
        <v>93</v>
      </c>
      <c r="R10" s="7" t="s">
        <v>37</v>
      </c>
      <c r="S10" s="5">
        <v>40</v>
      </c>
      <c r="T10" s="5" t="s">
        <v>38</v>
      </c>
      <c r="U10" s="8" t="str">
        <f t="shared" si="0"/>
        <v/>
      </c>
      <c r="V10" s="8" t="str">
        <f t="shared" si="1"/>
        <v/>
      </c>
      <c r="W10" s="8" t="str">
        <f>_xlfn.XLOOKUP(X10,ShiftCodes[Code],ShiftCodes[Work Schedule],"Unknown code")</f>
        <v>Standard (Mon–Fri 9:00–17:30)</v>
      </c>
      <c r="X10" s="9" t="s">
        <v>39</v>
      </c>
      <c r="Y10" s="5"/>
    </row>
    <row r="11" spans="1:25" ht="16" x14ac:dyDescent="0.2">
      <c r="A11" s="13" t="s">
        <v>94</v>
      </c>
      <c r="B11" s="13" t="s">
        <v>60</v>
      </c>
      <c r="C11" s="13" t="s">
        <v>27</v>
      </c>
      <c r="D11" s="13" t="s">
        <v>28</v>
      </c>
      <c r="E11" s="13" t="s">
        <v>29</v>
      </c>
      <c r="F11" s="13" t="s">
        <v>53</v>
      </c>
      <c r="G11" s="13" t="s">
        <v>31</v>
      </c>
      <c r="H11" s="13" t="s">
        <v>8</v>
      </c>
      <c r="I11" s="13" t="s">
        <v>95</v>
      </c>
      <c r="J11" s="13"/>
      <c r="K11" s="13" t="s">
        <v>33</v>
      </c>
      <c r="L11" s="13" t="s">
        <v>34</v>
      </c>
      <c r="M11" s="14">
        <v>46316</v>
      </c>
      <c r="N11" s="13"/>
      <c r="O11" s="13"/>
      <c r="P11" s="13" t="s">
        <v>66</v>
      </c>
      <c r="Q11" s="13" t="s">
        <v>96</v>
      </c>
      <c r="R11" s="7" t="s">
        <v>37</v>
      </c>
      <c r="S11" s="5">
        <v>40</v>
      </c>
      <c r="T11" s="5" t="s">
        <v>38</v>
      </c>
      <c r="U11" s="8" t="str">
        <f t="shared" si="0"/>
        <v/>
      </c>
      <c r="V11" s="8" t="str">
        <f t="shared" si="1"/>
        <v/>
      </c>
      <c r="W11" s="8" t="str">
        <f>_xlfn.XLOOKUP(X11,ShiftCodes[Code],ShiftCodes[Work Schedule],"Unknown code")</f>
        <v>Standard (Mon–Fri 9:00–17:30)</v>
      </c>
      <c r="X11" s="9" t="s">
        <v>39</v>
      </c>
      <c r="Y11" s="5" t="s">
        <v>97</v>
      </c>
    </row>
    <row r="12" spans="1:25" ht="16" x14ac:dyDescent="0.2">
      <c r="A12" s="5" t="s">
        <v>98</v>
      </c>
      <c r="B12" s="5" t="s">
        <v>99</v>
      </c>
      <c r="C12" s="5" t="s">
        <v>100</v>
      </c>
      <c r="D12" s="5" t="s">
        <v>28</v>
      </c>
      <c r="E12" s="5" t="s">
        <v>29</v>
      </c>
      <c r="F12" s="5" t="s">
        <v>101</v>
      </c>
      <c r="G12" s="5" t="s">
        <v>31</v>
      </c>
      <c r="H12" s="5" t="s">
        <v>8</v>
      </c>
      <c r="I12" s="10">
        <v>383000</v>
      </c>
      <c r="J12" s="12"/>
      <c r="K12" s="5" t="s">
        <v>33</v>
      </c>
      <c r="L12" s="5" t="s">
        <v>34</v>
      </c>
      <c r="M12" s="6">
        <v>43472</v>
      </c>
      <c r="N12" s="6"/>
      <c r="O12" s="6"/>
      <c r="P12" s="5"/>
      <c r="Q12" s="5" t="s">
        <v>36</v>
      </c>
      <c r="R12" s="8" t="s">
        <v>37</v>
      </c>
      <c r="S12" s="5">
        <v>40</v>
      </c>
      <c r="T12" s="5" t="s">
        <v>38</v>
      </c>
      <c r="U12" s="8" t="str">
        <f t="shared" si="0"/>
        <v/>
      </c>
      <c r="V12" s="8" t="str">
        <f t="shared" si="1"/>
        <v/>
      </c>
      <c r="W12" s="8" t="str">
        <f>_xlfn.XLOOKUP(X12,ShiftCodes[Code],ShiftCodes[Work Schedule],"Unknown code")</f>
        <v>Standard (Mon–Fri 9:00–17:30)</v>
      </c>
      <c r="X12" s="9" t="s">
        <v>39</v>
      </c>
      <c r="Y12" s="5"/>
    </row>
    <row r="13" spans="1:25" ht="16" x14ac:dyDescent="0.2">
      <c r="A13" s="5" t="s">
        <v>102</v>
      </c>
      <c r="B13" s="5" t="s">
        <v>103</v>
      </c>
      <c r="C13" s="5" t="s">
        <v>100</v>
      </c>
      <c r="D13" s="5" t="s">
        <v>28</v>
      </c>
      <c r="E13" s="5" t="s">
        <v>29</v>
      </c>
      <c r="F13" s="5" t="s">
        <v>104</v>
      </c>
      <c r="G13" s="5" t="s">
        <v>31</v>
      </c>
      <c r="H13" s="5" t="s">
        <v>8</v>
      </c>
      <c r="I13" s="10">
        <v>370000</v>
      </c>
      <c r="J13" s="12"/>
      <c r="K13" s="5" t="s">
        <v>33</v>
      </c>
      <c r="L13" s="5" t="s">
        <v>34</v>
      </c>
      <c r="M13" s="6">
        <v>43892</v>
      </c>
      <c r="N13" s="6"/>
      <c r="O13" s="6"/>
      <c r="P13" s="5" t="s">
        <v>98</v>
      </c>
      <c r="Q13" s="5" t="s">
        <v>36</v>
      </c>
      <c r="R13" s="8" t="s">
        <v>37</v>
      </c>
      <c r="S13" s="5">
        <v>40</v>
      </c>
      <c r="T13" s="5" t="s">
        <v>38</v>
      </c>
      <c r="U13" s="8" t="str">
        <f t="shared" si="0"/>
        <v/>
      </c>
      <c r="V13" s="8" t="str">
        <f t="shared" si="1"/>
        <v/>
      </c>
      <c r="W13" s="8" t="str">
        <f>_xlfn.XLOOKUP(X13,ShiftCodes[Code],ShiftCodes[Work Schedule],"Unknown code")</f>
        <v>Standard (Mon–Fri 9:00–17:30)</v>
      </c>
      <c r="X13" s="9" t="s">
        <v>39</v>
      </c>
      <c r="Y13" s="5"/>
    </row>
    <row r="14" spans="1:25" ht="16" x14ac:dyDescent="0.2">
      <c r="A14" s="5" t="s">
        <v>105</v>
      </c>
      <c r="B14" s="5" t="s">
        <v>103</v>
      </c>
      <c r="C14" s="5" t="s">
        <v>106</v>
      </c>
      <c r="D14" s="5" t="s">
        <v>42</v>
      </c>
      <c r="E14" s="5" t="s">
        <v>29</v>
      </c>
      <c r="F14" s="5" t="s">
        <v>107</v>
      </c>
      <c r="G14" s="5" t="s">
        <v>31</v>
      </c>
      <c r="H14" s="5" t="s">
        <v>8</v>
      </c>
      <c r="I14" s="10">
        <v>295000</v>
      </c>
      <c r="J14" s="12"/>
      <c r="K14" s="5" t="s">
        <v>33</v>
      </c>
      <c r="L14" s="5" t="s">
        <v>34</v>
      </c>
      <c r="M14" s="6">
        <v>44022</v>
      </c>
      <c r="N14" s="6"/>
      <c r="O14" s="6"/>
      <c r="P14" s="5" t="s">
        <v>102</v>
      </c>
      <c r="Q14" s="5" t="s">
        <v>36</v>
      </c>
      <c r="R14" s="8" t="s">
        <v>37</v>
      </c>
      <c r="S14" s="5">
        <v>40</v>
      </c>
      <c r="T14" s="5" t="s">
        <v>38</v>
      </c>
      <c r="U14" s="8" t="str">
        <f t="shared" si="0"/>
        <v/>
      </c>
      <c r="V14" s="8" t="str">
        <f t="shared" si="1"/>
        <v/>
      </c>
      <c r="W14" s="8" t="str">
        <f>_xlfn.XLOOKUP(X14,ShiftCodes[Code],ShiftCodes[Work Schedule],"Unknown code")</f>
        <v>Standard (Mon–Fri 9:00–17:30)</v>
      </c>
      <c r="X14" s="9" t="s">
        <v>39</v>
      </c>
      <c r="Y14" s="5"/>
    </row>
    <row r="15" spans="1:25" ht="16" x14ac:dyDescent="0.2">
      <c r="A15" s="5" t="s">
        <v>108</v>
      </c>
      <c r="B15" s="5" t="s">
        <v>109</v>
      </c>
      <c r="C15" s="5" t="s">
        <v>110</v>
      </c>
      <c r="D15" s="5" t="s">
        <v>84</v>
      </c>
      <c r="E15" s="5" t="s">
        <v>29</v>
      </c>
      <c r="F15" s="5" t="s">
        <v>104</v>
      </c>
      <c r="G15" s="5" t="s">
        <v>31</v>
      </c>
      <c r="H15" s="5" t="s">
        <v>8</v>
      </c>
      <c r="I15" s="10">
        <v>345000</v>
      </c>
      <c r="J15" s="12"/>
      <c r="K15" s="5" t="s">
        <v>33</v>
      </c>
      <c r="L15" s="5" t="s">
        <v>34</v>
      </c>
      <c r="M15" s="6">
        <v>43983</v>
      </c>
      <c r="N15" s="6"/>
      <c r="O15" s="6"/>
      <c r="P15" s="5" t="s">
        <v>98</v>
      </c>
      <c r="Q15" s="5" t="s">
        <v>36</v>
      </c>
      <c r="R15" s="8" t="s">
        <v>37</v>
      </c>
      <c r="S15" s="5">
        <v>40</v>
      </c>
      <c r="T15" s="5" t="s">
        <v>38</v>
      </c>
      <c r="U15" s="8" t="str">
        <f t="shared" si="0"/>
        <v/>
      </c>
      <c r="V15" s="8" t="str">
        <f t="shared" si="1"/>
        <v/>
      </c>
      <c r="W15" s="8" t="str">
        <f>_xlfn.XLOOKUP(X15,ShiftCodes[Code],ShiftCodes[Work Schedule],"Unknown code")</f>
        <v>Standard (Mon–Fri 9:00–17:30)</v>
      </c>
      <c r="X15" s="9" t="s">
        <v>39</v>
      </c>
      <c r="Y15" s="5"/>
    </row>
    <row r="16" spans="1:25" ht="16" x14ac:dyDescent="0.2">
      <c r="A16" s="5" t="s">
        <v>111</v>
      </c>
      <c r="B16" s="5" t="s">
        <v>112</v>
      </c>
      <c r="C16" s="5" t="s">
        <v>113</v>
      </c>
      <c r="D16" s="5" t="s">
        <v>84</v>
      </c>
      <c r="E16" s="5" t="s">
        <v>29</v>
      </c>
      <c r="F16" s="5" t="s">
        <v>104</v>
      </c>
      <c r="G16" s="5" t="s">
        <v>31</v>
      </c>
      <c r="H16" s="5" t="s">
        <v>8</v>
      </c>
      <c r="I16" s="10">
        <v>340000</v>
      </c>
      <c r="J16" s="12"/>
      <c r="K16" s="5" t="s">
        <v>33</v>
      </c>
      <c r="L16" s="5" t="s">
        <v>34</v>
      </c>
      <c r="M16" s="6">
        <v>43864</v>
      </c>
      <c r="N16" s="6"/>
      <c r="O16" s="6"/>
      <c r="P16" s="5" t="s">
        <v>98</v>
      </c>
      <c r="Q16" s="5" t="s">
        <v>36</v>
      </c>
      <c r="R16" s="8" t="s">
        <v>37</v>
      </c>
      <c r="S16" s="5">
        <v>40</v>
      </c>
      <c r="T16" s="5" t="s">
        <v>38</v>
      </c>
      <c r="U16" s="8" t="str">
        <f t="shared" si="0"/>
        <v/>
      </c>
      <c r="V16" s="8" t="str">
        <f t="shared" si="1"/>
        <v/>
      </c>
      <c r="W16" s="8" t="str">
        <f>_xlfn.XLOOKUP(X16,ShiftCodes[Code],ShiftCodes[Work Schedule],"Unknown code")</f>
        <v>Standard (Mon–Fri 9:00–17:30)</v>
      </c>
      <c r="X16" s="9" t="s">
        <v>39</v>
      </c>
      <c r="Y16" s="5"/>
    </row>
    <row r="17" spans="1:25" ht="16" x14ac:dyDescent="0.2">
      <c r="A17" s="5" t="s">
        <v>114</v>
      </c>
      <c r="B17" s="5" t="s">
        <v>99</v>
      </c>
      <c r="C17" s="5" t="s">
        <v>100</v>
      </c>
      <c r="D17" s="5" t="s">
        <v>28</v>
      </c>
      <c r="E17" s="5" t="s">
        <v>29</v>
      </c>
      <c r="F17" s="5" t="s">
        <v>104</v>
      </c>
      <c r="G17" s="5" t="s">
        <v>31</v>
      </c>
      <c r="H17" s="5" t="s">
        <v>8</v>
      </c>
      <c r="I17" s="10">
        <v>265000</v>
      </c>
      <c r="J17" s="12"/>
      <c r="K17" s="5" t="s">
        <v>33</v>
      </c>
      <c r="L17" s="5" t="s">
        <v>34</v>
      </c>
      <c r="M17" s="6">
        <v>44088</v>
      </c>
      <c r="N17" s="6"/>
      <c r="O17" s="6"/>
      <c r="P17" s="5" t="s">
        <v>98</v>
      </c>
      <c r="Q17" s="5" t="s">
        <v>36</v>
      </c>
      <c r="R17" s="8" t="s">
        <v>37</v>
      </c>
      <c r="S17" s="5">
        <v>40</v>
      </c>
      <c r="T17" s="5" t="s">
        <v>38</v>
      </c>
      <c r="U17" s="8" t="str">
        <f t="shared" si="0"/>
        <v/>
      </c>
      <c r="V17" s="8" t="str">
        <f t="shared" si="1"/>
        <v/>
      </c>
      <c r="W17" s="8" t="str">
        <f>_xlfn.XLOOKUP(X17,ShiftCodes[Code],ShiftCodes[Work Schedule],"Unknown code")</f>
        <v>Standard (Mon–Fri 9:00–17:30)</v>
      </c>
      <c r="X17" s="9" t="s">
        <v>39</v>
      </c>
      <c r="Y17" s="5"/>
    </row>
    <row r="18" spans="1:25" ht="16" x14ac:dyDescent="0.2">
      <c r="A18" s="5" t="s">
        <v>115</v>
      </c>
      <c r="B18" s="5" t="s">
        <v>109</v>
      </c>
      <c r="C18" s="5" t="s">
        <v>100</v>
      </c>
      <c r="D18" s="5" t="s">
        <v>28</v>
      </c>
      <c r="E18" s="5" t="s">
        <v>29</v>
      </c>
      <c r="F18" s="5" t="s">
        <v>107</v>
      </c>
      <c r="G18" s="5" t="s">
        <v>31</v>
      </c>
      <c r="H18" s="5" t="s">
        <v>8</v>
      </c>
      <c r="I18" s="10">
        <v>308000</v>
      </c>
      <c r="J18" s="12"/>
      <c r="K18" s="5" t="s">
        <v>33</v>
      </c>
      <c r="L18" s="5" t="s">
        <v>34</v>
      </c>
      <c r="M18" s="6">
        <v>44111</v>
      </c>
      <c r="N18" s="6"/>
      <c r="O18" s="6"/>
      <c r="P18" s="5" t="s">
        <v>108</v>
      </c>
      <c r="Q18" s="5" t="s">
        <v>36</v>
      </c>
      <c r="R18" s="8" t="s">
        <v>37</v>
      </c>
      <c r="S18" s="5">
        <v>40</v>
      </c>
      <c r="T18" s="5" t="s">
        <v>38</v>
      </c>
      <c r="U18" s="8" t="str">
        <f t="shared" si="0"/>
        <v/>
      </c>
      <c r="V18" s="8" t="str">
        <f t="shared" si="1"/>
        <v/>
      </c>
      <c r="W18" s="8" t="str">
        <f>_xlfn.XLOOKUP(X18,ShiftCodes[Code],ShiftCodes[Work Schedule],"Unknown code")</f>
        <v>Standard (Mon–Fri 9:00–17:30)</v>
      </c>
      <c r="X18" s="9" t="s">
        <v>39</v>
      </c>
      <c r="Y18" s="5"/>
    </row>
    <row r="19" spans="1:25" ht="16" x14ac:dyDescent="0.2">
      <c r="A19" s="5" t="s">
        <v>116</v>
      </c>
      <c r="B19" s="5" t="s">
        <v>103</v>
      </c>
      <c r="C19" s="5" t="s">
        <v>100</v>
      </c>
      <c r="D19" s="5" t="s">
        <v>28</v>
      </c>
      <c r="E19" s="5" t="s">
        <v>29</v>
      </c>
      <c r="F19" s="5" t="s">
        <v>107</v>
      </c>
      <c r="G19" s="5" t="s">
        <v>31</v>
      </c>
      <c r="H19" s="5" t="s">
        <v>8</v>
      </c>
      <c r="I19" s="10">
        <v>267000</v>
      </c>
      <c r="J19" s="12"/>
      <c r="K19" s="5" t="s">
        <v>33</v>
      </c>
      <c r="L19" s="5" t="s">
        <v>34</v>
      </c>
      <c r="M19" s="6">
        <v>44149</v>
      </c>
      <c r="N19" s="6"/>
      <c r="O19" s="6"/>
      <c r="P19" s="5" t="s">
        <v>102</v>
      </c>
      <c r="Q19" s="5" t="s">
        <v>36</v>
      </c>
      <c r="R19" s="8" t="s">
        <v>37</v>
      </c>
      <c r="S19" s="5">
        <v>40</v>
      </c>
      <c r="T19" s="5" t="s">
        <v>38</v>
      </c>
      <c r="U19" s="8" t="str">
        <f t="shared" si="0"/>
        <v/>
      </c>
      <c r="V19" s="8" t="str">
        <f t="shared" si="1"/>
        <v/>
      </c>
      <c r="W19" s="8" t="str">
        <f>_xlfn.XLOOKUP(X19,ShiftCodes[Code],ShiftCodes[Work Schedule],"Unknown code")</f>
        <v>Standard (Mon–Fri 9:00–17:30)</v>
      </c>
      <c r="X19" s="9" t="s">
        <v>39</v>
      </c>
      <c r="Y19" s="5"/>
    </row>
    <row r="20" spans="1:25" ht="16" x14ac:dyDescent="0.2">
      <c r="A20" s="5" t="s">
        <v>117</v>
      </c>
      <c r="B20" s="5" t="s">
        <v>109</v>
      </c>
      <c r="C20" s="5" t="s">
        <v>76</v>
      </c>
      <c r="D20" s="5" t="s">
        <v>28</v>
      </c>
      <c r="E20" s="5" t="s">
        <v>29</v>
      </c>
      <c r="F20" s="5" t="s">
        <v>107</v>
      </c>
      <c r="G20" s="5" t="s">
        <v>31</v>
      </c>
      <c r="H20" s="5" t="s">
        <v>8</v>
      </c>
      <c r="I20" s="10">
        <v>287000</v>
      </c>
      <c r="J20" s="12"/>
      <c r="K20" s="5" t="s">
        <v>33</v>
      </c>
      <c r="L20" s="5" t="s">
        <v>34</v>
      </c>
      <c r="M20" s="6">
        <v>44210</v>
      </c>
      <c r="N20" s="6"/>
      <c r="O20" s="6"/>
      <c r="P20" s="5" t="s">
        <v>108</v>
      </c>
      <c r="Q20" s="5" t="s">
        <v>36</v>
      </c>
      <c r="R20" s="8" t="s">
        <v>37</v>
      </c>
      <c r="S20" s="5">
        <v>40</v>
      </c>
      <c r="T20" s="5" t="s">
        <v>38</v>
      </c>
      <c r="U20" s="8" t="str">
        <f t="shared" si="0"/>
        <v/>
      </c>
      <c r="V20" s="8" t="str">
        <f t="shared" si="1"/>
        <v/>
      </c>
      <c r="W20" s="8" t="str">
        <f>_xlfn.XLOOKUP(X20,ShiftCodes[Code],ShiftCodes[Work Schedule],"Unknown code")</f>
        <v>Standard (Mon–Fri 9:00–17:30)</v>
      </c>
      <c r="X20" s="9" t="s">
        <v>39</v>
      </c>
      <c r="Y20" s="5"/>
    </row>
    <row r="21" spans="1:25" ht="16" x14ac:dyDescent="0.2">
      <c r="A21" s="5" t="s">
        <v>118</v>
      </c>
      <c r="B21" s="5" t="s">
        <v>109</v>
      </c>
      <c r="C21" s="5" t="s">
        <v>76</v>
      </c>
      <c r="D21" s="5" t="s">
        <v>28</v>
      </c>
      <c r="E21" s="5" t="s">
        <v>29</v>
      </c>
      <c r="F21" s="5" t="s">
        <v>119</v>
      </c>
      <c r="G21" s="5" t="s">
        <v>31</v>
      </c>
      <c r="H21" s="5" t="s">
        <v>8</v>
      </c>
      <c r="I21" s="10">
        <v>241000</v>
      </c>
      <c r="J21" s="12"/>
      <c r="K21" s="5" t="s">
        <v>33</v>
      </c>
      <c r="L21" s="5" t="s">
        <v>34</v>
      </c>
      <c r="M21" s="6">
        <v>44277</v>
      </c>
      <c r="N21" s="6"/>
      <c r="O21" s="6"/>
      <c r="P21" s="5" t="s">
        <v>115</v>
      </c>
      <c r="Q21" s="5" t="s">
        <v>36</v>
      </c>
      <c r="R21" s="8" t="s">
        <v>37</v>
      </c>
      <c r="S21" s="5">
        <v>40</v>
      </c>
      <c r="T21" s="5" t="s">
        <v>38</v>
      </c>
      <c r="U21" s="8" t="str">
        <f t="shared" si="0"/>
        <v/>
      </c>
      <c r="V21" s="8" t="str">
        <f t="shared" si="1"/>
        <v/>
      </c>
      <c r="W21" s="8" t="str">
        <f>_xlfn.XLOOKUP(X21,ShiftCodes[Code],ShiftCodes[Work Schedule],"Unknown code")</f>
        <v>Standard (Mon–Fri 9:00–17:30)</v>
      </c>
      <c r="X21" s="9" t="s">
        <v>39</v>
      </c>
      <c r="Y21" s="5"/>
    </row>
    <row r="22" spans="1:25" ht="16" x14ac:dyDescent="0.2">
      <c r="A22" s="5" t="s">
        <v>120</v>
      </c>
      <c r="B22" s="5" t="s">
        <v>109</v>
      </c>
      <c r="C22" s="5" t="s">
        <v>113</v>
      </c>
      <c r="D22" s="5" t="s">
        <v>84</v>
      </c>
      <c r="E22" s="5" t="s">
        <v>29</v>
      </c>
      <c r="F22" s="5" t="s">
        <v>121</v>
      </c>
      <c r="G22" s="5" t="s">
        <v>78</v>
      </c>
      <c r="H22" s="5" t="s">
        <v>79</v>
      </c>
      <c r="I22" s="10"/>
      <c r="J22" s="12">
        <v>35</v>
      </c>
      <c r="K22" s="5" t="s">
        <v>33</v>
      </c>
      <c r="L22" s="5" t="s">
        <v>80</v>
      </c>
      <c r="M22" s="6">
        <v>44305</v>
      </c>
      <c r="N22" s="6"/>
      <c r="O22" s="6"/>
      <c r="P22" s="5" t="s">
        <v>118</v>
      </c>
      <c r="Q22" s="5" t="s">
        <v>36</v>
      </c>
      <c r="R22" s="8" t="s">
        <v>37</v>
      </c>
      <c r="S22" s="5">
        <v>40</v>
      </c>
      <c r="T22" s="5" t="s">
        <v>38</v>
      </c>
      <c r="U22" s="8" t="str">
        <f t="shared" si="0"/>
        <v>US Non-Exempt EEs</v>
      </c>
      <c r="V22" s="8" t="str">
        <f t="shared" si="1"/>
        <v>US Non-California Non-Exempt</v>
      </c>
      <c r="W22" s="8" t="str">
        <f>_xlfn.XLOOKUP(X22,ShiftCodes[Code],ShiftCodes[Work Schedule],"Unknown code")</f>
        <v>Shift B – Swing (Mon–Fri 14:00–22:30)</v>
      </c>
      <c r="X22" s="9" t="s">
        <v>85</v>
      </c>
      <c r="Y22" s="5"/>
    </row>
    <row r="23" spans="1:25" ht="16" x14ac:dyDescent="0.2">
      <c r="A23" s="5" t="s">
        <v>122</v>
      </c>
      <c r="B23" s="5" t="s">
        <v>103</v>
      </c>
      <c r="C23" s="5" t="s">
        <v>106</v>
      </c>
      <c r="D23" s="5" t="s">
        <v>42</v>
      </c>
      <c r="E23" s="5" t="s">
        <v>29</v>
      </c>
      <c r="F23" s="5" t="s">
        <v>119</v>
      </c>
      <c r="G23" s="5" t="s">
        <v>31</v>
      </c>
      <c r="H23" s="5" t="s">
        <v>8</v>
      </c>
      <c r="I23" s="10">
        <v>223000</v>
      </c>
      <c r="J23" s="12"/>
      <c r="K23" s="5" t="s">
        <v>33</v>
      </c>
      <c r="L23" s="5" t="s">
        <v>34</v>
      </c>
      <c r="M23" s="6">
        <v>44378</v>
      </c>
      <c r="N23" s="6"/>
      <c r="O23" s="6"/>
      <c r="P23" s="5" t="s">
        <v>105</v>
      </c>
      <c r="Q23" s="5" t="s">
        <v>36</v>
      </c>
      <c r="R23" s="8" t="s">
        <v>37</v>
      </c>
      <c r="S23" s="5">
        <v>40</v>
      </c>
      <c r="T23" s="5" t="s">
        <v>38</v>
      </c>
      <c r="U23" s="8" t="str">
        <f t="shared" si="0"/>
        <v/>
      </c>
      <c r="V23" s="8" t="str">
        <f t="shared" si="1"/>
        <v/>
      </c>
      <c r="W23" s="8" t="str">
        <f>_xlfn.XLOOKUP(X23,ShiftCodes[Code],ShiftCodes[Work Schedule],"Unknown code")</f>
        <v>Standard (Mon–Fri 9:00–17:30)</v>
      </c>
      <c r="X23" s="9" t="s">
        <v>39</v>
      </c>
      <c r="Y23" s="5"/>
    </row>
    <row r="24" spans="1:25" ht="16" x14ac:dyDescent="0.2">
      <c r="A24" s="5" t="s">
        <v>123</v>
      </c>
      <c r="B24" s="5" t="s">
        <v>103</v>
      </c>
      <c r="C24" s="5" t="s">
        <v>41</v>
      </c>
      <c r="D24" s="5" t="s">
        <v>42</v>
      </c>
      <c r="E24" s="5" t="s">
        <v>29</v>
      </c>
      <c r="F24" s="5" t="s">
        <v>124</v>
      </c>
      <c r="G24" s="5" t="s">
        <v>31</v>
      </c>
      <c r="H24" s="5" t="s">
        <v>8</v>
      </c>
      <c r="I24" s="10">
        <v>137000</v>
      </c>
      <c r="J24" s="12"/>
      <c r="K24" s="5" t="s">
        <v>33</v>
      </c>
      <c r="L24" s="5" t="s">
        <v>34</v>
      </c>
      <c r="M24" s="6">
        <v>44440</v>
      </c>
      <c r="N24" s="6">
        <v>46318</v>
      </c>
      <c r="O24" s="6"/>
      <c r="P24" s="5" t="s">
        <v>122</v>
      </c>
      <c r="Q24" s="5" t="s">
        <v>46</v>
      </c>
      <c r="R24" s="8" t="s">
        <v>37</v>
      </c>
      <c r="S24" s="5">
        <v>40</v>
      </c>
      <c r="T24" s="5" t="s">
        <v>38</v>
      </c>
      <c r="U24" s="8" t="str">
        <f t="shared" si="0"/>
        <v/>
      </c>
      <c r="V24" s="8" t="str">
        <f t="shared" si="1"/>
        <v/>
      </c>
      <c r="W24" s="8" t="str">
        <f>_xlfn.XLOOKUP(X24,ShiftCodes[Code],ShiftCodes[Work Schedule],"Unknown code")</f>
        <v>Standard (Mon–Fri 9:00–17:30)</v>
      </c>
      <c r="X24" s="9" t="s">
        <v>39</v>
      </c>
      <c r="Y24" s="5" t="s">
        <v>125</v>
      </c>
    </row>
    <row r="25" spans="1:25" ht="16" x14ac:dyDescent="0.2">
      <c r="A25" s="5" t="s">
        <v>126</v>
      </c>
      <c r="B25" s="5" t="s">
        <v>99</v>
      </c>
      <c r="C25" s="5" t="s">
        <v>127</v>
      </c>
      <c r="D25" s="5" t="s">
        <v>90</v>
      </c>
      <c r="E25" s="5" t="s">
        <v>29</v>
      </c>
      <c r="F25" s="5" t="s">
        <v>107</v>
      </c>
      <c r="G25" s="5" t="s">
        <v>31</v>
      </c>
      <c r="H25" s="5" t="s">
        <v>8</v>
      </c>
      <c r="I25" s="10">
        <v>257000</v>
      </c>
      <c r="J25" s="12"/>
      <c r="K25" s="5" t="s">
        <v>33</v>
      </c>
      <c r="L25" s="5" t="s">
        <v>34</v>
      </c>
      <c r="M25" s="6">
        <v>44455</v>
      </c>
      <c r="N25" s="6"/>
      <c r="O25" s="6"/>
      <c r="P25" s="5" t="s">
        <v>114</v>
      </c>
      <c r="Q25" s="5" t="s">
        <v>36</v>
      </c>
      <c r="R25" s="8" t="s">
        <v>37</v>
      </c>
      <c r="S25" s="5">
        <v>40</v>
      </c>
      <c r="T25" s="5" t="s">
        <v>38</v>
      </c>
      <c r="U25" s="8" t="str">
        <f t="shared" si="0"/>
        <v/>
      </c>
      <c r="V25" s="8" t="str">
        <f t="shared" si="1"/>
        <v/>
      </c>
      <c r="W25" s="8" t="str">
        <f>_xlfn.XLOOKUP(X25,ShiftCodes[Code],ShiftCodes[Work Schedule],"Unknown code")</f>
        <v>Standard (Mon–Fri 9:00–17:30)</v>
      </c>
      <c r="X25" s="9" t="s">
        <v>39</v>
      </c>
      <c r="Y25" s="5"/>
    </row>
    <row r="26" spans="1:25" ht="16" x14ac:dyDescent="0.2">
      <c r="A26" s="5" t="s">
        <v>128</v>
      </c>
      <c r="B26" s="5" t="s">
        <v>109</v>
      </c>
      <c r="C26" s="5" t="s">
        <v>76</v>
      </c>
      <c r="D26" s="5" t="s">
        <v>28</v>
      </c>
      <c r="E26" s="5" t="s">
        <v>29</v>
      </c>
      <c r="F26" s="5" t="s">
        <v>119</v>
      </c>
      <c r="G26" s="5" t="s">
        <v>31</v>
      </c>
      <c r="H26" s="5" t="s">
        <v>8</v>
      </c>
      <c r="I26" s="10">
        <v>213000</v>
      </c>
      <c r="J26" s="12"/>
      <c r="K26" s="5" t="s">
        <v>33</v>
      </c>
      <c r="L26" s="5" t="s">
        <v>34</v>
      </c>
      <c r="M26" s="6">
        <v>44461</v>
      </c>
      <c r="N26" s="6"/>
      <c r="O26" s="6"/>
      <c r="P26" s="5" t="s">
        <v>115</v>
      </c>
      <c r="Q26" s="5" t="s">
        <v>36</v>
      </c>
      <c r="R26" s="8" t="s">
        <v>37</v>
      </c>
      <c r="S26" s="5">
        <v>40</v>
      </c>
      <c r="T26" s="5" t="s">
        <v>38</v>
      </c>
      <c r="U26" s="8" t="str">
        <f t="shared" si="0"/>
        <v/>
      </c>
      <c r="V26" s="8" t="str">
        <f t="shared" si="1"/>
        <v/>
      </c>
      <c r="W26" s="8" t="str">
        <f>_xlfn.XLOOKUP(X26,ShiftCodes[Code],ShiftCodes[Work Schedule],"Unknown code")</f>
        <v>Standard (Mon–Fri 9:00–17:30)</v>
      </c>
      <c r="X26" s="9" t="s">
        <v>39</v>
      </c>
      <c r="Y26" s="5"/>
    </row>
    <row r="27" spans="1:25" ht="16" x14ac:dyDescent="0.2">
      <c r="A27" s="5" t="s">
        <v>129</v>
      </c>
      <c r="B27" s="5" t="s">
        <v>109</v>
      </c>
      <c r="C27" s="5" t="s">
        <v>76</v>
      </c>
      <c r="D27" s="5" t="s">
        <v>28</v>
      </c>
      <c r="E27" s="5" t="s">
        <v>29</v>
      </c>
      <c r="F27" s="5" t="s">
        <v>130</v>
      </c>
      <c r="G27" s="5" t="s">
        <v>78</v>
      </c>
      <c r="H27" s="5" t="s">
        <v>79</v>
      </c>
      <c r="I27" s="10"/>
      <c r="J27" s="12">
        <v>30</v>
      </c>
      <c r="K27" s="5" t="s">
        <v>33</v>
      </c>
      <c r="L27" s="5" t="s">
        <v>80</v>
      </c>
      <c r="M27" s="6">
        <v>44497</v>
      </c>
      <c r="N27" s="6"/>
      <c r="O27" s="6"/>
      <c r="P27" s="5" t="s">
        <v>128</v>
      </c>
      <c r="Q27" s="5" t="s">
        <v>36</v>
      </c>
      <c r="R27" s="8" t="s">
        <v>37</v>
      </c>
      <c r="S27" s="5">
        <v>40</v>
      </c>
      <c r="T27" s="5" t="s">
        <v>38</v>
      </c>
      <c r="U27" s="8" t="str">
        <f t="shared" si="0"/>
        <v>US Non-Exempt EEs</v>
      </c>
      <c r="V27" s="8" t="str">
        <f t="shared" si="1"/>
        <v>US California Non-Exempt</v>
      </c>
      <c r="W27" s="8" t="str">
        <f>_xlfn.XLOOKUP(X27,ShiftCodes[Code],ShiftCodes[Work Schedule],"Unknown code")</f>
        <v>Shift A – Day (Mon–Fri 06:00–14:30)</v>
      </c>
      <c r="X27" s="9" t="s">
        <v>81</v>
      </c>
      <c r="Y27" s="5"/>
    </row>
    <row r="28" spans="1:25" ht="16" x14ac:dyDescent="0.2">
      <c r="A28" s="5" t="s">
        <v>131</v>
      </c>
      <c r="B28" s="5" t="s">
        <v>109</v>
      </c>
      <c r="C28" s="5" t="s">
        <v>76</v>
      </c>
      <c r="D28" s="5" t="s">
        <v>28</v>
      </c>
      <c r="E28" s="5" t="s">
        <v>29</v>
      </c>
      <c r="F28" s="5" t="s">
        <v>132</v>
      </c>
      <c r="G28" s="5" t="s">
        <v>78</v>
      </c>
      <c r="H28" s="5" t="s">
        <v>79</v>
      </c>
      <c r="I28" s="10"/>
      <c r="J28" s="12">
        <v>42.5</v>
      </c>
      <c r="K28" s="5" t="s">
        <v>33</v>
      </c>
      <c r="L28" s="5" t="s">
        <v>80</v>
      </c>
      <c r="M28" s="6">
        <v>44629</v>
      </c>
      <c r="N28" s="6"/>
      <c r="O28" s="6"/>
      <c r="P28" s="5" t="s">
        <v>128</v>
      </c>
      <c r="Q28" s="5" t="s">
        <v>36</v>
      </c>
      <c r="R28" s="8" t="s">
        <v>37</v>
      </c>
      <c r="S28" s="5">
        <v>40</v>
      </c>
      <c r="T28" s="5" t="s">
        <v>38</v>
      </c>
      <c r="U28" s="8" t="str">
        <f t="shared" si="0"/>
        <v>US Non-Exempt EEs</v>
      </c>
      <c r="V28" s="8" t="str">
        <f t="shared" si="1"/>
        <v>US California Non-Exempt</v>
      </c>
      <c r="W28" s="8" t="str">
        <f>_xlfn.XLOOKUP(X28,ShiftCodes[Code],ShiftCodes[Work Schedule],"Unknown code")</f>
        <v>Shift B – Swing (Mon–Fri 14:00–22:30)</v>
      </c>
      <c r="X28" s="9" t="s">
        <v>85</v>
      </c>
      <c r="Y28" s="5"/>
    </row>
    <row r="29" spans="1:25" ht="16" x14ac:dyDescent="0.2">
      <c r="A29" s="5" t="s">
        <v>133</v>
      </c>
      <c r="B29" s="5" t="s">
        <v>112</v>
      </c>
      <c r="C29" s="5" t="s">
        <v>100</v>
      </c>
      <c r="D29" s="5" t="s">
        <v>28</v>
      </c>
      <c r="E29" s="5" t="s">
        <v>29</v>
      </c>
      <c r="F29" s="5" t="s">
        <v>107</v>
      </c>
      <c r="G29" s="5" t="s">
        <v>31</v>
      </c>
      <c r="H29" s="5" t="s">
        <v>8</v>
      </c>
      <c r="I29" s="10">
        <v>272000</v>
      </c>
      <c r="J29" s="12"/>
      <c r="K29" s="5" t="s">
        <v>33</v>
      </c>
      <c r="L29" s="5" t="s">
        <v>34</v>
      </c>
      <c r="M29" s="6">
        <v>44646</v>
      </c>
      <c r="N29" s="6"/>
      <c r="O29" s="6"/>
      <c r="P29" s="5" t="s">
        <v>111</v>
      </c>
      <c r="Q29" s="5" t="s">
        <v>36</v>
      </c>
      <c r="R29" s="8" t="s">
        <v>37</v>
      </c>
      <c r="S29" s="5">
        <v>40</v>
      </c>
      <c r="T29" s="5" t="s">
        <v>38</v>
      </c>
      <c r="U29" s="8" t="str">
        <f t="shared" si="0"/>
        <v/>
      </c>
      <c r="V29" s="8" t="str">
        <f t="shared" si="1"/>
        <v/>
      </c>
      <c r="W29" s="8" t="str">
        <f>_xlfn.XLOOKUP(X29,ShiftCodes[Code],ShiftCodes[Work Schedule],"Unknown code")</f>
        <v>Standard (Mon–Fri 9:00–17:30)</v>
      </c>
      <c r="X29" s="9" t="s">
        <v>39</v>
      </c>
      <c r="Y29" s="5"/>
    </row>
    <row r="30" spans="1:25" ht="16" x14ac:dyDescent="0.2">
      <c r="A30" s="5" t="s">
        <v>134</v>
      </c>
      <c r="B30" s="5" t="s">
        <v>109</v>
      </c>
      <c r="C30" s="5" t="s">
        <v>76</v>
      </c>
      <c r="D30" s="5" t="s">
        <v>28</v>
      </c>
      <c r="E30" s="5" t="s">
        <v>29</v>
      </c>
      <c r="F30" s="5" t="s">
        <v>121</v>
      </c>
      <c r="G30" s="5" t="s">
        <v>78</v>
      </c>
      <c r="H30" s="5" t="s">
        <v>79</v>
      </c>
      <c r="I30" s="10"/>
      <c r="J30" s="12">
        <v>34.5</v>
      </c>
      <c r="K30" s="5" t="s">
        <v>33</v>
      </c>
      <c r="L30" s="5" t="s">
        <v>80</v>
      </c>
      <c r="M30" s="6">
        <v>44657</v>
      </c>
      <c r="N30" s="6"/>
      <c r="O30" s="6"/>
      <c r="P30" s="5" t="s">
        <v>128</v>
      </c>
      <c r="Q30" s="5" t="s">
        <v>36</v>
      </c>
      <c r="R30" s="8" t="s">
        <v>37</v>
      </c>
      <c r="S30" s="5">
        <v>40</v>
      </c>
      <c r="T30" s="5" t="s">
        <v>38</v>
      </c>
      <c r="U30" s="8" t="str">
        <f t="shared" si="0"/>
        <v>US Non-Exempt EEs</v>
      </c>
      <c r="V30" s="8" t="str">
        <f t="shared" si="1"/>
        <v>US California Non-Exempt</v>
      </c>
      <c r="W30" s="8" t="str">
        <f>_xlfn.XLOOKUP(X30,ShiftCodes[Code],ShiftCodes[Work Schedule],"Unknown code")</f>
        <v>Shift B – Swing (Mon–Fri 14:00–22:30)</v>
      </c>
      <c r="X30" s="9" t="s">
        <v>85</v>
      </c>
      <c r="Y30" s="5"/>
    </row>
    <row r="31" spans="1:25" ht="16" x14ac:dyDescent="0.2">
      <c r="A31" s="5" t="s">
        <v>135</v>
      </c>
      <c r="B31" s="5" t="s">
        <v>99</v>
      </c>
      <c r="C31" s="5" t="s">
        <v>100</v>
      </c>
      <c r="D31" s="5" t="s">
        <v>28</v>
      </c>
      <c r="E31" s="5" t="s">
        <v>29</v>
      </c>
      <c r="F31" s="5" t="s">
        <v>107</v>
      </c>
      <c r="G31" s="5" t="s">
        <v>31</v>
      </c>
      <c r="H31" s="5" t="s">
        <v>8</v>
      </c>
      <c r="I31" s="10">
        <v>246000</v>
      </c>
      <c r="J31" s="12"/>
      <c r="K31" s="5" t="s">
        <v>33</v>
      </c>
      <c r="L31" s="5" t="s">
        <v>34</v>
      </c>
      <c r="M31" s="6">
        <v>44661</v>
      </c>
      <c r="N31" s="6"/>
      <c r="O31" s="6"/>
      <c r="P31" s="5" t="s">
        <v>114</v>
      </c>
      <c r="Q31" s="5" t="s">
        <v>36</v>
      </c>
      <c r="R31" s="8" t="s">
        <v>37</v>
      </c>
      <c r="S31" s="5">
        <v>40</v>
      </c>
      <c r="T31" s="5" t="s">
        <v>38</v>
      </c>
      <c r="U31" s="8" t="str">
        <f t="shared" si="0"/>
        <v/>
      </c>
      <c r="V31" s="8" t="str">
        <f t="shared" si="1"/>
        <v/>
      </c>
      <c r="W31" s="8" t="str">
        <f>_xlfn.XLOOKUP(X31,ShiftCodes[Code],ShiftCodes[Work Schedule],"Unknown code")</f>
        <v>Standard (Mon–Fri 9:00–17:30)</v>
      </c>
      <c r="X31" s="9" t="s">
        <v>39</v>
      </c>
      <c r="Y31" s="5"/>
    </row>
    <row r="32" spans="1:25" ht="16" x14ac:dyDescent="0.2">
      <c r="A32" s="5" t="s">
        <v>136</v>
      </c>
      <c r="B32" s="5" t="s">
        <v>103</v>
      </c>
      <c r="C32" s="5" t="s">
        <v>100</v>
      </c>
      <c r="D32" s="5" t="s">
        <v>28</v>
      </c>
      <c r="E32" s="5" t="s">
        <v>29</v>
      </c>
      <c r="F32" s="5" t="s">
        <v>119</v>
      </c>
      <c r="G32" s="5" t="s">
        <v>31</v>
      </c>
      <c r="H32" s="5" t="s">
        <v>8</v>
      </c>
      <c r="I32" s="10">
        <v>209000</v>
      </c>
      <c r="J32" s="12"/>
      <c r="K32" s="5" t="s">
        <v>33</v>
      </c>
      <c r="L32" s="5" t="s">
        <v>34</v>
      </c>
      <c r="M32" s="6">
        <v>44684</v>
      </c>
      <c r="N32" s="6"/>
      <c r="O32" s="6"/>
      <c r="P32" s="5" t="s">
        <v>116</v>
      </c>
      <c r="Q32" s="5" t="s">
        <v>36</v>
      </c>
      <c r="R32" s="8" t="s">
        <v>37</v>
      </c>
      <c r="S32" s="5">
        <v>40</v>
      </c>
      <c r="T32" s="5" t="s">
        <v>38</v>
      </c>
      <c r="U32" s="8" t="str">
        <f t="shared" si="0"/>
        <v/>
      </c>
      <c r="V32" s="8" t="str">
        <f t="shared" si="1"/>
        <v/>
      </c>
      <c r="W32" s="8" t="str">
        <f>_xlfn.XLOOKUP(X32,ShiftCodes[Code],ShiftCodes[Work Schedule],"Unknown code")</f>
        <v>Standard (Mon–Fri 9:00–17:30)</v>
      </c>
      <c r="X32" s="9" t="s">
        <v>39</v>
      </c>
      <c r="Y32" s="5"/>
    </row>
    <row r="33" spans="1:25" ht="16" x14ac:dyDescent="0.2">
      <c r="A33" s="5" t="s">
        <v>137</v>
      </c>
      <c r="B33" s="5" t="s">
        <v>109</v>
      </c>
      <c r="C33" s="5" t="s">
        <v>76</v>
      </c>
      <c r="D33" s="5" t="s">
        <v>28</v>
      </c>
      <c r="E33" s="5" t="s">
        <v>29</v>
      </c>
      <c r="F33" s="5" t="s">
        <v>130</v>
      </c>
      <c r="G33" s="5" t="s">
        <v>78</v>
      </c>
      <c r="H33" s="5" t="s">
        <v>79</v>
      </c>
      <c r="I33" s="10"/>
      <c r="J33" s="12">
        <v>31.75</v>
      </c>
      <c r="K33" s="5" t="s">
        <v>33</v>
      </c>
      <c r="L33" s="5" t="s">
        <v>80</v>
      </c>
      <c r="M33" s="6">
        <v>44684</v>
      </c>
      <c r="N33" s="6">
        <v>46308</v>
      </c>
      <c r="O33" s="6"/>
      <c r="P33" s="5" t="s">
        <v>128</v>
      </c>
      <c r="Q33" s="5" t="s">
        <v>46</v>
      </c>
      <c r="R33" s="8" t="s">
        <v>37</v>
      </c>
      <c r="S33" s="5">
        <v>40</v>
      </c>
      <c r="T33" s="5" t="s">
        <v>38</v>
      </c>
      <c r="U33" s="8" t="str">
        <f t="shared" si="0"/>
        <v>US Non-Exempt EEs</v>
      </c>
      <c r="V33" s="8" t="str">
        <f t="shared" si="1"/>
        <v>US California Non-Exempt</v>
      </c>
      <c r="W33" s="8" t="str">
        <f>_xlfn.XLOOKUP(X33,ShiftCodes[Code],ShiftCodes[Work Schedule],"Unknown code")</f>
        <v>Shift A – Day (Mon–Fri 06:00–14:30)</v>
      </c>
      <c r="X33" s="9" t="s">
        <v>81</v>
      </c>
      <c r="Y33" s="5" t="s">
        <v>138</v>
      </c>
    </row>
    <row r="34" spans="1:25" ht="16" x14ac:dyDescent="0.2">
      <c r="A34" s="5" t="s">
        <v>139</v>
      </c>
      <c r="B34" s="5" t="s">
        <v>109</v>
      </c>
      <c r="C34" s="5" t="s">
        <v>76</v>
      </c>
      <c r="D34" s="5" t="s">
        <v>28</v>
      </c>
      <c r="E34" s="5" t="s">
        <v>29</v>
      </c>
      <c r="F34" s="5" t="s">
        <v>130</v>
      </c>
      <c r="G34" s="5" t="s">
        <v>78</v>
      </c>
      <c r="H34" s="5" t="s">
        <v>79</v>
      </c>
      <c r="I34" s="10"/>
      <c r="J34" s="12">
        <v>28</v>
      </c>
      <c r="K34" s="5" t="s">
        <v>33</v>
      </c>
      <c r="L34" s="5" t="s">
        <v>80</v>
      </c>
      <c r="M34" s="6">
        <v>44725</v>
      </c>
      <c r="N34" s="6">
        <v>46312</v>
      </c>
      <c r="O34" s="6"/>
      <c r="P34" s="5" t="s">
        <v>128</v>
      </c>
      <c r="Q34" s="5" t="s">
        <v>46</v>
      </c>
      <c r="R34" s="8" t="s">
        <v>37</v>
      </c>
      <c r="S34" s="5">
        <v>24</v>
      </c>
      <c r="T34" s="5" t="s">
        <v>140</v>
      </c>
      <c r="U34" s="8" t="str">
        <f t="shared" si="0"/>
        <v>US Non-Exempt EEs</v>
      </c>
      <c r="V34" s="8" t="str">
        <f t="shared" si="1"/>
        <v>US California Non-Exempt</v>
      </c>
      <c r="W34" s="8" t="str">
        <f>_xlfn.XLOOKUP(X34,ShiftCodes[Code],ShiftCodes[Work Schedule],"Unknown code")</f>
        <v>Part-time – Day (Mon/Wed/Fri 06:00–14:30)</v>
      </c>
      <c r="X34" s="9" t="s">
        <v>141</v>
      </c>
      <c r="Y34" s="5" t="s">
        <v>142</v>
      </c>
    </row>
    <row r="35" spans="1:25" ht="16" x14ac:dyDescent="0.2">
      <c r="A35" s="5" t="s">
        <v>143</v>
      </c>
      <c r="B35" s="5" t="s">
        <v>112</v>
      </c>
      <c r="C35" s="5" t="s">
        <v>100</v>
      </c>
      <c r="D35" s="5" t="s">
        <v>28</v>
      </c>
      <c r="E35" s="5" t="s">
        <v>29</v>
      </c>
      <c r="F35" s="5" t="s">
        <v>119</v>
      </c>
      <c r="G35" s="5" t="s">
        <v>31</v>
      </c>
      <c r="H35" s="5" t="s">
        <v>8</v>
      </c>
      <c r="I35" s="10">
        <v>230000</v>
      </c>
      <c r="J35" s="12"/>
      <c r="K35" s="5" t="s">
        <v>33</v>
      </c>
      <c r="L35" s="5" t="s">
        <v>34</v>
      </c>
      <c r="M35" s="6">
        <v>44734</v>
      </c>
      <c r="N35" s="6"/>
      <c r="O35" s="6"/>
      <c r="P35" s="5" t="s">
        <v>133</v>
      </c>
      <c r="Q35" s="5" t="s">
        <v>36</v>
      </c>
      <c r="R35" s="8" t="s">
        <v>37</v>
      </c>
      <c r="S35" s="5">
        <v>40</v>
      </c>
      <c r="T35" s="5" t="s">
        <v>38</v>
      </c>
      <c r="U35" s="8" t="str">
        <f t="shared" si="0"/>
        <v/>
      </c>
      <c r="V35" s="8" t="str">
        <f t="shared" si="1"/>
        <v/>
      </c>
      <c r="W35" s="8" t="str">
        <f>_xlfn.XLOOKUP(X35,ShiftCodes[Code],ShiftCodes[Work Schedule],"Unknown code")</f>
        <v>Standard (Mon–Fri 9:00–17:30)</v>
      </c>
      <c r="X35" s="9" t="s">
        <v>39</v>
      </c>
      <c r="Y35" s="5"/>
    </row>
    <row r="36" spans="1:25" ht="16" x14ac:dyDescent="0.2">
      <c r="A36" s="5" t="s">
        <v>144</v>
      </c>
      <c r="B36" s="5" t="s">
        <v>112</v>
      </c>
      <c r="C36" s="5" t="s">
        <v>100</v>
      </c>
      <c r="D36" s="5" t="s">
        <v>28</v>
      </c>
      <c r="E36" s="5" t="s">
        <v>29</v>
      </c>
      <c r="F36" s="5" t="s">
        <v>124</v>
      </c>
      <c r="G36" s="5" t="s">
        <v>31</v>
      </c>
      <c r="H36" s="5" t="s">
        <v>8</v>
      </c>
      <c r="I36" s="10">
        <v>143000</v>
      </c>
      <c r="J36" s="12"/>
      <c r="K36" s="5" t="s">
        <v>33</v>
      </c>
      <c r="L36" s="5" t="s">
        <v>34</v>
      </c>
      <c r="M36" s="6">
        <v>44748</v>
      </c>
      <c r="N36" s="6"/>
      <c r="O36" s="6">
        <v>46316</v>
      </c>
      <c r="P36" s="5" t="s">
        <v>143</v>
      </c>
      <c r="Q36" s="5" t="s">
        <v>93</v>
      </c>
      <c r="R36" s="8" t="s">
        <v>37</v>
      </c>
      <c r="S36" s="5">
        <v>40</v>
      </c>
      <c r="T36" s="5" t="s">
        <v>38</v>
      </c>
      <c r="U36" s="8" t="str">
        <f t="shared" si="0"/>
        <v/>
      </c>
      <c r="V36" s="8" t="str">
        <f t="shared" si="1"/>
        <v/>
      </c>
      <c r="W36" s="8" t="str">
        <f>_xlfn.XLOOKUP(X36,ShiftCodes[Code],ShiftCodes[Work Schedule],"Unknown code")</f>
        <v>Standard (Mon–Fri 9:00–17:30)</v>
      </c>
      <c r="X36" s="9" t="s">
        <v>39</v>
      </c>
      <c r="Y36" s="5"/>
    </row>
    <row r="37" spans="1:25" ht="16" x14ac:dyDescent="0.2">
      <c r="A37" s="5" t="s">
        <v>145</v>
      </c>
      <c r="B37" s="5" t="s">
        <v>103</v>
      </c>
      <c r="C37" s="5" t="s">
        <v>106</v>
      </c>
      <c r="D37" s="5" t="s">
        <v>42</v>
      </c>
      <c r="E37" s="5" t="s">
        <v>29</v>
      </c>
      <c r="F37" s="5" t="s">
        <v>119</v>
      </c>
      <c r="G37" s="5" t="s">
        <v>31</v>
      </c>
      <c r="H37" s="5" t="s">
        <v>8</v>
      </c>
      <c r="I37" s="10">
        <v>223000</v>
      </c>
      <c r="J37" s="12"/>
      <c r="K37" s="5" t="s">
        <v>33</v>
      </c>
      <c r="L37" s="5" t="s">
        <v>34</v>
      </c>
      <c r="M37" s="6">
        <v>44806</v>
      </c>
      <c r="N37" s="6"/>
      <c r="O37" s="6"/>
      <c r="P37" s="5" t="s">
        <v>116</v>
      </c>
      <c r="Q37" s="5" t="s">
        <v>36</v>
      </c>
      <c r="R37" s="8" t="s">
        <v>37</v>
      </c>
      <c r="S37" s="5">
        <v>40</v>
      </c>
      <c r="T37" s="5" t="s">
        <v>38</v>
      </c>
      <c r="U37" s="8" t="str">
        <f t="shared" si="0"/>
        <v/>
      </c>
      <c r="V37" s="8" t="str">
        <f t="shared" si="1"/>
        <v/>
      </c>
      <c r="W37" s="8" t="str">
        <f>_xlfn.XLOOKUP(X37,ShiftCodes[Code],ShiftCodes[Work Schedule],"Unknown code")</f>
        <v>Standard (Mon–Fri 9:00–17:30)</v>
      </c>
      <c r="X37" s="9" t="s">
        <v>39</v>
      </c>
      <c r="Y37" s="5"/>
    </row>
    <row r="38" spans="1:25" ht="16" x14ac:dyDescent="0.2">
      <c r="A38" s="5" t="s">
        <v>146</v>
      </c>
      <c r="B38" s="5" t="s">
        <v>112</v>
      </c>
      <c r="C38" s="5" t="s">
        <v>106</v>
      </c>
      <c r="D38" s="5" t="s">
        <v>42</v>
      </c>
      <c r="E38" s="5" t="s">
        <v>29</v>
      </c>
      <c r="F38" s="5" t="s">
        <v>107</v>
      </c>
      <c r="G38" s="5" t="s">
        <v>31</v>
      </c>
      <c r="H38" s="5" t="s">
        <v>8</v>
      </c>
      <c r="I38" s="10">
        <v>255000</v>
      </c>
      <c r="J38" s="12"/>
      <c r="K38" s="5" t="s">
        <v>33</v>
      </c>
      <c r="L38" s="5" t="s">
        <v>34</v>
      </c>
      <c r="M38" s="6">
        <v>44816</v>
      </c>
      <c r="N38" s="6"/>
      <c r="O38" s="6"/>
      <c r="P38" s="5" t="s">
        <v>111</v>
      </c>
      <c r="Q38" s="5" t="s">
        <v>36</v>
      </c>
      <c r="R38" s="8" t="s">
        <v>37</v>
      </c>
      <c r="S38" s="5">
        <v>40</v>
      </c>
      <c r="T38" s="5" t="s">
        <v>38</v>
      </c>
      <c r="U38" s="8" t="str">
        <f t="shared" si="0"/>
        <v/>
      </c>
      <c r="V38" s="8" t="str">
        <f t="shared" si="1"/>
        <v/>
      </c>
      <c r="W38" s="8" t="str">
        <f>_xlfn.XLOOKUP(X38,ShiftCodes[Code],ShiftCodes[Work Schedule],"Unknown code")</f>
        <v>Standard (Mon–Fri 9:00–17:30)</v>
      </c>
      <c r="X38" s="9" t="s">
        <v>39</v>
      </c>
      <c r="Y38" s="5"/>
    </row>
    <row r="39" spans="1:25" ht="16" x14ac:dyDescent="0.2">
      <c r="A39" s="5" t="s">
        <v>147</v>
      </c>
      <c r="B39" s="5" t="s">
        <v>109</v>
      </c>
      <c r="C39" s="5" t="s">
        <v>76</v>
      </c>
      <c r="D39" s="5" t="s">
        <v>28</v>
      </c>
      <c r="E39" s="5" t="s">
        <v>29</v>
      </c>
      <c r="F39" s="5" t="s">
        <v>121</v>
      </c>
      <c r="G39" s="5" t="s">
        <v>78</v>
      </c>
      <c r="H39" s="5" t="s">
        <v>79</v>
      </c>
      <c r="I39" s="10"/>
      <c r="J39" s="12">
        <v>38.75</v>
      </c>
      <c r="K39" s="5" t="s">
        <v>33</v>
      </c>
      <c r="L39" s="5" t="s">
        <v>80</v>
      </c>
      <c r="M39" s="6">
        <v>44851</v>
      </c>
      <c r="N39" s="6"/>
      <c r="O39" s="6"/>
      <c r="P39" s="5" t="s">
        <v>128</v>
      </c>
      <c r="Q39" s="5" t="s">
        <v>36</v>
      </c>
      <c r="R39" s="8" t="s">
        <v>37</v>
      </c>
      <c r="S39" s="5">
        <v>40</v>
      </c>
      <c r="T39" s="5" t="s">
        <v>38</v>
      </c>
      <c r="U39" s="8" t="str">
        <f t="shared" si="0"/>
        <v>US Non-Exempt EEs</v>
      </c>
      <c r="V39" s="8" t="str">
        <f t="shared" si="1"/>
        <v>US California Non-Exempt</v>
      </c>
      <c r="W39" s="8" t="str">
        <f>_xlfn.XLOOKUP(X39,ShiftCodes[Code],ShiftCodes[Work Schedule],"Unknown code")</f>
        <v>Shift A – Day (Mon–Fri 06:00–14:30)</v>
      </c>
      <c r="X39" s="9" t="s">
        <v>81</v>
      </c>
      <c r="Y39" s="5"/>
    </row>
    <row r="40" spans="1:25" ht="16" x14ac:dyDescent="0.2">
      <c r="A40" s="5" t="s">
        <v>148</v>
      </c>
      <c r="B40" s="5" t="s">
        <v>112</v>
      </c>
      <c r="C40" s="5" t="s">
        <v>100</v>
      </c>
      <c r="D40" s="5" t="s">
        <v>28</v>
      </c>
      <c r="E40" s="5" t="s">
        <v>29</v>
      </c>
      <c r="F40" s="5" t="s">
        <v>149</v>
      </c>
      <c r="G40" s="5" t="s">
        <v>31</v>
      </c>
      <c r="H40" s="5" t="s">
        <v>8</v>
      </c>
      <c r="I40" s="10">
        <v>101000</v>
      </c>
      <c r="J40" s="12"/>
      <c r="K40" s="5" t="s">
        <v>33</v>
      </c>
      <c r="L40" s="5" t="s">
        <v>34</v>
      </c>
      <c r="M40" s="6">
        <v>44863</v>
      </c>
      <c r="N40" s="6"/>
      <c r="O40" s="6"/>
      <c r="P40" s="5" t="s">
        <v>143</v>
      </c>
      <c r="Q40" s="5" t="s">
        <v>36</v>
      </c>
      <c r="R40" s="8" t="s">
        <v>37</v>
      </c>
      <c r="S40" s="5">
        <v>40</v>
      </c>
      <c r="T40" s="5" t="s">
        <v>38</v>
      </c>
      <c r="U40" s="8" t="str">
        <f t="shared" si="0"/>
        <v/>
      </c>
      <c r="V40" s="8" t="str">
        <f t="shared" si="1"/>
        <v/>
      </c>
      <c r="W40" s="8" t="str">
        <f>_xlfn.XLOOKUP(X40,ShiftCodes[Code],ShiftCodes[Work Schedule],"Unknown code")</f>
        <v>Standard (Mon–Fri 9:00–17:30)</v>
      </c>
      <c r="X40" s="9" t="s">
        <v>39</v>
      </c>
      <c r="Y40" s="5"/>
    </row>
    <row r="41" spans="1:25" ht="16" x14ac:dyDescent="0.2">
      <c r="A41" s="5" t="s">
        <v>150</v>
      </c>
      <c r="B41" s="5" t="s">
        <v>109</v>
      </c>
      <c r="C41" s="5" t="s">
        <v>113</v>
      </c>
      <c r="D41" s="5" t="s">
        <v>84</v>
      </c>
      <c r="E41" s="5" t="s">
        <v>29</v>
      </c>
      <c r="F41" s="5" t="s">
        <v>130</v>
      </c>
      <c r="G41" s="5" t="s">
        <v>78</v>
      </c>
      <c r="H41" s="5" t="s">
        <v>79</v>
      </c>
      <c r="I41" s="10"/>
      <c r="J41" s="12">
        <v>28.5</v>
      </c>
      <c r="K41" s="5" t="s">
        <v>33</v>
      </c>
      <c r="L41" s="5" t="s">
        <v>80</v>
      </c>
      <c r="M41" s="6">
        <v>44871</v>
      </c>
      <c r="N41" s="6"/>
      <c r="O41" s="6"/>
      <c r="P41" s="5" t="s">
        <v>118</v>
      </c>
      <c r="Q41" s="5" t="s">
        <v>36</v>
      </c>
      <c r="R41" s="8" t="s">
        <v>37</v>
      </c>
      <c r="S41" s="5">
        <v>36</v>
      </c>
      <c r="T41" s="5" t="s">
        <v>38</v>
      </c>
      <c r="U41" s="8" t="str">
        <f t="shared" si="0"/>
        <v>US Non-Exempt EEs</v>
      </c>
      <c r="V41" s="8" t="str">
        <f t="shared" si="1"/>
        <v>US Non-California Non-Exempt</v>
      </c>
      <c r="W41" s="8" t="str">
        <f>_xlfn.XLOOKUP(X41,ShiftCodes[Code],ShiftCodes[Work Schedule],"Unknown code")</f>
        <v>Shift D – Weekend (Fri–Sun 06:00–18:30)</v>
      </c>
      <c r="X41" s="9" t="s">
        <v>151</v>
      </c>
      <c r="Y41" s="5"/>
    </row>
    <row r="42" spans="1:25" ht="16" x14ac:dyDescent="0.2">
      <c r="A42" s="5" t="s">
        <v>152</v>
      </c>
      <c r="B42" s="5" t="s">
        <v>99</v>
      </c>
      <c r="C42" s="5" t="s">
        <v>100</v>
      </c>
      <c r="D42" s="5" t="s">
        <v>28</v>
      </c>
      <c r="E42" s="5" t="s">
        <v>29</v>
      </c>
      <c r="F42" s="5" t="s">
        <v>107</v>
      </c>
      <c r="G42" s="5" t="s">
        <v>31</v>
      </c>
      <c r="H42" s="5" t="s">
        <v>8</v>
      </c>
      <c r="I42" s="10">
        <v>252000</v>
      </c>
      <c r="J42" s="12"/>
      <c r="K42" s="5" t="s">
        <v>33</v>
      </c>
      <c r="L42" s="5" t="s">
        <v>34</v>
      </c>
      <c r="M42" s="6">
        <v>44887</v>
      </c>
      <c r="N42" s="6"/>
      <c r="O42" s="6"/>
      <c r="P42" s="5" t="s">
        <v>114</v>
      </c>
      <c r="Q42" s="5" t="s">
        <v>36</v>
      </c>
      <c r="R42" s="8" t="s">
        <v>37</v>
      </c>
      <c r="S42" s="5">
        <v>40</v>
      </c>
      <c r="T42" s="5" t="s">
        <v>38</v>
      </c>
      <c r="U42" s="8" t="str">
        <f t="shared" si="0"/>
        <v/>
      </c>
      <c r="V42" s="8" t="str">
        <f t="shared" si="1"/>
        <v/>
      </c>
      <c r="W42" s="8" t="str">
        <f>_xlfn.XLOOKUP(X42,ShiftCodes[Code],ShiftCodes[Work Schedule],"Unknown code")</f>
        <v>Standard (Mon–Fri 9:00–17:30)</v>
      </c>
      <c r="X42" s="9" t="s">
        <v>39</v>
      </c>
      <c r="Y42" s="5"/>
    </row>
    <row r="43" spans="1:25" ht="16" x14ac:dyDescent="0.2">
      <c r="A43" s="5" t="s">
        <v>153</v>
      </c>
      <c r="B43" s="5" t="s">
        <v>103</v>
      </c>
      <c r="C43" s="5" t="s">
        <v>41</v>
      </c>
      <c r="D43" s="5" t="s">
        <v>154</v>
      </c>
      <c r="E43" s="5" t="s">
        <v>29</v>
      </c>
      <c r="F43" s="5" t="s">
        <v>149</v>
      </c>
      <c r="G43" s="5" t="s">
        <v>31</v>
      </c>
      <c r="H43" s="5" t="s">
        <v>8</v>
      </c>
      <c r="I43" s="10">
        <v>120000</v>
      </c>
      <c r="J43" s="12"/>
      <c r="K43" s="5" t="s">
        <v>33</v>
      </c>
      <c r="L43" s="5" t="s">
        <v>34</v>
      </c>
      <c r="M43" s="6">
        <v>44895</v>
      </c>
      <c r="N43" s="6"/>
      <c r="O43" s="6"/>
      <c r="P43" s="5" t="s">
        <v>122</v>
      </c>
      <c r="Q43" s="5" t="s">
        <v>36</v>
      </c>
      <c r="R43" s="8" t="s">
        <v>37</v>
      </c>
      <c r="S43" s="5">
        <v>40</v>
      </c>
      <c r="T43" s="5" t="s">
        <v>38</v>
      </c>
      <c r="U43" s="8" t="str">
        <f t="shared" si="0"/>
        <v/>
      </c>
      <c r="V43" s="8" t="str">
        <f t="shared" si="1"/>
        <v/>
      </c>
      <c r="W43" s="8" t="str">
        <f>_xlfn.XLOOKUP(X43,ShiftCodes[Code],ShiftCodes[Work Schedule],"Unknown code")</f>
        <v>Standard (Mon–Fri 9:00–17:30)</v>
      </c>
      <c r="X43" s="9" t="s">
        <v>39</v>
      </c>
      <c r="Y43" s="5"/>
    </row>
    <row r="44" spans="1:25" ht="16" x14ac:dyDescent="0.2">
      <c r="A44" s="5" t="s">
        <v>155</v>
      </c>
      <c r="B44" s="5" t="s">
        <v>103</v>
      </c>
      <c r="C44" s="5" t="s">
        <v>106</v>
      </c>
      <c r="D44" s="5" t="s">
        <v>42</v>
      </c>
      <c r="E44" s="5" t="s">
        <v>29</v>
      </c>
      <c r="F44" s="5" t="s">
        <v>156</v>
      </c>
      <c r="G44" s="5" t="s">
        <v>31</v>
      </c>
      <c r="H44" s="5" t="s">
        <v>8</v>
      </c>
      <c r="I44" s="10">
        <v>244000</v>
      </c>
      <c r="J44" s="12"/>
      <c r="K44" s="5" t="s">
        <v>33</v>
      </c>
      <c r="L44" s="5" t="s">
        <v>34</v>
      </c>
      <c r="M44" s="6">
        <v>44903</v>
      </c>
      <c r="N44" s="6"/>
      <c r="O44" s="6"/>
      <c r="P44" s="5" t="s">
        <v>145</v>
      </c>
      <c r="Q44" s="5" t="s">
        <v>36</v>
      </c>
      <c r="R44" s="8" t="s">
        <v>37</v>
      </c>
      <c r="S44" s="5">
        <v>40</v>
      </c>
      <c r="T44" s="5" t="s">
        <v>38</v>
      </c>
      <c r="U44" s="8" t="str">
        <f t="shared" si="0"/>
        <v/>
      </c>
      <c r="V44" s="8" t="str">
        <f t="shared" si="1"/>
        <v/>
      </c>
      <c r="W44" s="8" t="str">
        <f>_xlfn.XLOOKUP(X44,ShiftCodes[Code],ShiftCodes[Work Schedule],"Unknown code")</f>
        <v>Standard (Mon–Fri 9:00–17:30)</v>
      </c>
      <c r="X44" s="9" t="s">
        <v>39</v>
      </c>
      <c r="Y44" s="5"/>
    </row>
    <row r="45" spans="1:25" ht="16" x14ac:dyDescent="0.2">
      <c r="A45" s="5" t="s">
        <v>157</v>
      </c>
      <c r="B45" s="5" t="s">
        <v>109</v>
      </c>
      <c r="C45" s="5" t="s">
        <v>76</v>
      </c>
      <c r="D45" s="5" t="s">
        <v>28</v>
      </c>
      <c r="E45" s="5" t="s">
        <v>29</v>
      </c>
      <c r="F45" s="5" t="s">
        <v>130</v>
      </c>
      <c r="G45" s="5" t="s">
        <v>78</v>
      </c>
      <c r="H45" s="5" t="s">
        <v>79</v>
      </c>
      <c r="I45" s="10"/>
      <c r="J45" s="12">
        <v>26.75</v>
      </c>
      <c r="K45" s="5" t="s">
        <v>33</v>
      </c>
      <c r="L45" s="5" t="s">
        <v>80</v>
      </c>
      <c r="M45" s="6">
        <v>44904</v>
      </c>
      <c r="N45" s="6"/>
      <c r="O45" s="6"/>
      <c r="P45" s="5" t="s">
        <v>128</v>
      </c>
      <c r="Q45" s="5" t="s">
        <v>36</v>
      </c>
      <c r="R45" s="8" t="s">
        <v>37</v>
      </c>
      <c r="S45" s="5">
        <v>40</v>
      </c>
      <c r="T45" s="5" t="s">
        <v>38</v>
      </c>
      <c r="U45" s="8" t="str">
        <f t="shared" si="0"/>
        <v>US Non-Exempt EEs</v>
      </c>
      <c r="V45" s="8" t="str">
        <f t="shared" si="1"/>
        <v>US California Non-Exempt</v>
      </c>
      <c r="W45" s="8" t="str">
        <f>_xlfn.XLOOKUP(X45,ShiftCodes[Code],ShiftCodes[Work Schedule],"Unknown code")</f>
        <v>Shift A – Day (Mon–Fri 06:00–14:30)</v>
      </c>
      <c r="X45" s="9" t="s">
        <v>81</v>
      </c>
      <c r="Y45" s="5"/>
    </row>
    <row r="46" spans="1:25" ht="16" x14ac:dyDescent="0.2">
      <c r="A46" s="5" t="s">
        <v>158</v>
      </c>
      <c r="B46" s="5" t="s">
        <v>112</v>
      </c>
      <c r="C46" s="5" t="s">
        <v>41</v>
      </c>
      <c r="D46" s="5" t="s">
        <v>154</v>
      </c>
      <c r="E46" s="5" t="s">
        <v>29</v>
      </c>
      <c r="F46" s="5" t="s">
        <v>124</v>
      </c>
      <c r="G46" s="5" t="s">
        <v>31</v>
      </c>
      <c r="H46" s="5" t="s">
        <v>8</v>
      </c>
      <c r="I46" s="10">
        <v>130000</v>
      </c>
      <c r="J46" s="12"/>
      <c r="K46" s="5" t="s">
        <v>33</v>
      </c>
      <c r="L46" s="5" t="s">
        <v>34</v>
      </c>
      <c r="M46" s="6">
        <v>44920</v>
      </c>
      <c r="N46" s="6"/>
      <c r="O46" s="6"/>
      <c r="P46" s="5" t="s">
        <v>143</v>
      </c>
      <c r="Q46" s="5" t="s">
        <v>36</v>
      </c>
      <c r="R46" s="8" t="s">
        <v>37</v>
      </c>
      <c r="S46" s="5">
        <v>40</v>
      </c>
      <c r="T46" s="5" t="s">
        <v>38</v>
      </c>
      <c r="U46" s="8" t="str">
        <f t="shared" si="0"/>
        <v/>
      </c>
      <c r="V46" s="8" t="str">
        <f t="shared" si="1"/>
        <v/>
      </c>
      <c r="W46" s="8" t="str">
        <f>_xlfn.XLOOKUP(X46,ShiftCodes[Code],ShiftCodes[Work Schedule],"Unknown code")</f>
        <v>Standard (Mon–Fri 9:00–17:30)</v>
      </c>
      <c r="X46" s="9" t="s">
        <v>39</v>
      </c>
      <c r="Y46" s="5"/>
    </row>
    <row r="47" spans="1:25" ht="16" x14ac:dyDescent="0.2">
      <c r="A47" s="5" t="s">
        <v>159</v>
      </c>
      <c r="B47" s="5" t="s">
        <v>99</v>
      </c>
      <c r="C47" s="5" t="s">
        <v>41</v>
      </c>
      <c r="D47" s="5" t="s">
        <v>28</v>
      </c>
      <c r="E47" s="5" t="s">
        <v>29</v>
      </c>
      <c r="F47" s="5" t="s">
        <v>119</v>
      </c>
      <c r="G47" s="5" t="s">
        <v>31</v>
      </c>
      <c r="H47" s="5" t="s">
        <v>8</v>
      </c>
      <c r="I47" s="10">
        <v>190000</v>
      </c>
      <c r="J47" s="12"/>
      <c r="K47" s="5" t="s">
        <v>33</v>
      </c>
      <c r="L47" s="5" t="s">
        <v>34</v>
      </c>
      <c r="M47" s="6">
        <v>44961</v>
      </c>
      <c r="N47" s="6"/>
      <c r="O47" s="6"/>
      <c r="P47" s="5" t="s">
        <v>126</v>
      </c>
      <c r="Q47" s="5" t="s">
        <v>36</v>
      </c>
      <c r="R47" s="8" t="s">
        <v>37</v>
      </c>
      <c r="S47" s="5">
        <v>40</v>
      </c>
      <c r="T47" s="5" t="s">
        <v>38</v>
      </c>
      <c r="U47" s="8" t="str">
        <f t="shared" si="0"/>
        <v/>
      </c>
      <c r="V47" s="8" t="str">
        <f t="shared" si="1"/>
        <v/>
      </c>
      <c r="W47" s="8" t="str">
        <f>_xlfn.XLOOKUP(X47,ShiftCodes[Code],ShiftCodes[Work Schedule],"Unknown code")</f>
        <v>Standard (Mon–Fri 9:00–17:30)</v>
      </c>
      <c r="X47" s="9" t="s">
        <v>39</v>
      </c>
      <c r="Y47" s="5"/>
    </row>
    <row r="48" spans="1:25" ht="16" x14ac:dyDescent="0.2">
      <c r="A48" s="5" t="s">
        <v>160</v>
      </c>
      <c r="B48" s="5" t="s">
        <v>112</v>
      </c>
      <c r="C48" s="5" t="s">
        <v>100</v>
      </c>
      <c r="D48" s="5" t="s">
        <v>28</v>
      </c>
      <c r="E48" s="5" t="s">
        <v>29</v>
      </c>
      <c r="F48" s="5" t="s">
        <v>124</v>
      </c>
      <c r="G48" s="5" t="s">
        <v>31</v>
      </c>
      <c r="H48" s="5" t="s">
        <v>8</v>
      </c>
      <c r="I48" s="10">
        <v>124000</v>
      </c>
      <c r="J48" s="12"/>
      <c r="K48" s="5" t="s">
        <v>33</v>
      </c>
      <c r="L48" s="5" t="s">
        <v>34</v>
      </c>
      <c r="M48" s="6">
        <v>44987</v>
      </c>
      <c r="N48" s="6"/>
      <c r="O48" s="6"/>
      <c r="P48" s="5" t="s">
        <v>143</v>
      </c>
      <c r="Q48" s="5" t="s">
        <v>36</v>
      </c>
      <c r="R48" s="8" t="s">
        <v>37</v>
      </c>
      <c r="S48" s="5">
        <v>40</v>
      </c>
      <c r="T48" s="5" t="s">
        <v>38</v>
      </c>
      <c r="U48" s="8" t="str">
        <f t="shared" si="0"/>
        <v/>
      </c>
      <c r="V48" s="8" t="str">
        <f t="shared" si="1"/>
        <v/>
      </c>
      <c r="W48" s="8" t="str">
        <f>_xlfn.XLOOKUP(X48,ShiftCodes[Code],ShiftCodes[Work Schedule],"Unknown code")</f>
        <v>Standard (Mon–Fri 9:00–17:30)</v>
      </c>
      <c r="X48" s="9" t="s">
        <v>39</v>
      </c>
      <c r="Y48" s="5"/>
    </row>
    <row r="49" spans="1:25" ht="16" x14ac:dyDescent="0.2">
      <c r="A49" s="5" t="s">
        <v>161</v>
      </c>
      <c r="B49" s="5" t="s">
        <v>109</v>
      </c>
      <c r="C49" s="5" t="s">
        <v>76</v>
      </c>
      <c r="D49" s="5" t="s">
        <v>28</v>
      </c>
      <c r="E49" s="5" t="s">
        <v>29</v>
      </c>
      <c r="F49" s="5" t="s">
        <v>119</v>
      </c>
      <c r="G49" s="5" t="s">
        <v>31</v>
      </c>
      <c r="H49" s="5" t="s">
        <v>8</v>
      </c>
      <c r="I49" s="10">
        <v>227000</v>
      </c>
      <c r="J49" s="12"/>
      <c r="K49" s="5" t="s">
        <v>33</v>
      </c>
      <c r="L49" s="5" t="s">
        <v>34</v>
      </c>
      <c r="M49" s="6">
        <v>44987</v>
      </c>
      <c r="N49" s="6"/>
      <c r="O49" s="6"/>
      <c r="P49" s="5" t="s">
        <v>115</v>
      </c>
      <c r="Q49" s="5" t="s">
        <v>36</v>
      </c>
      <c r="R49" s="8" t="s">
        <v>37</v>
      </c>
      <c r="S49" s="5">
        <v>40</v>
      </c>
      <c r="T49" s="5" t="s">
        <v>38</v>
      </c>
      <c r="U49" s="8" t="str">
        <f t="shared" si="0"/>
        <v/>
      </c>
      <c r="V49" s="8" t="str">
        <f t="shared" si="1"/>
        <v/>
      </c>
      <c r="W49" s="8" t="str">
        <f>_xlfn.XLOOKUP(X49,ShiftCodes[Code],ShiftCodes[Work Schedule],"Unknown code")</f>
        <v>Standard (Mon–Fri 9:00–17:30)</v>
      </c>
      <c r="X49" s="9" t="s">
        <v>39</v>
      </c>
      <c r="Y49" s="5"/>
    </row>
    <row r="50" spans="1:25" ht="16" x14ac:dyDescent="0.2">
      <c r="A50" s="5" t="s">
        <v>162</v>
      </c>
      <c r="B50" s="5" t="s">
        <v>99</v>
      </c>
      <c r="C50" s="5" t="s">
        <v>41</v>
      </c>
      <c r="D50" s="5" t="s">
        <v>154</v>
      </c>
      <c r="E50" s="5" t="s">
        <v>29</v>
      </c>
      <c r="F50" s="5" t="s">
        <v>163</v>
      </c>
      <c r="G50" s="5" t="s">
        <v>31</v>
      </c>
      <c r="H50" s="5" t="s">
        <v>8</v>
      </c>
      <c r="I50" s="10">
        <v>145000</v>
      </c>
      <c r="J50" s="12"/>
      <c r="K50" s="5" t="s">
        <v>33</v>
      </c>
      <c r="L50" s="5" t="s">
        <v>34</v>
      </c>
      <c r="M50" s="6">
        <v>45004</v>
      </c>
      <c r="N50" s="6"/>
      <c r="O50" s="6"/>
      <c r="P50" s="5" t="s">
        <v>159</v>
      </c>
      <c r="Q50" s="5" t="s">
        <v>36</v>
      </c>
      <c r="R50" s="8" t="s">
        <v>37</v>
      </c>
      <c r="S50" s="5">
        <v>40</v>
      </c>
      <c r="T50" s="5" t="s">
        <v>38</v>
      </c>
      <c r="U50" s="8" t="str">
        <f t="shared" si="0"/>
        <v/>
      </c>
      <c r="V50" s="8" t="str">
        <f t="shared" si="1"/>
        <v/>
      </c>
      <c r="W50" s="8" t="str">
        <f>_xlfn.XLOOKUP(X50,ShiftCodes[Code],ShiftCodes[Work Schedule],"Unknown code")</f>
        <v>Standard (Mon–Fri 9:00–17:30)</v>
      </c>
      <c r="X50" s="9" t="s">
        <v>39</v>
      </c>
      <c r="Y50" s="5"/>
    </row>
    <row r="51" spans="1:25" ht="16" x14ac:dyDescent="0.2">
      <c r="A51" s="5" t="s">
        <v>164</v>
      </c>
      <c r="B51" s="5" t="s">
        <v>103</v>
      </c>
      <c r="C51" s="5" t="s">
        <v>41</v>
      </c>
      <c r="D51" s="5" t="s">
        <v>84</v>
      </c>
      <c r="E51" s="5" t="s">
        <v>29</v>
      </c>
      <c r="F51" s="5" t="s">
        <v>165</v>
      </c>
      <c r="G51" s="5" t="s">
        <v>31</v>
      </c>
      <c r="H51" s="5" t="s">
        <v>8</v>
      </c>
      <c r="I51" s="10">
        <v>180000</v>
      </c>
      <c r="J51" s="12"/>
      <c r="K51" s="5" t="s">
        <v>33</v>
      </c>
      <c r="L51" s="5" t="s">
        <v>34</v>
      </c>
      <c r="M51" s="6">
        <v>45014</v>
      </c>
      <c r="N51" s="6"/>
      <c r="O51" s="6"/>
      <c r="P51" s="5" t="s">
        <v>136</v>
      </c>
      <c r="Q51" s="5" t="s">
        <v>36</v>
      </c>
      <c r="R51" s="8" t="s">
        <v>37</v>
      </c>
      <c r="S51" s="5">
        <v>40</v>
      </c>
      <c r="T51" s="5" t="s">
        <v>38</v>
      </c>
      <c r="U51" s="8" t="str">
        <f t="shared" si="0"/>
        <v/>
      </c>
      <c r="V51" s="8" t="str">
        <f t="shared" si="1"/>
        <v/>
      </c>
      <c r="W51" s="8" t="str">
        <f>_xlfn.XLOOKUP(X51,ShiftCodes[Code],ShiftCodes[Work Schedule],"Unknown code")</f>
        <v>Standard (Mon–Fri 9:00–17:30)</v>
      </c>
      <c r="X51" s="9" t="s">
        <v>39</v>
      </c>
      <c r="Y51" s="5"/>
    </row>
    <row r="52" spans="1:25" ht="16" x14ac:dyDescent="0.2">
      <c r="A52" s="5" t="s">
        <v>166</v>
      </c>
      <c r="B52" s="5" t="s">
        <v>109</v>
      </c>
      <c r="C52" s="5" t="s">
        <v>113</v>
      </c>
      <c r="D52" s="5" t="s">
        <v>84</v>
      </c>
      <c r="E52" s="5" t="s">
        <v>29</v>
      </c>
      <c r="F52" s="5" t="s">
        <v>130</v>
      </c>
      <c r="G52" s="5" t="s">
        <v>78</v>
      </c>
      <c r="H52" s="5" t="s">
        <v>79</v>
      </c>
      <c r="I52" s="10"/>
      <c r="J52" s="12">
        <v>24.75</v>
      </c>
      <c r="K52" s="5" t="s">
        <v>33</v>
      </c>
      <c r="L52" s="5" t="s">
        <v>80</v>
      </c>
      <c r="M52" s="6">
        <v>45037</v>
      </c>
      <c r="N52" s="6">
        <v>46312</v>
      </c>
      <c r="O52" s="6"/>
      <c r="P52" s="5" t="s">
        <v>118</v>
      </c>
      <c r="Q52" s="5" t="s">
        <v>46</v>
      </c>
      <c r="R52" s="8" t="s">
        <v>37</v>
      </c>
      <c r="S52" s="5">
        <v>36</v>
      </c>
      <c r="T52" s="5" t="s">
        <v>38</v>
      </c>
      <c r="U52" s="8" t="str">
        <f t="shared" si="0"/>
        <v>US Non-Exempt EEs</v>
      </c>
      <c r="V52" s="8" t="str">
        <f t="shared" si="1"/>
        <v>US Non-California Non-Exempt</v>
      </c>
      <c r="W52" s="8" t="str">
        <f>_xlfn.XLOOKUP(X52,ShiftCodes[Code],ShiftCodes[Work Schedule],"Unknown code")</f>
        <v>Shift D – Weekend (Fri–Sun 06:00–18:30)</v>
      </c>
      <c r="X52" s="9" t="s">
        <v>151</v>
      </c>
      <c r="Y52" s="5" t="s">
        <v>142</v>
      </c>
    </row>
    <row r="53" spans="1:25" ht="16" x14ac:dyDescent="0.2">
      <c r="A53" s="5" t="s">
        <v>167</v>
      </c>
      <c r="B53" s="5" t="s">
        <v>112</v>
      </c>
      <c r="C53" s="5" t="s">
        <v>100</v>
      </c>
      <c r="D53" s="5" t="s">
        <v>28</v>
      </c>
      <c r="E53" s="5" t="s">
        <v>29</v>
      </c>
      <c r="F53" s="5" t="s">
        <v>124</v>
      </c>
      <c r="G53" s="5" t="s">
        <v>31</v>
      </c>
      <c r="H53" s="5" t="s">
        <v>8</v>
      </c>
      <c r="I53" s="10">
        <v>144000</v>
      </c>
      <c r="J53" s="12"/>
      <c r="K53" s="5" t="s">
        <v>33</v>
      </c>
      <c r="L53" s="5" t="s">
        <v>34</v>
      </c>
      <c r="M53" s="6">
        <v>45038</v>
      </c>
      <c r="N53" s="6"/>
      <c r="O53" s="6"/>
      <c r="P53" s="5" t="s">
        <v>143</v>
      </c>
      <c r="Q53" s="5" t="s">
        <v>36</v>
      </c>
      <c r="R53" s="8" t="s">
        <v>37</v>
      </c>
      <c r="S53" s="5">
        <v>40</v>
      </c>
      <c r="T53" s="5" t="s">
        <v>38</v>
      </c>
      <c r="U53" s="8" t="str">
        <f t="shared" si="0"/>
        <v/>
      </c>
      <c r="V53" s="8" t="str">
        <f t="shared" si="1"/>
        <v/>
      </c>
      <c r="W53" s="8" t="str">
        <f>_xlfn.XLOOKUP(X53,ShiftCodes[Code],ShiftCodes[Work Schedule],"Unknown code")</f>
        <v>Standard (Mon–Fri 9:00–17:30)</v>
      </c>
      <c r="X53" s="9" t="s">
        <v>39</v>
      </c>
      <c r="Y53" s="5"/>
    </row>
    <row r="54" spans="1:25" ht="16" x14ac:dyDescent="0.2">
      <c r="A54" s="5" t="s">
        <v>168</v>
      </c>
      <c r="B54" s="5" t="s">
        <v>109</v>
      </c>
      <c r="C54" s="5" t="s">
        <v>76</v>
      </c>
      <c r="D54" s="5" t="s">
        <v>28</v>
      </c>
      <c r="E54" s="5" t="s">
        <v>29</v>
      </c>
      <c r="F54" s="5" t="s">
        <v>121</v>
      </c>
      <c r="G54" s="5" t="s">
        <v>78</v>
      </c>
      <c r="H54" s="5" t="s">
        <v>79</v>
      </c>
      <c r="I54" s="10"/>
      <c r="J54" s="12">
        <v>40</v>
      </c>
      <c r="K54" s="5" t="s">
        <v>33</v>
      </c>
      <c r="L54" s="5" t="s">
        <v>80</v>
      </c>
      <c r="M54" s="6">
        <v>45048</v>
      </c>
      <c r="N54" s="6"/>
      <c r="O54" s="6"/>
      <c r="P54" s="5" t="s">
        <v>161</v>
      </c>
      <c r="Q54" s="5" t="s">
        <v>36</v>
      </c>
      <c r="R54" s="8" t="s">
        <v>37</v>
      </c>
      <c r="S54" s="5">
        <v>36</v>
      </c>
      <c r="T54" s="5" t="s">
        <v>38</v>
      </c>
      <c r="U54" s="8" t="str">
        <f t="shared" si="0"/>
        <v>US Non-Exempt EEs</v>
      </c>
      <c r="V54" s="8" t="str">
        <f t="shared" si="1"/>
        <v>US California Non-Exempt</v>
      </c>
      <c r="W54" s="8" t="str">
        <f>_xlfn.XLOOKUP(X54,ShiftCodes[Code],ShiftCodes[Work Schedule],"Unknown code")</f>
        <v>Shift D – Weekend (Fri–Sun 06:00–18:30)</v>
      </c>
      <c r="X54" s="9" t="s">
        <v>151</v>
      </c>
      <c r="Y54" s="5"/>
    </row>
    <row r="55" spans="1:25" ht="16" x14ac:dyDescent="0.2">
      <c r="A55" s="5" t="s">
        <v>169</v>
      </c>
      <c r="B55" s="5" t="s">
        <v>112</v>
      </c>
      <c r="C55" s="5" t="s">
        <v>68</v>
      </c>
      <c r="D55" s="5" t="s">
        <v>69</v>
      </c>
      <c r="E55" s="5" t="s">
        <v>70</v>
      </c>
      <c r="F55" s="5" t="s">
        <v>107</v>
      </c>
      <c r="G55" s="5" t="s">
        <v>31</v>
      </c>
      <c r="H55" s="5" t="s">
        <v>8</v>
      </c>
      <c r="I55" s="15">
        <v>9110000</v>
      </c>
      <c r="J55" s="16"/>
      <c r="K55" s="5" t="s">
        <v>72</v>
      </c>
      <c r="L55" s="5" t="s">
        <v>73</v>
      </c>
      <c r="M55" s="6">
        <v>45054</v>
      </c>
      <c r="N55" s="6"/>
      <c r="O55" s="6"/>
      <c r="P55" s="5" t="s">
        <v>111</v>
      </c>
      <c r="Q55" s="5" t="s">
        <v>36</v>
      </c>
      <c r="R55" s="8" t="s">
        <v>37</v>
      </c>
      <c r="S55" s="5">
        <v>40</v>
      </c>
      <c r="T55" s="5" t="s">
        <v>38</v>
      </c>
      <c r="U55" s="8" t="str">
        <f t="shared" si="0"/>
        <v/>
      </c>
      <c r="V55" s="8" t="str">
        <f t="shared" si="1"/>
        <v/>
      </c>
      <c r="W55" s="8" t="str">
        <f>_xlfn.XLOOKUP(X55,ShiftCodes[Code],ShiftCodes[Work Schedule],"Unknown code")</f>
        <v>Standard (Mon–Fri 9:00–17:30)</v>
      </c>
      <c r="X55" s="9" t="s">
        <v>39</v>
      </c>
      <c r="Y55" s="5"/>
    </row>
    <row r="56" spans="1:25" ht="16" x14ac:dyDescent="0.2">
      <c r="A56" s="5" t="s">
        <v>170</v>
      </c>
      <c r="B56" s="5" t="s">
        <v>103</v>
      </c>
      <c r="C56" s="5" t="s">
        <v>106</v>
      </c>
      <c r="D56" s="5" t="s">
        <v>42</v>
      </c>
      <c r="E56" s="5" t="s">
        <v>29</v>
      </c>
      <c r="F56" s="5" t="s">
        <v>163</v>
      </c>
      <c r="G56" s="5" t="s">
        <v>31</v>
      </c>
      <c r="H56" s="5" t="s">
        <v>8</v>
      </c>
      <c r="I56" s="10">
        <v>163000</v>
      </c>
      <c r="J56" s="12"/>
      <c r="K56" s="5" t="s">
        <v>33</v>
      </c>
      <c r="L56" s="5" t="s">
        <v>34</v>
      </c>
      <c r="M56" s="6">
        <v>45087</v>
      </c>
      <c r="N56" s="6"/>
      <c r="O56" s="6"/>
      <c r="P56" s="5" t="s">
        <v>145</v>
      </c>
      <c r="Q56" s="5" t="s">
        <v>36</v>
      </c>
      <c r="R56" s="8" t="s">
        <v>37</v>
      </c>
      <c r="S56" s="5">
        <v>40</v>
      </c>
      <c r="T56" s="5" t="s">
        <v>38</v>
      </c>
      <c r="U56" s="8" t="str">
        <f t="shared" si="0"/>
        <v/>
      </c>
      <c r="V56" s="8" t="str">
        <f t="shared" si="1"/>
        <v/>
      </c>
      <c r="W56" s="8" t="str">
        <f>_xlfn.XLOOKUP(X56,ShiftCodes[Code],ShiftCodes[Work Schedule],"Unknown code")</f>
        <v>Standard (Mon–Fri 9:00–17:30)</v>
      </c>
      <c r="X56" s="9" t="s">
        <v>39</v>
      </c>
      <c r="Y56" s="5"/>
    </row>
    <row r="57" spans="1:25" ht="16" x14ac:dyDescent="0.2">
      <c r="A57" s="5" t="s">
        <v>171</v>
      </c>
      <c r="B57" s="5" t="s">
        <v>99</v>
      </c>
      <c r="C57" s="5" t="s">
        <v>68</v>
      </c>
      <c r="D57" s="5" t="s">
        <v>69</v>
      </c>
      <c r="E57" s="5" t="s">
        <v>70</v>
      </c>
      <c r="F57" s="5" t="s">
        <v>119</v>
      </c>
      <c r="G57" s="5" t="s">
        <v>31</v>
      </c>
      <c r="H57" s="5" t="s">
        <v>8</v>
      </c>
      <c r="I57" s="15">
        <v>6170000</v>
      </c>
      <c r="J57" s="16"/>
      <c r="K57" s="5" t="s">
        <v>72</v>
      </c>
      <c r="L57" s="5" t="s">
        <v>73</v>
      </c>
      <c r="M57" s="6">
        <v>45095</v>
      </c>
      <c r="N57" s="6"/>
      <c r="O57" s="6"/>
      <c r="P57" s="5" t="s">
        <v>152</v>
      </c>
      <c r="Q57" s="5" t="s">
        <v>36</v>
      </c>
      <c r="R57" s="8" t="s">
        <v>37</v>
      </c>
      <c r="S57" s="5">
        <v>40</v>
      </c>
      <c r="T57" s="5" t="s">
        <v>38</v>
      </c>
      <c r="U57" s="8" t="str">
        <f t="shared" si="0"/>
        <v/>
      </c>
      <c r="V57" s="8" t="str">
        <f t="shared" si="1"/>
        <v/>
      </c>
      <c r="W57" s="8" t="str">
        <f>_xlfn.XLOOKUP(X57,ShiftCodes[Code],ShiftCodes[Work Schedule],"Unknown code")</f>
        <v>Standard (Mon–Fri 9:00–17:30)</v>
      </c>
      <c r="X57" s="9" t="s">
        <v>39</v>
      </c>
      <c r="Y57" s="5"/>
    </row>
    <row r="58" spans="1:25" ht="16" x14ac:dyDescent="0.2">
      <c r="A58" s="5" t="s">
        <v>172</v>
      </c>
      <c r="B58" s="5" t="s">
        <v>103</v>
      </c>
      <c r="C58" s="5" t="s">
        <v>100</v>
      </c>
      <c r="D58" s="5" t="s">
        <v>28</v>
      </c>
      <c r="E58" s="5" t="s">
        <v>29</v>
      </c>
      <c r="F58" s="5" t="s">
        <v>149</v>
      </c>
      <c r="G58" s="5" t="s">
        <v>31</v>
      </c>
      <c r="H58" s="5" t="s">
        <v>8</v>
      </c>
      <c r="I58" s="10">
        <v>101000</v>
      </c>
      <c r="J58" s="12"/>
      <c r="K58" s="5" t="s">
        <v>33</v>
      </c>
      <c r="L58" s="5" t="s">
        <v>34</v>
      </c>
      <c r="M58" s="6">
        <v>45108</v>
      </c>
      <c r="N58" s="6"/>
      <c r="O58" s="6"/>
      <c r="P58" s="5" t="s">
        <v>136</v>
      </c>
      <c r="Q58" s="5" t="s">
        <v>36</v>
      </c>
      <c r="R58" s="8" t="s">
        <v>37</v>
      </c>
      <c r="S58" s="5">
        <v>40</v>
      </c>
      <c r="T58" s="5" t="s">
        <v>38</v>
      </c>
      <c r="U58" s="8" t="str">
        <f t="shared" si="0"/>
        <v/>
      </c>
      <c r="V58" s="8" t="str">
        <f t="shared" si="1"/>
        <v/>
      </c>
      <c r="W58" s="8" t="str">
        <f>_xlfn.XLOOKUP(X58,ShiftCodes[Code],ShiftCodes[Work Schedule],"Unknown code")</f>
        <v>Standard (Mon–Fri 9:00–17:30)</v>
      </c>
      <c r="X58" s="9" t="s">
        <v>39</v>
      </c>
      <c r="Y58" s="5"/>
    </row>
    <row r="59" spans="1:25" ht="16" x14ac:dyDescent="0.2">
      <c r="A59" s="5" t="s">
        <v>173</v>
      </c>
      <c r="B59" s="5" t="s">
        <v>99</v>
      </c>
      <c r="C59" s="5" t="s">
        <v>41</v>
      </c>
      <c r="D59" s="5" t="s">
        <v>28</v>
      </c>
      <c r="E59" s="5" t="s">
        <v>29</v>
      </c>
      <c r="F59" s="5" t="s">
        <v>124</v>
      </c>
      <c r="G59" s="5" t="s">
        <v>31</v>
      </c>
      <c r="H59" s="5" t="s">
        <v>8</v>
      </c>
      <c r="I59" s="10">
        <v>105000</v>
      </c>
      <c r="J59" s="12"/>
      <c r="K59" s="5" t="s">
        <v>33</v>
      </c>
      <c r="L59" s="5" t="s">
        <v>34</v>
      </c>
      <c r="M59" s="6">
        <v>45126</v>
      </c>
      <c r="N59" s="6"/>
      <c r="O59" s="6"/>
      <c r="P59" s="5" t="s">
        <v>159</v>
      </c>
      <c r="Q59" s="5" t="s">
        <v>36</v>
      </c>
      <c r="R59" s="8" t="s">
        <v>37</v>
      </c>
      <c r="S59" s="5">
        <v>40</v>
      </c>
      <c r="T59" s="5" t="s">
        <v>38</v>
      </c>
      <c r="U59" s="8" t="str">
        <f t="shared" si="0"/>
        <v/>
      </c>
      <c r="V59" s="8" t="str">
        <f t="shared" si="1"/>
        <v/>
      </c>
      <c r="W59" s="8" t="str">
        <f>_xlfn.XLOOKUP(X59,ShiftCodes[Code],ShiftCodes[Work Schedule],"Unknown code")</f>
        <v>Standard (Mon–Fri 9:00–17:30)</v>
      </c>
      <c r="X59" s="9" t="s">
        <v>39</v>
      </c>
      <c r="Y59" s="5"/>
    </row>
    <row r="60" spans="1:25" ht="16" x14ac:dyDescent="0.2">
      <c r="A60" s="5" t="s">
        <v>174</v>
      </c>
      <c r="B60" s="5" t="s">
        <v>103</v>
      </c>
      <c r="C60" s="5" t="s">
        <v>100</v>
      </c>
      <c r="D60" s="5" t="s">
        <v>28</v>
      </c>
      <c r="E60" s="5" t="s">
        <v>29</v>
      </c>
      <c r="F60" s="5" t="s">
        <v>124</v>
      </c>
      <c r="G60" s="5" t="s">
        <v>31</v>
      </c>
      <c r="H60" s="5" t="s">
        <v>8</v>
      </c>
      <c r="I60" s="10">
        <v>128000</v>
      </c>
      <c r="J60" s="12"/>
      <c r="K60" s="5" t="s">
        <v>33</v>
      </c>
      <c r="L60" s="5" t="s">
        <v>34</v>
      </c>
      <c r="M60" s="6">
        <v>45127</v>
      </c>
      <c r="N60" s="6"/>
      <c r="O60" s="6"/>
      <c r="P60" s="5" t="s">
        <v>136</v>
      </c>
      <c r="Q60" s="5" t="s">
        <v>36</v>
      </c>
      <c r="R60" s="8" t="s">
        <v>37</v>
      </c>
      <c r="S60" s="5">
        <v>40</v>
      </c>
      <c r="T60" s="5" t="s">
        <v>38</v>
      </c>
      <c r="U60" s="8" t="str">
        <f t="shared" si="0"/>
        <v/>
      </c>
      <c r="V60" s="8" t="str">
        <f t="shared" si="1"/>
        <v/>
      </c>
      <c r="W60" s="8" t="str">
        <f>_xlfn.XLOOKUP(X60,ShiftCodes[Code],ShiftCodes[Work Schedule],"Unknown code")</f>
        <v>Standard (Mon–Fri 9:00–17:30)</v>
      </c>
      <c r="X60" s="9" t="s">
        <v>39</v>
      </c>
      <c r="Y60" s="5"/>
    </row>
    <row r="61" spans="1:25" ht="16" x14ac:dyDescent="0.2">
      <c r="A61" s="5" t="s">
        <v>175</v>
      </c>
      <c r="B61" s="5" t="s">
        <v>103</v>
      </c>
      <c r="C61" s="5" t="s">
        <v>100</v>
      </c>
      <c r="D61" s="5" t="s">
        <v>28</v>
      </c>
      <c r="E61" s="5" t="s">
        <v>29</v>
      </c>
      <c r="F61" s="5" t="s">
        <v>119</v>
      </c>
      <c r="G61" s="5" t="s">
        <v>31</v>
      </c>
      <c r="H61" s="5" t="s">
        <v>8</v>
      </c>
      <c r="I61" s="10">
        <v>241000</v>
      </c>
      <c r="J61" s="12"/>
      <c r="K61" s="5" t="s">
        <v>33</v>
      </c>
      <c r="L61" s="5" t="s">
        <v>34</v>
      </c>
      <c r="M61" s="6">
        <v>45153</v>
      </c>
      <c r="N61" s="6"/>
      <c r="O61" s="6"/>
      <c r="P61" s="5" t="s">
        <v>176</v>
      </c>
      <c r="Q61" s="5" t="s">
        <v>36</v>
      </c>
      <c r="R61" s="8" t="s">
        <v>37</v>
      </c>
      <c r="S61" s="5">
        <v>40</v>
      </c>
      <c r="T61" s="5" t="s">
        <v>38</v>
      </c>
      <c r="U61" s="8" t="str">
        <f t="shared" si="0"/>
        <v/>
      </c>
      <c r="V61" s="8" t="str">
        <f t="shared" si="1"/>
        <v/>
      </c>
      <c r="W61" s="8" t="str">
        <f>_xlfn.XLOOKUP(X61,ShiftCodes[Code],ShiftCodes[Work Schedule],"Unknown code")</f>
        <v>Standard (Mon–Fri 9:00–17:30)</v>
      </c>
      <c r="X61" s="9" t="s">
        <v>39</v>
      </c>
      <c r="Y61" s="5"/>
    </row>
    <row r="62" spans="1:25" ht="16" x14ac:dyDescent="0.2">
      <c r="A62" s="5" t="s">
        <v>177</v>
      </c>
      <c r="B62" s="5" t="s">
        <v>109</v>
      </c>
      <c r="C62" s="5" t="s">
        <v>76</v>
      </c>
      <c r="D62" s="5" t="s">
        <v>28</v>
      </c>
      <c r="E62" s="5" t="s">
        <v>29</v>
      </c>
      <c r="F62" s="5" t="s">
        <v>132</v>
      </c>
      <c r="G62" s="5" t="s">
        <v>78</v>
      </c>
      <c r="H62" s="5" t="s">
        <v>79</v>
      </c>
      <c r="I62" s="10"/>
      <c r="J62" s="12">
        <v>43.5</v>
      </c>
      <c r="K62" s="5" t="s">
        <v>33</v>
      </c>
      <c r="L62" s="5" t="s">
        <v>80</v>
      </c>
      <c r="M62" s="6">
        <v>45153</v>
      </c>
      <c r="N62" s="6">
        <v>46312</v>
      </c>
      <c r="O62" s="6"/>
      <c r="P62" s="5" t="s">
        <v>161</v>
      </c>
      <c r="Q62" s="5" t="s">
        <v>46</v>
      </c>
      <c r="R62" s="8" t="s">
        <v>37</v>
      </c>
      <c r="S62" s="5">
        <v>36</v>
      </c>
      <c r="T62" s="5" t="s">
        <v>38</v>
      </c>
      <c r="U62" s="8" t="str">
        <f t="shared" si="0"/>
        <v>US Non-Exempt EEs</v>
      </c>
      <c r="V62" s="8" t="str">
        <f t="shared" si="1"/>
        <v>US California Non-Exempt</v>
      </c>
      <c r="W62" s="8" t="str">
        <f>_xlfn.XLOOKUP(X62,ShiftCodes[Code],ShiftCodes[Work Schedule],"Unknown code")</f>
        <v>Shift D – Weekend (Fri–Sun 06:00–18:30)</v>
      </c>
      <c r="X62" s="9" t="s">
        <v>151</v>
      </c>
      <c r="Y62" s="5" t="s">
        <v>142</v>
      </c>
    </row>
    <row r="63" spans="1:25" ht="16" x14ac:dyDescent="0.2">
      <c r="A63" s="5" t="s">
        <v>178</v>
      </c>
      <c r="B63" s="5" t="s">
        <v>109</v>
      </c>
      <c r="C63" s="5" t="s">
        <v>113</v>
      </c>
      <c r="D63" s="5" t="s">
        <v>84</v>
      </c>
      <c r="E63" s="5" t="s">
        <v>29</v>
      </c>
      <c r="F63" s="5" t="s">
        <v>119</v>
      </c>
      <c r="G63" s="5" t="s">
        <v>31</v>
      </c>
      <c r="H63" s="5" t="s">
        <v>8</v>
      </c>
      <c r="I63" s="10">
        <v>218000</v>
      </c>
      <c r="J63" s="12"/>
      <c r="K63" s="5" t="s">
        <v>33</v>
      </c>
      <c r="L63" s="5" t="s">
        <v>34</v>
      </c>
      <c r="M63" s="6">
        <v>45159</v>
      </c>
      <c r="N63" s="6"/>
      <c r="O63" s="6"/>
      <c r="P63" s="5" t="s">
        <v>117</v>
      </c>
      <c r="Q63" s="5" t="s">
        <v>36</v>
      </c>
      <c r="R63" s="8" t="s">
        <v>37</v>
      </c>
      <c r="S63" s="5">
        <v>40</v>
      </c>
      <c r="T63" s="5" t="s">
        <v>38</v>
      </c>
      <c r="U63" s="8" t="str">
        <f t="shared" si="0"/>
        <v/>
      </c>
      <c r="V63" s="8" t="str">
        <f t="shared" si="1"/>
        <v/>
      </c>
      <c r="W63" s="8" t="str">
        <f>_xlfn.XLOOKUP(X63,ShiftCodes[Code],ShiftCodes[Work Schedule],"Unknown code")</f>
        <v>Standard (Mon–Fri 9:00–17:30)</v>
      </c>
      <c r="X63" s="9" t="s">
        <v>39</v>
      </c>
      <c r="Y63" s="5"/>
    </row>
    <row r="64" spans="1:25" ht="16" x14ac:dyDescent="0.2">
      <c r="A64" s="5" t="s">
        <v>179</v>
      </c>
      <c r="B64" s="5" t="s">
        <v>112</v>
      </c>
      <c r="C64" s="5" t="s">
        <v>180</v>
      </c>
      <c r="D64" s="5" t="s">
        <v>52</v>
      </c>
      <c r="E64" s="5" t="s">
        <v>52</v>
      </c>
      <c r="F64" s="5" t="s">
        <v>119</v>
      </c>
      <c r="G64" s="5" t="s">
        <v>31</v>
      </c>
      <c r="H64" s="5" t="s">
        <v>8</v>
      </c>
      <c r="I64" s="10">
        <v>113000</v>
      </c>
      <c r="J64" s="17"/>
      <c r="K64" s="5" t="s">
        <v>55</v>
      </c>
      <c r="L64" s="5" t="s">
        <v>56</v>
      </c>
      <c r="M64" s="6">
        <v>45164</v>
      </c>
      <c r="N64" s="6"/>
      <c r="O64" s="6"/>
      <c r="P64" s="5" t="s">
        <v>133</v>
      </c>
      <c r="Q64" s="5" t="s">
        <v>36</v>
      </c>
      <c r="R64" s="8" t="s">
        <v>37</v>
      </c>
      <c r="S64" s="5">
        <v>37.5</v>
      </c>
      <c r="T64" s="5" t="s">
        <v>38</v>
      </c>
      <c r="U64" s="8" t="str">
        <f t="shared" si="0"/>
        <v/>
      </c>
      <c r="V64" s="8" t="str">
        <f t="shared" si="1"/>
        <v/>
      </c>
      <c r="W64" s="8" t="str">
        <f>_xlfn.XLOOKUP(X64,ShiftCodes[Code],ShiftCodes[Work Schedule],"Unknown code")</f>
        <v>Standard (Mon–Fri 9:00–17:30)</v>
      </c>
      <c r="X64" s="9" t="s">
        <v>39</v>
      </c>
      <c r="Y64" s="5"/>
    </row>
    <row r="65" spans="1:25" ht="16" x14ac:dyDescent="0.2">
      <c r="A65" s="5" t="s">
        <v>181</v>
      </c>
      <c r="B65" s="5" t="s">
        <v>103</v>
      </c>
      <c r="C65" s="5" t="s">
        <v>41</v>
      </c>
      <c r="D65" s="5" t="s">
        <v>90</v>
      </c>
      <c r="E65" s="5" t="s">
        <v>29</v>
      </c>
      <c r="F65" s="5" t="s">
        <v>119</v>
      </c>
      <c r="G65" s="5" t="s">
        <v>31</v>
      </c>
      <c r="H65" s="5" t="s">
        <v>8</v>
      </c>
      <c r="I65" s="10">
        <v>210000</v>
      </c>
      <c r="J65" s="12"/>
      <c r="K65" s="5" t="s">
        <v>33</v>
      </c>
      <c r="L65" s="5" t="s">
        <v>34</v>
      </c>
      <c r="M65" s="6">
        <v>45168</v>
      </c>
      <c r="N65" s="6"/>
      <c r="O65" s="6"/>
      <c r="P65" s="5" t="s">
        <v>105</v>
      </c>
      <c r="Q65" s="5" t="s">
        <v>36</v>
      </c>
      <c r="R65" s="8" t="s">
        <v>37</v>
      </c>
      <c r="S65" s="5">
        <v>40</v>
      </c>
      <c r="T65" s="5" t="s">
        <v>38</v>
      </c>
      <c r="U65" s="8" t="str">
        <f t="shared" si="0"/>
        <v/>
      </c>
      <c r="V65" s="8" t="str">
        <f t="shared" si="1"/>
        <v/>
      </c>
      <c r="W65" s="8" t="str">
        <f>_xlfn.XLOOKUP(X65,ShiftCodes[Code],ShiftCodes[Work Schedule],"Unknown code")</f>
        <v>Standard (Mon–Fri 9:00–17:30)</v>
      </c>
      <c r="X65" s="9" t="s">
        <v>39</v>
      </c>
      <c r="Y65" s="5"/>
    </row>
    <row r="66" spans="1:25" ht="16" x14ac:dyDescent="0.2">
      <c r="A66" s="5" t="s">
        <v>182</v>
      </c>
      <c r="B66" s="5" t="s">
        <v>112</v>
      </c>
      <c r="C66" s="5" t="s">
        <v>106</v>
      </c>
      <c r="D66" s="5" t="s">
        <v>42</v>
      </c>
      <c r="E66" s="5" t="s">
        <v>29</v>
      </c>
      <c r="F66" s="5" t="s">
        <v>119</v>
      </c>
      <c r="G66" s="5" t="s">
        <v>31</v>
      </c>
      <c r="H66" s="5" t="s">
        <v>8</v>
      </c>
      <c r="I66" s="10">
        <v>230000</v>
      </c>
      <c r="J66" s="12"/>
      <c r="K66" s="5" t="s">
        <v>33</v>
      </c>
      <c r="L66" s="5" t="s">
        <v>34</v>
      </c>
      <c r="M66" s="6">
        <v>45177</v>
      </c>
      <c r="N66" s="6"/>
      <c r="O66" s="6"/>
      <c r="P66" s="5" t="s">
        <v>146</v>
      </c>
      <c r="Q66" s="5" t="s">
        <v>36</v>
      </c>
      <c r="R66" s="8" t="s">
        <v>37</v>
      </c>
      <c r="S66" s="5">
        <v>40</v>
      </c>
      <c r="T66" s="5" t="s">
        <v>38</v>
      </c>
      <c r="U66" s="8" t="str">
        <f t="shared" ref="U66:U129" si="2">IF(AND(TRIM(E66)="US",TRIM(G66)="Non-Exempt"),"US Non-Exempt EEs","")</f>
        <v/>
      </c>
      <c r="V66" s="8" t="str">
        <f t="shared" ref="V66:V129" si="3">IF(AND(TRIM(E66)="US",TRIM(G66)="Non-Exempt"),IF(TRIM(D66)="CA","US California Non-Exempt","US Non-California Non-Exempt"),"")</f>
        <v/>
      </c>
      <c r="W66" s="8" t="str">
        <f>_xlfn.XLOOKUP(X66,ShiftCodes[Code],ShiftCodes[Work Schedule],"Unknown code")</f>
        <v>Standard (Mon–Fri 9:00–17:30)</v>
      </c>
      <c r="X66" s="9" t="s">
        <v>39</v>
      </c>
      <c r="Y66" s="5"/>
    </row>
    <row r="67" spans="1:25" ht="16" x14ac:dyDescent="0.2">
      <c r="A67" s="5" t="s">
        <v>183</v>
      </c>
      <c r="B67" s="5" t="s">
        <v>112</v>
      </c>
      <c r="C67" s="5" t="s">
        <v>100</v>
      </c>
      <c r="D67" s="5" t="s">
        <v>28</v>
      </c>
      <c r="E67" s="5" t="s">
        <v>29</v>
      </c>
      <c r="F67" s="5" t="s">
        <v>165</v>
      </c>
      <c r="G67" s="5" t="s">
        <v>31</v>
      </c>
      <c r="H67" s="5" t="s">
        <v>8</v>
      </c>
      <c r="I67" s="10">
        <v>176000</v>
      </c>
      <c r="J67" s="12"/>
      <c r="K67" s="5" t="s">
        <v>33</v>
      </c>
      <c r="L67" s="5" t="s">
        <v>34</v>
      </c>
      <c r="M67" s="6">
        <v>45179</v>
      </c>
      <c r="N67" s="6"/>
      <c r="O67" s="6"/>
      <c r="P67" s="5" t="s">
        <v>143</v>
      </c>
      <c r="Q67" s="5" t="s">
        <v>36</v>
      </c>
      <c r="R67" s="8" t="s">
        <v>37</v>
      </c>
      <c r="S67" s="5">
        <v>40</v>
      </c>
      <c r="T67" s="5" t="s">
        <v>38</v>
      </c>
      <c r="U67" s="8" t="str">
        <f t="shared" si="2"/>
        <v/>
      </c>
      <c r="V67" s="8" t="str">
        <f t="shared" si="3"/>
        <v/>
      </c>
      <c r="W67" s="8" t="str">
        <f>_xlfn.XLOOKUP(X67,ShiftCodes[Code],ShiftCodes[Work Schedule],"Unknown code")</f>
        <v>Standard (Mon–Fri 9:00–17:30)</v>
      </c>
      <c r="X67" s="9" t="s">
        <v>39</v>
      </c>
      <c r="Y67" s="5"/>
    </row>
    <row r="68" spans="1:25" ht="16" x14ac:dyDescent="0.2">
      <c r="A68" s="5" t="s">
        <v>184</v>
      </c>
      <c r="B68" s="5" t="s">
        <v>99</v>
      </c>
      <c r="C68" s="5" t="s">
        <v>41</v>
      </c>
      <c r="D68" s="5" t="s">
        <v>185</v>
      </c>
      <c r="E68" s="5" t="s">
        <v>29</v>
      </c>
      <c r="F68" s="5" t="s">
        <v>124</v>
      </c>
      <c r="G68" s="5" t="s">
        <v>31</v>
      </c>
      <c r="H68" s="5" t="s">
        <v>8</v>
      </c>
      <c r="I68" s="10">
        <v>102000</v>
      </c>
      <c r="J68" s="12"/>
      <c r="K68" s="5" t="s">
        <v>33</v>
      </c>
      <c r="L68" s="5" t="s">
        <v>34</v>
      </c>
      <c r="M68" s="6">
        <v>45189</v>
      </c>
      <c r="N68" s="6"/>
      <c r="O68" s="6"/>
      <c r="P68" s="5" t="s">
        <v>159</v>
      </c>
      <c r="Q68" s="5" t="s">
        <v>36</v>
      </c>
      <c r="R68" s="8" t="s">
        <v>37</v>
      </c>
      <c r="S68" s="5">
        <v>40</v>
      </c>
      <c r="T68" s="5" t="s">
        <v>38</v>
      </c>
      <c r="U68" s="8" t="str">
        <f t="shared" si="2"/>
        <v/>
      </c>
      <c r="V68" s="8" t="str">
        <f t="shared" si="3"/>
        <v/>
      </c>
      <c r="W68" s="8" t="str">
        <f>_xlfn.XLOOKUP(X68,ShiftCodes[Code],ShiftCodes[Work Schedule],"Unknown code")</f>
        <v>Standard (Mon–Fri 9:00–17:30)</v>
      </c>
      <c r="X68" s="9" t="s">
        <v>39</v>
      </c>
      <c r="Y68" s="5"/>
    </row>
    <row r="69" spans="1:25" ht="16" x14ac:dyDescent="0.2">
      <c r="A69" s="5" t="s">
        <v>186</v>
      </c>
      <c r="B69" s="5" t="s">
        <v>99</v>
      </c>
      <c r="C69" s="5" t="s">
        <v>100</v>
      </c>
      <c r="D69" s="5" t="s">
        <v>28</v>
      </c>
      <c r="E69" s="5" t="s">
        <v>29</v>
      </c>
      <c r="F69" s="5" t="s">
        <v>119</v>
      </c>
      <c r="G69" s="5" t="s">
        <v>31</v>
      </c>
      <c r="H69" s="5" t="s">
        <v>8</v>
      </c>
      <c r="I69" s="10">
        <v>192000</v>
      </c>
      <c r="J69" s="12"/>
      <c r="K69" s="5" t="s">
        <v>33</v>
      </c>
      <c r="L69" s="5" t="s">
        <v>34</v>
      </c>
      <c r="M69" s="6">
        <v>45196</v>
      </c>
      <c r="N69" s="6"/>
      <c r="O69" s="6"/>
      <c r="P69" s="5" t="s">
        <v>135</v>
      </c>
      <c r="Q69" s="5" t="s">
        <v>36</v>
      </c>
      <c r="R69" s="8" t="s">
        <v>37</v>
      </c>
      <c r="S69" s="5">
        <v>40</v>
      </c>
      <c r="T69" s="5" t="s">
        <v>38</v>
      </c>
      <c r="U69" s="8" t="str">
        <f t="shared" si="2"/>
        <v/>
      </c>
      <c r="V69" s="8" t="str">
        <f t="shared" si="3"/>
        <v/>
      </c>
      <c r="W69" s="8" t="str">
        <f>_xlfn.XLOOKUP(X69,ShiftCodes[Code],ShiftCodes[Work Schedule],"Unknown code")</f>
        <v>Standard (Mon–Fri 9:00–17:30)</v>
      </c>
      <c r="X69" s="9" t="s">
        <v>39</v>
      </c>
      <c r="Y69" s="5"/>
    </row>
    <row r="70" spans="1:25" ht="16" x14ac:dyDescent="0.2">
      <c r="A70" s="5" t="s">
        <v>187</v>
      </c>
      <c r="B70" s="5" t="s">
        <v>112</v>
      </c>
      <c r="C70" s="5" t="s">
        <v>106</v>
      </c>
      <c r="D70" s="5" t="s">
        <v>42</v>
      </c>
      <c r="E70" s="5" t="s">
        <v>29</v>
      </c>
      <c r="F70" s="5" t="s">
        <v>119</v>
      </c>
      <c r="G70" s="5" t="s">
        <v>31</v>
      </c>
      <c r="H70" s="5" t="s">
        <v>8</v>
      </c>
      <c r="I70" s="10">
        <v>205000</v>
      </c>
      <c r="J70" s="12"/>
      <c r="K70" s="5" t="s">
        <v>33</v>
      </c>
      <c r="L70" s="5" t="s">
        <v>34</v>
      </c>
      <c r="M70" s="6">
        <v>45201</v>
      </c>
      <c r="N70" s="6"/>
      <c r="O70" s="6"/>
      <c r="P70" s="5" t="s">
        <v>133</v>
      </c>
      <c r="Q70" s="5" t="s">
        <v>36</v>
      </c>
      <c r="R70" s="8" t="s">
        <v>37</v>
      </c>
      <c r="S70" s="5">
        <v>40</v>
      </c>
      <c r="T70" s="5" t="s">
        <v>38</v>
      </c>
      <c r="U70" s="8" t="str">
        <f t="shared" si="2"/>
        <v/>
      </c>
      <c r="V70" s="8" t="str">
        <f t="shared" si="3"/>
        <v/>
      </c>
      <c r="W70" s="8" t="str">
        <f>_xlfn.XLOOKUP(X70,ShiftCodes[Code],ShiftCodes[Work Schedule],"Unknown code")</f>
        <v>Standard (Mon–Fri 9:00–17:30)</v>
      </c>
      <c r="X70" s="9" t="s">
        <v>39</v>
      </c>
      <c r="Y70" s="5"/>
    </row>
    <row r="71" spans="1:25" ht="16" x14ac:dyDescent="0.2">
      <c r="A71" s="5" t="s">
        <v>188</v>
      </c>
      <c r="B71" s="5" t="s">
        <v>103</v>
      </c>
      <c r="C71" s="5" t="s">
        <v>41</v>
      </c>
      <c r="D71" s="5" t="s">
        <v>189</v>
      </c>
      <c r="E71" s="5" t="s">
        <v>29</v>
      </c>
      <c r="F71" s="5" t="s">
        <v>163</v>
      </c>
      <c r="G71" s="5" t="s">
        <v>31</v>
      </c>
      <c r="H71" s="5" t="s">
        <v>8</v>
      </c>
      <c r="I71" s="10">
        <v>174000</v>
      </c>
      <c r="J71" s="12"/>
      <c r="K71" s="5" t="s">
        <v>33</v>
      </c>
      <c r="L71" s="5" t="s">
        <v>34</v>
      </c>
      <c r="M71" s="6">
        <v>45211</v>
      </c>
      <c r="N71" s="6"/>
      <c r="O71" s="6"/>
      <c r="P71" s="5" t="s">
        <v>181</v>
      </c>
      <c r="Q71" s="5" t="s">
        <v>36</v>
      </c>
      <c r="R71" s="8" t="s">
        <v>37</v>
      </c>
      <c r="S71" s="5">
        <v>40</v>
      </c>
      <c r="T71" s="5" t="s">
        <v>38</v>
      </c>
      <c r="U71" s="8" t="str">
        <f t="shared" si="2"/>
        <v/>
      </c>
      <c r="V71" s="8" t="str">
        <f t="shared" si="3"/>
        <v/>
      </c>
      <c r="W71" s="8" t="str">
        <f>_xlfn.XLOOKUP(X71,ShiftCodes[Code],ShiftCodes[Work Schedule],"Unknown code")</f>
        <v>Standard (Mon–Fri 9:00–17:30)</v>
      </c>
      <c r="X71" s="9" t="s">
        <v>39</v>
      </c>
      <c r="Y71" s="5"/>
    </row>
    <row r="72" spans="1:25" ht="16" x14ac:dyDescent="0.2">
      <c r="A72" s="5" t="s">
        <v>190</v>
      </c>
      <c r="B72" s="5" t="s">
        <v>112</v>
      </c>
      <c r="C72" s="5" t="s">
        <v>106</v>
      </c>
      <c r="D72" s="5" t="s">
        <v>42</v>
      </c>
      <c r="E72" s="5" t="s">
        <v>29</v>
      </c>
      <c r="F72" s="5" t="s">
        <v>165</v>
      </c>
      <c r="G72" s="5" t="s">
        <v>31</v>
      </c>
      <c r="H72" s="5" t="s">
        <v>8</v>
      </c>
      <c r="I72" s="10">
        <v>198000</v>
      </c>
      <c r="J72" s="12"/>
      <c r="K72" s="5" t="s">
        <v>33</v>
      </c>
      <c r="L72" s="5" t="s">
        <v>34</v>
      </c>
      <c r="M72" s="6">
        <v>45213</v>
      </c>
      <c r="N72" s="6"/>
      <c r="O72" s="6"/>
      <c r="P72" s="5" t="s">
        <v>187</v>
      </c>
      <c r="Q72" s="5" t="s">
        <v>36</v>
      </c>
      <c r="R72" s="8" t="s">
        <v>37</v>
      </c>
      <c r="S72" s="5">
        <v>40</v>
      </c>
      <c r="T72" s="5" t="s">
        <v>38</v>
      </c>
      <c r="U72" s="8" t="str">
        <f t="shared" si="2"/>
        <v/>
      </c>
      <c r="V72" s="8" t="str">
        <f t="shared" si="3"/>
        <v/>
      </c>
      <c r="W72" s="8" t="str">
        <f>_xlfn.XLOOKUP(X72,ShiftCodes[Code],ShiftCodes[Work Schedule],"Unknown code")</f>
        <v>Standard (Mon–Fri 9:00–17:30)</v>
      </c>
      <c r="X72" s="9" t="s">
        <v>39</v>
      </c>
      <c r="Y72" s="5"/>
    </row>
    <row r="73" spans="1:25" ht="16" x14ac:dyDescent="0.2">
      <c r="A73" s="5" t="s">
        <v>191</v>
      </c>
      <c r="B73" s="5" t="s">
        <v>99</v>
      </c>
      <c r="C73" s="5" t="s">
        <v>180</v>
      </c>
      <c r="D73" s="5" t="s">
        <v>52</v>
      </c>
      <c r="E73" s="5" t="s">
        <v>52</v>
      </c>
      <c r="F73" s="5" t="s">
        <v>119</v>
      </c>
      <c r="G73" s="5" t="s">
        <v>31</v>
      </c>
      <c r="H73" s="5" t="s">
        <v>8</v>
      </c>
      <c r="I73" s="10">
        <v>108000</v>
      </c>
      <c r="J73" s="17"/>
      <c r="K73" s="5" t="s">
        <v>55</v>
      </c>
      <c r="L73" s="5" t="s">
        <v>56</v>
      </c>
      <c r="M73" s="6">
        <v>45219</v>
      </c>
      <c r="N73" s="6"/>
      <c r="O73" s="6"/>
      <c r="P73" s="5" t="s">
        <v>135</v>
      </c>
      <c r="Q73" s="5" t="s">
        <v>36</v>
      </c>
      <c r="R73" s="8" t="s">
        <v>37</v>
      </c>
      <c r="S73" s="5">
        <v>37.5</v>
      </c>
      <c r="T73" s="5" t="s">
        <v>38</v>
      </c>
      <c r="U73" s="8" t="str">
        <f t="shared" si="2"/>
        <v/>
      </c>
      <c r="V73" s="8" t="str">
        <f t="shared" si="3"/>
        <v/>
      </c>
      <c r="W73" s="8" t="str">
        <f>_xlfn.XLOOKUP(X73,ShiftCodes[Code],ShiftCodes[Work Schedule],"Unknown code")</f>
        <v>Standard (Mon–Fri 9:00–17:30)</v>
      </c>
      <c r="X73" s="9" t="s">
        <v>39</v>
      </c>
      <c r="Y73" s="5"/>
    </row>
    <row r="74" spans="1:25" ht="16" x14ac:dyDescent="0.2">
      <c r="A74" s="5" t="s">
        <v>192</v>
      </c>
      <c r="B74" s="5" t="s">
        <v>109</v>
      </c>
      <c r="C74" s="5" t="s">
        <v>113</v>
      </c>
      <c r="D74" s="5" t="s">
        <v>84</v>
      </c>
      <c r="E74" s="5" t="s">
        <v>29</v>
      </c>
      <c r="F74" s="5" t="s">
        <v>163</v>
      </c>
      <c r="G74" s="5" t="s">
        <v>31</v>
      </c>
      <c r="H74" s="5" t="s">
        <v>8</v>
      </c>
      <c r="I74" s="10">
        <v>158000</v>
      </c>
      <c r="J74" s="12"/>
      <c r="K74" s="5" t="s">
        <v>33</v>
      </c>
      <c r="L74" s="5" t="s">
        <v>34</v>
      </c>
      <c r="M74" s="6">
        <v>45240</v>
      </c>
      <c r="N74" s="6"/>
      <c r="O74" s="6"/>
      <c r="P74" s="5" t="s">
        <v>178</v>
      </c>
      <c r="Q74" s="5" t="s">
        <v>36</v>
      </c>
      <c r="R74" s="8" t="s">
        <v>37</v>
      </c>
      <c r="S74" s="5">
        <v>40</v>
      </c>
      <c r="T74" s="5" t="s">
        <v>38</v>
      </c>
      <c r="U74" s="8" t="str">
        <f t="shared" si="2"/>
        <v/>
      </c>
      <c r="V74" s="8" t="str">
        <f t="shared" si="3"/>
        <v/>
      </c>
      <c r="W74" s="8" t="str">
        <f>_xlfn.XLOOKUP(X74,ShiftCodes[Code],ShiftCodes[Work Schedule],"Unknown code")</f>
        <v>Standard (Mon–Fri 9:00–17:30)</v>
      </c>
      <c r="X74" s="9" t="s">
        <v>39</v>
      </c>
      <c r="Y74" s="5"/>
    </row>
    <row r="75" spans="1:25" ht="16" x14ac:dyDescent="0.2">
      <c r="A75" s="5" t="s">
        <v>193</v>
      </c>
      <c r="B75" s="5" t="s">
        <v>112</v>
      </c>
      <c r="C75" s="5" t="s">
        <v>180</v>
      </c>
      <c r="D75" s="5" t="s">
        <v>52</v>
      </c>
      <c r="E75" s="5" t="s">
        <v>52</v>
      </c>
      <c r="F75" s="5" t="s">
        <v>124</v>
      </c>
      <c r="G75" s="5" t="s">
        <v>31</v>
      </c>
      <c r="H75" s="5" t="s">
        <v>8</v>
      </c>
      <c r="I75" s="10">
        <v>73000</v>
      </c>
      <c r="J75" s="17"/>
      <c r="K75" s="5" t="s">
        <v>55</v>
      </c>
      <c r="L75" s="5" t="s">
        <v>56</v>
      </c>
      <c r="M75" s="6">
        <v>45247</v>
      </c>
      <c r="N75" s="6"/>
      <c r="O75" s="6">
        <v>46314</v>
      </c>
      <c r="P75" s="5" t="s">
        <v>179</v>
      </c>
      <c r="Q75" s="5" t="s">
        <v>93</v>
      </c>
      <c r="R75" s="8" t="s">
        <v>37</v>
      </c>
      <c r="S75" s="5">
        <v>37.5</v>
      </c>
      <c r="T75" s="5" t="s">
        <v>38</v>
      </c>
      <c r="U75" s="8" t="str">
        <f t="shared" si="2"/>
        <v/>
      </c>
      <c r="V75" s="8" t="str">
        <f t="shared" si="3"/>
        <v/>
      </c>
      <c r="W75" s="8" t="str">
        <f>_xlfn.XLOOKUP(X75,ShiftCodes[Code],ShiftCodes[Work Schedule],"Unknown code")</f>
        <v>Standard (Mon–Fri 9:00–17:30)</v>
      </c>
      <c r="X75" s="9" t="s">
        <v>39</v>
      </c>
      <c r="Y75" s="5"/>
    </row>
    <row r="76" spans="1:25" ht="16" x14ac:dyDescent="0.2">
      <c r="A76" s="5" t="s">
        <v>194</v>
      </c>
      <c r="B76" s="5" t="s">
        <v>109</v>
      </c>
      <c r="C76" s="5" t="s">
        <v>76</v>
      </c>
      <c r="D76" s="5" t="s">
        <v>28</v>
      </c>
      <c r="E76" s="5" t="s">
        <v>29</v>
      </c>
      <c r="F76" s="5" t="s">
        <v>130</v>
      </c>
      <c r="G76" s="5" t="s">
        <v>78</v>
      </c>
      <c r="H76" s="5" t="s">
        <v>79</v>
      </c>
      <c r="I76" s="10"/>
      <c r="J76" s="12">
        <v>30</v>
      </c>
      <c r="K76" s="5" t="s">
        <v>33</v>
      </c>
      <c r="L76" s="5" t="s">
        <v>80</v>
      </c>
      <c r="M76" s="6">
        <v>45253</v>
      </c>
      <c r="N76" s="6"/>
      <c r="O76" s="6"/>
      <c r="P76" s="5" t="s">
        <v>128</v>
      </c>
      <c r="Q76" s="5" t="s">
        <v>36</v>
      </c>
      <c r="R76" s="8" t="s">
        <v>37</v>
      </c>
      <c r="S76" s="5">
        <v>40</v>
      </c>
      <c r="T76" s="5" t="s">
        <v>38</v>
      </c>
      <c r="U76" s="8" t="str">
        <f t="shared" si="2"/>
        <v>US Non-Exempt EEs</v>
      </c>
      <c r="V76" s="8" t="str">
        <f t="shared" si="3"/>
        <v>US California Non-Exempt</v>
      </c>
      <c r="W76" s="8" t="str">
        <f>_xlfn.XLOOKUP(X76,ShiftCodes[Code],ShiftCodes[Work Schedule],"Unknown code")</f>
        <v>Shift A – Day (Mon–Fri 06:00–14:30)</v>
      </c>
      <c r="X76" s="9" t="s">
        <v>81</v>
      </c>
      <c r="Y76" s="5"/>
    </row>
    <row r="77" spans="1:25" ht="16" x14ac:dyDescent="0.2">
      <c r="A77" s="5" t="s">
        <v>195</v>
      </c>
      <c r="B77" s="5" t="s">
        <v>103</v>
      </c>
      <c r="C77" s="5" t="s">
        <v>100</v>
      </c>
      <c r="D77" s="5" t="s">
        <v>28</v>
      </c>
      <c r="E77" s="5" t="s">
        <v>29</v>
      </c>
      <c r="F77" s="5" t="s">
        <v>163</v>
      </c>
      <c r="G77" s="5" t="s">
        <v>31</v>
      </c>
      <c r="H77" s="5" t="s">
        <v>8</v>
      </c>
      <c r="I77" s="10">
        <v>142000</v>
      </c>
      <c r="J77" s="12"/>
      <c r="K77" s="5" t="s">
        <v>33</v>
      </c>
      <c r="L77" s="5" t="s">
        <v>34</v>
      </c>
      <c r="M77" s="6">
        <v>45268</v>
      </c>
      <c r="N77" s="6"/>
      <c r="O77" s="6"/>
      <c r="P77" s="5" t="s">
        <v>175</v>
      </c>
      <c r="Q77" s="5" t="s">
        <v>36</v>
      </c>
      <c r="R77" s="8" t="s">
        <v>37</v>
      </c>
      <c r="S77" s="5">
        <v>40</v>
      </c>
      <c r="T77" s="5" t="s">
        <v>38</v>
      </c>
      <c r="U77" s="8" t="str">
        <f t="shared" si="2"/>
        <v/>
      </c>
      <c r="V77" s="8" t="str">
        <f t="shared" si="3"/>
        <v/>
      </c>
      <c r="W77" s="8" t="str">
        <f>_xlfn.XLOOKUP(X77,ShiftCodes[Code],ShiftCodes[Work Schedule],"Unknown code")</f>
        <v>Standard (Mon–Fri 9:00–17:30)</v>
      </c>
      <c r="X77" s="9" t="s">
        <v>39</v>
      </c>
      <c r="Y77" s="5"/>
    </row>
    <row r="78" spans="1:25" ht="16" x14ac:dyDescent="0.2">
      <c r="A78" s="5" t="s">
        <v>196</v>
      </c>
      <c r="B78" s="5" t="s">
        <v>109</v>
      </c>
      <c r="C78" s="5" t="s">
        <v>113</v>
      </c>
      <c r="D78" s="5" t="s">
        <v>84</v>
      </c>
      <c r="E78" s="5" t="s">
        <v>29</v>
      </c>
      <c r="F78" s="5" t="s">
        <v>132</v>
      </c>
      <c r="G78" s="5" t="s">
        <v>78</v>
      </c>
      <c r="H78" s="5" t="s">
        <v>79</v>
      </c>
      <c r="I78" s="10"/>
      <c r="J78" s="12">
        <v>42.5</v>
      </c>
      <c r="K78" s="5" t="s">
        <v>33</v>
      </c>
      <c r="L78" s="5" t="s">
        <v>80</v>
      </c>
      <c r="M78" s="6">
        <v>45276</v>
      </c>
      <c r="N78" s="6"/>
      <c r="O78" s="6"/>
      <c r="P78" s="5" t="s">
        <v>118</v>
      </c>
      <c r="Q78" s="5" t="s">
        <v>36</v>
      </c>
      <c r="R78" s="8" t="s">
        <v>37</v>
      </c>
      <c r="S78" s="5">
        <v>24</v>
      </c>
      <c r="T78" s="5" t="s">
        <v>140</v>
      </c>
      <c r="U78" s="8" t="str">
        <f t="shared" si="2"/>
        <v>US Non-Exempt EEs</v>
      </c>
      <c r="V78" s="8" t="str">
        <f t="shared" si="3"/>
        <v>US Non-California Non-Exempt</v>
      </c>
      <c r="W78" s="8" t="str">
        <f>_xlfn.XLOOKUP(X78,ShiftCodes[Code],ShiftCodes[Work Schedule],"Unknown code")</f>
        <v>Part-time – Day (Mon/Wed/Fri 06:00–14:30)</v>
      </c>
      <c r="X78" s="9" t="s">
        <v>141</v>
      </c>
      <c r="Y78" s="5"/>
    </row>
    <row r="79" spans="1:25" ht="16" x14ac:dyDescent="0.2">
      <c r="A79" s="5" t="s">
        <v>197</v>
      </c>
      <c r="B79" s="5" t="s">
        <v>109</v>
      </c>
      <c r="C79" s="5" t="s">
        <v>76</v>
      </c>
      <c r="D79" s="5" t="s">
        <v>28</v>
      </c>
      <c r="E79" s="5" t="s">
        <v>29</v>
      </c>
      <c r="F79" s="5" t="s">
        <v>121</v>
      </c>
      <c r="G79" s="5" t="s">
        <v>78</v>
      </c>
      <c r="H79" s="5" t="s">
        <v>79</v>
      </c>
      <c r="I79" s="10"/>
      <c r="J79" s="12">
        <v>36.5</v>
      </c>
      <c r="K79" s="5" t="s">
        <v>33</v>
      </c>
      <c r="L79" s="5" t="s">
        <v>80</v>
      </c>
      <c r="M79" s="6">
        <v>45282</v>
      </c>
      <c r="N79" s="6"/>
      <c r="O79" s="6"/>
      <c r="P79" s="5" t="s">
        <v>161</v>
      </c>
      <c r="Q79" s="5" t="s">
        <v>36</v>
      </c>
      <c r="R79" s="8" t="s">
        <v>37</v>
      </c>
      <c r="S79" s="5">
        <v>40</v>
      </c>
      <c r="T79" s="5" t="s">
        <v>38</v>
      </c>
      <c r="U79" s="8" t="str">
        <f t="shared" si="2"/>
        <v>US Non-Exempt EEs</v>
      </c>
      <c r="V79" s="8" t="str">
        <f t="shared" si="3"/>
        <v>US California Non-Exempt</v>
      </c>
      <c r="W79" s="8" t="str">
        <f>_xlfn.XLOOKUP(X79,ShiftCodes[Code],ShiftCodes[Work Schedule],"Unknown code")</f>
        <v>Shift B – Swing (Mon–Fri 14:00–22:30)</v>
      </c>
      <c r="X79" s="9" t="s">
        <v>85</v>
      </c>
      <c r="Y79" s="5"/>
    </row>
    <row r="80" spans="1:25" ht="16" x14ac:dyDescent="0.2">
      <c r="A80" s="5" t="s">
        <v>198</v>
      </c>
      <c r="B80" s="5" t="s">
        <v>99</v>
      </c>
      <c r="C80" s="5" t="s">
        <v>100</v>
      </c>
      <c r="D80" s="5" t="s">
        <v>28</v>
      </c>
      <c r="E80" s="5" t="s">
        <v>29</v>
      </c>
      <c r="F80" s="5" t="s">
        <v>165</v>
      </c>
      <c r="G80" s="5" t="s">
        <v>31</v>
      </c>
      <c r="H80" s="5" t="s">
        <v>8</v>
      </c>
      <c r="I80" s="10">
        <v>152000</v>
      </c>
      <c r="J80" s="12"/>
      <c r="K80" s="5" t="s">
        <v>33</v>
      </c>
      <c r="L80" s="5" t="s">
        <v>34</v>
      </c>
      <c r="M80" s="6">
        <v>45285</v>
      </c>
      <c r="N80" s="6"/>
      <c r="O80" s="6"/>
      <c r="P80" s="5" t="s">
        <v>186</v>
      </c>
      <c r="Q80" s="5" t="s">
        <v>36</v>
      </c>
      <c r="R80" s="8" t="s">
        <v>37</v>
      </c>
      <c r="S80" s="5">
        <v>40</v>
      </c>
      <c r="T80" s="5" t="s">
        <v>38</v>
      </c>
      <c r="U80" s="8" t="str">
        <f t="shared" si="2"/>
        <v/>
      </c>
      <c r="V80" s="8" t="str">
        <f t="shared" si="3"/>
        <v/>
      </c>
      <c r="W80" s="8" t="str">
        <f>_xlfn.XLOOKUP(X80,ShiftCodes[Code],ShiftCodes[Work Schedule],"Unknown code")</f>
        <v>Standard (Mon–Fri 9:00–17:30)</v>
      </c>
      <c r="X80" s="9" t="s">
        <v>39</v>
      </c>
      <c r="Y80" s="5"/>
    </row>
    <row r="81" spans="1:25" ht="16" x14ac:dyDescent="0.2">
      <c r="A81" s="5" t="s">
        <v>199</v>
      </c>
      <c r="B81" s="5" t="s">
        <v>112</v>
      </c>
      <c r="C81" s="5" t="s">
        <v>106</v>
      </c>
      <c r="D81" s="5" t="s">
        <v>42</v>
      </c>
      <c r="E81" s="5" t="s">
        <v>29</v>
      </c>
      <c r="F81" s="5" t="s">
        <v>163</v>
      </c>
      <c r="G81" s="5" t="s">
        <v>31</v>
      </c>
      <c r="H81" s="5" t="s">
        <v>8</v>
      </c>
      <c r="I81" s="10">
        <v>168000</v>
      </c>
      <c r="J81" s="12"/>
      <c r="K81" s="5" t="s">
        <v>33</v>
      </c>
      <c r="L81" s="5" t="s">
        <v>34</v>
      </c>
      <c r="M81" s="6">
        <v>45289</v>
      </c>
      <c r="N81" s="6"/>
      <c r="O81" s="6"/>
      <c r="P81" s="5" t="s">
        <v>187</v>
      </c>
      <c r="Q81" s="5" t="s">
        <v>36</v>
      </c>
      <c r="R81" s="8" t="s">
        <v>37</v>
      </c>
      <c r="S81" s="5">
        <v>40</v>
      </c>
      <c r="T81" s="5" t="s">
        <v>38</v>
      </c>
      <c r="U81" s="8" t="str">
        <f t="shared" si="2"/>
        <v/>
      </c>
      <c r="V81" s="8" t="str">
        <f t="shared" si="3"/>
        <v/>
      </c>
      <c r="W81" s="8" t="str">
        <f>_xlfn.XLOOKUP(X81,ShiftCodes[Code],ShiftCodes[Work Schedule],"Unknown code")</f>
        <v>Standard (Mon–Fri 9:00–17:30)</v>
      </c>
      <c r="X81" s="9" t="s">
        <v>39</v>
      </c>
      <c r="Y81" s="5"/>
    </row>
    <row r="82" spans="1:25" ht="16" x14ac:dyDescent="0.2">
      <c r="A82" s="5" t="s">
        <v>200</v>
      </c>
      <c r="B82" s="5" t="s">
        <v>109</v>
      </c>
      <c r="C82" s="5" t="s">
        <v>76</v>
      </c>
      <c r="D82" s="5" t="s">
        <v>28</v>
      </c>
      <c r="E82" s="5" t="s">
        <v>29</v>
      </c>
      <c r="F82" s="5" t="s">
        <v>119</v>
      </c>
      <c r="G82" s="5" t="s">
        <v>31</v>
      </c>
      <c r="H82" s="5" t="s">
        <v>8</v>
      </c>
      <c r="I82" s="10">
        <v>224000</v>
      </c>
      <c r="J82" s="12"/>
      <c r="K82" s="5" t="s">
        <v>33</v>
      </c>
      <c r="L82" s="5" t="s">
        <v>34</v>
      </c>
      <c r="M82" s="6">
        <v>45292</v>
      </c>
      <c r="N82" s="6"/>
      <c r="O82" s="6"/>
      <c r="P82" s="5" t="s">
        <v>117</v>
      </c>
      <c r="Q82" s="5" t="s">
        <v>36</v>
      </c>
      <c r="R82" s="8" t="s">
        <v>37</v>
      </c>
      <c r="S82" s="5">
        <v>40</v>
      </c>
      <c r="T82" s="5" t="s">
        <v>38</v>
      </c>
      <c r="U82" s="8" t="str">
        <f t="shared" si="2"/>
        <v/>
      </c>
      <c r="V82" s="8" t="str">
        <f t="shared" si="3"/>
        <v/>
      </c>
      <c r="W82" s="8" t="str">
        <f>_xlfn.XLOOKUP(X82,ShiftCodes[Code],ShiftCodes[Work Schedule],"Unknown code")</f>
        <v>Standard (Mon–Fri 9:00–17:30)</v>
      </c>
      <c r="X82" s="9" t="s">
        <v>39</v>
      </c>
      <c r="Y82" s="5"/>
    </row>
    <row r="83" spans="1:25" ht="16" x14ac:dyDescent="0.2">
      <c r="A83" s="5" t="s">
        <v>201</v>
      </c>
      <c r="B83" s="5" t="s">
        <v>109</v>
      </c>
      <c r="C83" s="5" t="s">
        <v>76</v>
      </c>
      <c r="D83" s="5" t="s">
        <v>28</v>
      </c>
      <c r="E83" s="5" t="s">
        <v>29</v>
      </c>
      <c r="F83" s="5" t="s">
        <v>130</v>
      </c>
      <c r="G83" s="5" t="s">
        <v>78</v>
      </c>
      <c r="H83" s="5" t="s">
        <v>79</v>
      </c>
      <c r="I83" s="10"/>
      <c r="J83" s="12">
        <v>31</v>
      </c>
      <c r="K83" s="5" t="s">
        <v>33</v>
      </c>
      <c r="L83" s="5" t="s">
        <v>80</v>
      </c>
      <c r="M83" s="6">
        <v>45293</v>
      </c>
      <c r="N83" s="6"/>
      <c r="O83" s="6"/>
      <c r="P83" s="5" t="s">
        <v>161</v>
      </c>
      <c r="Q83" s="5" t="s">
        <v>36</v>
      </c>
      <c r="R83" s="8" t="s">
        <v>37</v>
      </c>
      <c r="S83" s="5">
        <v>40</v>
      </c>
      <c r="T83" s="5" t="s">
        <v>38</v>
      </c>
      <c r="U83" s="8" t="str">
        <f t="shared" si="2"/>
        <v>US Non-Exempt EEs</v>
      </c>
      <c r="V83" s="8" t="str">
        <f t="shared" si="3"/>
        <v>US California Non-Exempt</v>
      </c>
      <c r="W83" s="8" t="str">
        <f>_xlfn.XLOOKUP(X83,ShiftCodes[Code],ShiftCodes[Work Schedule],"Unknown code")</f>
        <v>Shift A – Day (Mon–Fri 06:00–14:30)</v>
      </c>
      <c r="X83" s="9" t="s">
        <v>81</v>
      </c>
      <c r="Y83" s="5"/>
    </row>
    <row r="84" spans="1:25" ht="16" x14ac:dyDescent="0.2">
      <c r="A84" s="5" t="s">
        <v>202</v>
      </c>
      <c r="B84" s="5" t="s">
        <v>109</v>
      </c>
      <c r="C84" s="5" t="s">
        <v>113</v>
      </c>
      <c r="D84" s="5" t="s">
        <v>84</v>
      </c>
      <c r="E84" s="5" t="s">
        <v>29</v>
      </c>
      <c r="F84" s="5" t="s">
        <v>119</v>
      </c>
      <c r="G84" s="5" t="s">
        <v>31</v>
      </c>
      <c r="H84" s="5" t="s">
        <v>8</v>
      </c>
      <c r="I84" s="10">
        <v>244000</v>
      </c>
      <c r="J84" s="12"/>
      <c r="K84" s="5" t="s">
        <v>33</v>
      </c>
      <c r="L84" s="5" t="s">
        <v>34</v>
      </c>
      <c r="M84" s="6">
        <v>45294</v>
      </c>
      <c r="N84" s="6"/>
      <c r="O84" s="6"/>
      <c r="P84" s="5" t="s">
        <v>115</v>
      </c>
      <c r="Q84" s="5" t="s">
        <v>36</v>
      </c>
      <c r="R84" s="8" t="s">
        <v>37</v>
      </c>
      <c r="S84" s="5">
        <v>40</v>
      </c>
      <c r="T84" s="5" t="s">
        <v>38</v>
      </c>
      <c r="U84" s="8" t="str">
        <f t="shared" si="2"/>
        <v/>
      </c>
      <c r="V84" s="8" t="str">
        <f t="shared" si="3"/>
        <v/>
      </c>
      <c r="W84" s="8" t="str">
        <f>_xlfn.XLOOKUP(X84,ShiftCodes[Code],ShiftCodes[Work Schedule],"Unknown code")</f>
        <v>Standard (Mon–Fri 9:00–17:30)</v>
      </c>
      <c r="X84" s="9" t="s">
        <v>39</v>
      </c>
      <c r="Y84" s="5"/>
    </row>
    <row r="85" spans="1:25" ht="16" x14ac:dyDescent="0.2">
      <c r="A85" s="5" t="s">
        <v>203</v>
      </c>
      <c r="B85" s="5" t="s">
        <v>103</v>
      </c>
      <c r="C85" s="5" t="s">
        <v>106</v>
      </c>
      <c r="D85" s="5" t="s">
        <v>42</v>
      </c>
      <c r="E85" s="5" t="s">
        <v>29</v>
      </c>
      <c r="F85" s="5" t="s">
        <v>165</v>
      </c>
      <c r="G85" s="5" t="s">
        <v>31</v>
      </c>
      <c r="H85" s="5" t="s">
        <v>8</v>
      </c>
      <c r="I85" s="10">
        <v>189000</v>
      </c>
      <c r="J85" s="12"/>
      <c r="K85" s="5" t="s">
        <v>33</v>
      </c>
      <c r="L85" s="5" t="s">
        <v>34</v>
      </c>
      <c r="M85" s="6">
        <v>45295</v>
      </c>
      <c r="N85" s="6"/>
      <c r="O85" s="6"/>
      <c r="P85" s="5" t="s">
        <v>145</v>
      </c>
      <c r="Q85" s="5" t="s">
        <v>36</v>
      </c>
      <c r="R85" s="8" t="s">
        <v>37</v>
      </c>
      <c r="S85" s="5">
        <v>40</v>
      </c>
      <c r="T85" s="5" t="s">
        <v>38</v>
      </c>
      <c r="U85" s="8" t="str">
        <f t="shared" si="2"/>
        <v/>
      </c>
      <c r="V85" s="8" t="str">
        <f t="shared" si="3"/>
        <v/>
      </c>
      <c r="W85" s="8" t="str">
        <f>_xlfn.XLOOKUP(X85,ShiftCodes[Code],ShiftCodes[Work Schedule],"Unknown code")</f>
        <v>Standard (Mon–Fri 9:00–17:30)</v>
      </c>
      <c r="X85" s="9" t="s">
        <v>39</v>
      </c>
      <c r="Y85" s="5"/>
    </row>
    <row r="86" spans="1:25" ht="16" x14ac:dyDescent="0.2">
      <c r="A86" s="5" t="s">
        <v>204</v>
      </c>
      <c r="B86" s="5" t="s">
        <v>112</v>
      </c>
      <c r="C86" s="5" t="s">
        <v>100</v>
      </c>
      <c r="D86" s="5" t="s">
        <v>28</v>
      </c>
      <c r="E86" s="5" t="s">
        <v>29</v>
      </c>
      <c r="F86" s="5" t="s">
        <v>119</v>
      </c>
      <c r="G86" s="5" t="s">
        <v>31</v>
      </c>
      <c r="H86" s="5" t="s">
        <v>8</v>
      </c>
      <c r="I86" s="10">
        <v>234000</v>
      </c>
      <c r="J86" s="12"/>
      <c r="K86" s="5" t="s">
        <v>33</v>
      </c>
      <c r="L86" s="5" t="s">
        <v>34</v>
      </c>
      <c r="M86" s="6">
        <v>45297</v>
      </c>
      <c r="N86" s="6"/>
      <c r="O86" s="6"/>
      <c r="P86" s="5" t="s">
        <v>169</v>
      </c>
      <c r="Q86" s="5" t="s">
        <v>36</v>
      </c>
      <c r="R86" s="8" t="s">
        <v>37</v>
      </c>
      <c r="S86" s="5">
        <v>40</v>
      </c>
      <c r="T86" s="5" t="s">
        <v>38</v>
      </c>
      <c r="U86" s="8" t="str">
        <f t="shared" si="2"/>
        <v/>
      </c>
      <c r="V86" s="8" t="str">
        <f t="shared" si="3"/>
        <v/>
      </c>
      <c r="W86" s="8" t="str">
        <f>_xlfn.XLOOKUP(X86,ShiftCodes[Code],ShiftCodes[Work Schedule],"Unknown code")</f>
        <v>Standard (Mon–Fri 9:00–17:30)</v>
      </c>
      <c r="X86" s="9" t="s">
        <v>39</v>
      </c>
      <c r="Y86" s="5"/>
    </row>
    <row r="87" spans="1:25" ht="16" x14ac:dyDescent="0.2">
      <c r="A87" s="5" t="s">
        <v>205</v>
      </c>
      <c r="B87" s="5" t="s">
        <v>109</v>
      </c>
      <c r="C87" s="5" t="s">
        <v>76</v>
      </c>
      <c r="D87" s="5" t="s">
        <v>28</v>
      </c>
      <c r="E87" s="5" t="s">
        <v>29</v>
      </c>
      <c r="F87" s="5" t="s">
        <v>163</v>
      </c>
      <c r="G87" s="5" t="s">
        <v>31</v>
      </c>
      <c r="H87" s="5" t="s">
        <v>8</v>
      </c>
      <c r="I87" s="10">
        <v>157000</v>
      </c>
      <c r="J87" s="12"/>
      <c r="K87" s="5" t="s">
        <v>33</v>
      </c>
      <c r="L87" s="5" t="s">
        <v>34</v>
      </c>
      <c r="M87" s="6">
        <v>45307</v>
      </c>
      <c r="N87" s="6"/>
      <c r="O87" s="6"/>
      <c r="P87" s="5" t="s">
        <v>200</v>
      </c>
      <c r="Q87" s="5" t="s">
        <v>36</v>
      </c>
      <c r="R87" s="8" t="s">
        <v>37</v>
      </c>
      <c r="S87" s="5">
        <v>40</v>
      </c>
      <c r="T87" s="5" t="s">
        <v>38</v>
      </c>
      <c r="U87" s="8" t="str">
        <f t="shared" si="2"/>
        <v/>
      </c>
      <c r="V87" s="8" t="str">
        <f t="shared" si="3"/>
        <v/>
      </c>
      <c r="W87" s="8" t="str">
        <f>_xlfn.XLOOKUP(X87,ShiftCodes[Code],ShiftCodes[Work Schedule],"Unknown code")</f>
        <v>Standard (Mon–Fri 9:00–17:30)</v>
      </c>
      <c r="X87" s="9" t="s">
        <v>39</v>
      </c>
      <c r="Y87" s="5"/>
    </row>
    <row r="88" spans="1:25" ht="16" x14ac:dyDescent="0.2">
      <c r="A88" s="5" t="s">
        <v>206</v>
      </c>
      <c r="B88" s="5" t="s">
        <v>103</v>
      </c>
      <c r="C88" s="5" t="s">
        <v>41</v>
      </c>
      <c r="D88" s="5" t="s">
        <v>42</v>
      </c>
      <c r="E88" s="5" t="s">
        <v>29</v>
      </c>
      <c r="F88" s="5" t="s">
        <v>156</v>
      </c>
      <c r="G88" s="5" t="s">
        <v>31</v>
      </c>
      <c r="H88" s="5" t="s">
        <v>8</v>
      </c>
      <c r="I88" s="10">
        <v>233000</v>
      </c>
      <c r="J88" s="12"/>
      <c r="K88" s="5" t="s">
        <v>33</v>
      </c>
      <c r="L88" s="5" t="s">
        <v>34</v>
      </c>
      <c r="M88" s="6">
        <v>45320</v>
      </c>
      <c r="N88" s="6"/>
      <c r="O88" s="6"/>
      <c r="P88" s="5" t="s">
        <v>181</v>
      </c>
      <c r="Q88" s="5" t="s">
        <v>36</v>
      </c>
      <c r="R88" s="8" t="s">
        <v>37</v>
      </c>
      <c r="S88" s="5">
        <v>40</v>
      </c>
      <c r="T88" s="5" t="s">
        <v>38</v>
      </c>
      <c r="U88" s="8" t="str">
        <f t="shared" si="2"/>
        <v/>
      </c>
      <c r="V88" s="8" t="str">
        <f t="shared" si="3"/>
        <v/>
      </c>
      <c r="W88" s="8" t="str">
        <f>_xlfn.XLOOKUP(X88,ShiftCodes[Code],ShiftCodes[Work Schedule],"Unknown code")</f>
        <v>Standard (Mon–Fri 9:00–17:30)</v>
      </c>
      <c r="X88" s="9" t="s">
        <v>39</v>
      </c>
      <c r="Y88" s="5"/>
    </row>
    <row r="89" spans="1:25" ht="16" x14ac:dyDescent="0.2">
      <c r="A89" s="5" t="s">
        <v>207</v>
      </c>
      <c r="B89" s="5" t="s">
        <v>99</v>
      </c>
      <c r="C89" s="5" t="s">
        <v>180</v>
      </c>
      <c r="D89" s="5" t="s">
        <v>52</v>
      </c>
      <c r="E89" s="5" t="s">
        <v>52</v>
      </c>
      <c r="F89" s="5" t="s">
        <v>163</v>
      </c>
      <c r="G89" s="5" t="s">
        <v>31</v>
      </c>
      <c r="H89" s="5" t="s">
        <v>8</v>
      </c>
      <c r="I89" s="10">
        <v>88000</v>
      </c>
      <c r="J89" s="17"/>
      <c r="K89" s="5" t="s">
        <v>55</v>
      </c>
      <c r="L89" s="5" t="s">
        <v>56</v>
      </c>
      <c r="M89" s="6">
        <v>45322</v>
      </c>
      <c r="N89" s="6"/>
      <c r="O89" s="6"/>
      <c r="P89" s="5" t="s">
        <v>191</v>
      </c>
      <c r="Q89" s="5" t="s">
        <v>36</v>
      </c>
      <c r="R89" s="8" t="s">
        <v>37</v>
      </c>
      <c r="S89" s="5">
        <v>37.5</v>
      </c>
      <c r="T89" s="5" t="s">
        <v>38</v>
      </c>
      <c r="U89" s="8" t="str">
        <f t="shared" si="2"/>
        <v/>
      </c>
      <c r="V89" s="8" t="str">
        <f t="shared" si="3"/>
        <v/>
      </c>
      <c r="W89" s="8" t="str">
        <f>_xlfn.XLOOKUP(X89,ShiftCodes[Code],ShiftCodes[Work Schedule],"Unknown code")</f>
        <v>Standard (Mon–Fri 9:00–17:30)</v>
      </c>
      <c r="X89" s="9" t="s">
        <v>39</v>
      </c>
      <c r="Y89" s="5"/>
    </row>
    <row r="90" spans="1:25" ht="16" x14ac:dyDescent="0.2">
      <c r="A90" s="5" t="s">
        <v>208</v>
      </c>
      <c r="B90" s="5" t="s">
        <v>112</v>
      </c>
      <c r="C90" s="5" t="s">
        <v>100</v>
      </c>
      <c r="D90" s="5" t="s">
        <v>28</v>
      </c>
      <c r="E90" s="5" t="s">
        <v>29</v>
      </c>
      <c r="F90" s="5" t="s">
        <v>119</v>
      </c>
      <c r="G90" s="5" t="s">
        <v>31</v>
      </c>
      <c r="H90" s="5" t="s">
        <v>8</v>
      </c>
      <c r="I90" s="10">
        <v>215000</v>
      </c>
      <c r="J90" s="12"/>
      <c r="K90" s="5" t="s">
        <v>33</v>
      </c>
      <c r="L90" s="5" t="s">
        <v>34</v>
      </c>
      <c r="M90" s="6">
        <v>45323</v>
      </c>
      <c r="N90" s="6"/>
      <c r="O90" s="6"/>
      <c r="P90" s="5" t="s">
        <v>146</v>
      </c>
      <c r="Q90" s="5" t="s">
        <v>36</v>
      </c>
      <c r="R90" s="8" t="s">
        <v>37</v>
      </c>
      <c r="S90" s="5">
        <v>40</v>
      </c>
      <c r="T90" s="5" t="s">
        <v>38</v>
      </c>
      <c r="U90" s="8" t="str">
        <f t="shared" si="2"/>
        <v/>
      </c>
      <c r="V90" s="8" t="str">
        <f t="shared" si="3"/>
        <v/>
      </c>
      <c r="W90" s="8" t="str">
        <f>_xlfn.XLOOKUP(X90,ShiftCodes[Code],ShiftCodes[Work Schedule],"Unknown code")</f>
        <v>Standard (Mon–Fri 9:00–17:30)</v>
      </c>
      <c r="X90" s="9" t="s">
        <v>39</v>
      </c>
      <c r="Y90" s="5"/>
    </row>
    <row r="91" spans="1:25" ht="16" x14ac:dyDescent="0.2">
      <c r="A91" s="5" t="s">
        <v>209</v>
      </c>
      <c r="B91" s="5" t="s">
        <v>112</v>
      </c>
      <c r="C91" s="5" t="s">
        <v>68</v>
      </c>
      <c r="D91" s="5" t="s">
        <v>69</v>
      </c>
      <c r="E91" s="5" t="s">
        <v>70</v>
      </c>
      <c r="F91" s="5" t="s">
        <v>119</v>
      </c>
      <c r="G91" s="5" t="s">
        <v>31</v>
      </c>
      <c r="H91" s="5" t="s">
        <v>8</v>
      </c>
      <c r="I91" s="15">
        <v>7300000</v>
      </c>
      <c r="J91" s="16"/>
      <c r="K91" s="5" t="s">
        <v>72</v>
      </c>
      <c r="L91" s="5" t="s">
        <v>73</v>
      </c>
      <c r="M91" s="6">
        <v>45331</v>
      </c>
      <c r="N91" s="6"/>
      <c r="O91" s="6"/>
      <c r="P91" s="5" t="s">
        <v>169</v>
      </c>
      <c r="Q91" s="5" t="s">
        <v>36</v>
      </c>
      <c r="R91" s="8" t="s">
        <v>37</v>
      </c>
      <c r="S91" s="5">
        <v>40</v>
      </c>
      <c r="T91" s="5" t="s">
        <v>38</v>
      </c>
      <c r="U91" s="8" t="str">
        <f t="shared" si="2"/>
        <v/>
      </c>
      <c r="V91" s="8" t="str">
        <f t="shared" si="3"/>
        <v/>
      </c>
      <c r="W91" s="8" t="str">
        <f>_xlfn.XLOOKUP(X91,ShiftCodes[Code],ShiftCodes[Work Schedule],"Unknown code")</f>
        <v>Standard (Mon–Fri 9:00–17:30)</v>
      </c>
      <c r="X91" s="9" t="s">
        <v>39</v>
      </c>
      <c r="Y91" s="5"/>
    </row>
    <row r="92" spans="1:25" ht="16" x14ac:dyDescent="0.2">
      <c r="A92" s="5" t="s">
        <v>210</v>
      </c>
      <c r="B92" s="5" t="s">
        <v>103</v>
      </c>
      <c r="C92" s="5" t="s">
        <v>100</v>
      </c>
      <c r="D92" s="5" t="s">
        <v>28</v>
      </c>
      <c r="E92" s="5" t="s">
        <v>29</v>
      </c>
      <c r="F92" s="5" t="s">
        <v>156</v>
      </c>
      <c r="G92" s="5" t="s">
        <v>31</v>
      </c>
      <c r="H92" s="5" t="s">
        <v>8</v>
      </c>
      <c r="I92" s="10">
        <v>217000</v>
      </c>
      <c r="J92" s="12"/>
      <c r="K92" s="5" t="s">
        <v>33</v>
      </c>
      <c r="L92" s="5" t="s">
        <v>34</v>
      </c>
      <c r="M92" s="6">
        <v>45334</v>
      </c>
      <c r="N92" s="6"/>
      <c r="O92" s="6"/>
      <c r="P92" s="5" t="s">
        <v>175</v>
      </c>
      <c r="Q92" s="5" t="s">
        <v>36</v>
      </c>
      <c r="R92" s="8" t="s">
        <v>37</v>
      </c>
      <c r="S92" s="5">
        <v>40</v>
      </c>
      <c r="T92" s="5" t="s">
        <v>38</v>
      </c>
      <c r="U92" s="8" t="str">
        <f t="shared" si="2"/>
        <v/>
      </c>
      <c r="V92" s="8" t="str">
        <f t="shared" si="3"/>
        <v/>
      </c>
      <c r="W92" s="8" t="str">
        <f>_xlfn.XLOOKUP(X92,ShiftCodes[Code],ShiftCodes[Work Schedule],"Unknown code")</f>
        <v>Standard (Mon–Fri 9:00–17:30)</v>
      </c>
      <c r="X92" s="9" t="s">
        <v>39</v>
      </c>
      <c r="Y92" s="5"/>
    </row>
    <row r="93" spans="1:25" ht="16" x14ac:dyDescent="0.2">
      <c r="A93" s="5" t="s">
        <v>211</v>
      </c>
      <c r="B93" s="5" t="s">
        <v>109</v>
      </c>
      <c r="C93" s="5" t="s">
        <v>76</v>
      </c>
      <c r="D93" s="5" t="s">
        <v>28</v>
      </c>
      <c r="E93" s="5" t="s">
        <v>29</v>
      </c>
      <c r="F93" s="5" t="s">
        <v>121</v>
      </c>
      <c r="G93" s="5" t="s">
        <v>78</v>
      </c>
      <c r="H93" s="5" t="s">
        <v>79</v>
      </c>
      <c r="I93" s="10"/>
      <c r="J93" s="12">
        <v>39</v>
      </c>
      <c r="K93" s="5" t="s">
        <v>33</v>
      </c>
      <c r="L93" s="5" t="s">
        <v>80</v>
      </c>
      <c r="M93" s="6">
        <v>45343</v>
      </c>
      <c r="N93" s="6"/>
      <c r="O93" s="6"/>
      <c r="P93" s="5" t="s">
        <v>128</v>
      </c>
      <c r="Q93" s="5" t="s">
        <v>36</v>
      </c>
      <c r="R93" s="8" t="s">
        <v>37</v>
      </c>
      <c r="S93" s="5">
        <v>36</v>
      </c>
      <c r="T93" s="5" t="s">
        <v>38</v>
      </c>
      <c r="U93" s="8" t="str">
        <f t="shared" si="2"/>
        <v>US Non-Exempt EEs</v>
      </c>
      <c r="V93" s="8" t="str">
        <f t="shared" si="3"/>
        <v>US California Non-Exempt</v>
      </c>
      <c r="W93" s="8" t="str">
        <f>_xlfn.XLOOKUP(X93,ShiftCodes[Code],ShiftCodes[Work Schedule],"Unknown code")</f>
        <v>Shift D – Weekend (Fri–Sun 06:00–18:30)</v>
      </c>
      <c r="X93" s="9" t="s">
        <v>151</v>
      </c>
      <c r="Y93" s="5"/>
    </row>
    <row r="94" spans="1:25" ht="16" x14ac:dyDescent="0.2">
      <c r="A94" s="5" t="s">
        <v>212</v>
      </c>
      <c r="B94" s="5" t="s">
        <v>109</v>
      </c>
      <c r="C94" s="5" t="s">
        <v>76</v>
      </c>
      <c r="D94" s="5" t="s">
        <v>28</v>
      </c>
      <c r="E94" s="5" t="s">
        <v>29</v>
      </c>
      <c r="F94" s="5" t="s">
        <v>124</v>
      </c>
      <c r="G94" s="5" t="s">
        <v>31</v>
      </c>
      <c r="H94" s="5" t="s">
        <v>8</v>
      </c>
      <c r="I94" s="10">
        <v>115000</v>
      </c>
      <c r="J94" s="12"/>
      <c r="K94" s="5" t="s">
        <v>33</v>
      </c>
      <c r="L94" s="5" t="s">
        <v>34</v>
      </c>
      <c r="M94" s="6">
        <v>45354</v>
      </c>
      <c r="N94" s="6"/>
      <c r="O94" s="6"/>
      <c r="P94" s="5" t="s">
        <v>200</v>
      </c>
      <c r="Q94" s="5" t="s">
        <v>36</v>
      </c>
      <c r="R94" s="8" t="s">
        <v>37</v>
      </c>
      <c r="S94" s="5">
        <v>40</v>
      </c>
      <c r="T94" s="5" t="s">
        <v>38</v>
      </c>
      <c r="U94" s="8" t="str">
        <f t="shared" si="2"/>
        <v/>
      </c>
      <c r="V94" s="8" t="str">
        <f t="shared" si="3"/>
        <v/>
      </c>
      <c r="W94" s="8" t="str">
        <f>_xlfn.XLOOKUP(X94,ShiftCodes[Code],ShiftCodes[Work Schedule],"Unknown code")</f>
        <v>Standard (Mon–Fri 9:00–17:30)</v>
      </c>
      <c r="X94" s="9" t="s">
        <v>39</v>
      </c>
      <c r="Y94" s="5"/>
    </row>
    <row r="95" spans="1:25" ht="16" x14ac:dyDescent="0.2">
      <c r="A95" s="5" t="s">
        <v>213</v>
      </c>
      <c r="B95" s="5" t="s">
        <v>109</v>
      </c>
      <c r="C95" s="5" t="s">
        <v>76</v>
      </c>
      <c r="D95" s="5" t="s">
        <v>28</v>
      </c>
      <c r="E95" s="5" t="s">
        <v>29</v>
      </c>
      <c r="F95" s="5" t="s">
        <v>119</v>
      </c>
      <c r="G95" s="5" t="s">
        <v>31</v>
      </c>
      <c r="H95" s="5" t="s">
        <v>8</v>
      </c>
      <c r="I95" s="10">
        <v>205000</v>
      </c>
      <c r="J95" s="12"/>
      <c r="K95" s="5" t="s">
        <v>33</v>
      </c>
      <c r="L95" s="5" t="s">
        <v>34</v>
      </c>
      <c r="M95" s="6">
        <v>45355</v>
      </c>
      <c r="N95" s="6"/>
      <c r="O95" s="6"/>
      <c r="P95" s="5" t="s">
        <v>117</v>
      </c>
      <c r="Q95" s="5" t="s">
        <v>36</v>
      </c>
      <c r="R95" s="8" t="s">
        <v>37</v>
      </c>
      <c r="S95" s="5">
        <v>40</v>
      </c>
      <c r="T95" s="5" t="s">
        <v>38</v>
      </c>
      <c r="U95" s="8" t="str">
        <f t="shared" si="2"/>
        <v/>
      </c>
      <c r="V95" s="8" t="str">
        <f t="shared" si="3"/>
        <v/>
      </c>
      <c r="W95" s="8" t="str">
        <f>_xlfn.XLOOKUP(X95,ShiftCodes[Code],ShiftCodes[Work Schedule],"Unknown code")</f>
        <v>Standard (Mon–Fri 9:00–17:30)</v>
      </c>
      <c r="X95" s="9" t="s">
        <v>39</v>
      </c>
      <c r="Y95" s="5"/>
    </row>
    <row r="96" spans="1:25" ht="16" x14ac:dyDescent="0.2">
      <c r="A96" s="5" t="s">
        <v>214</v>
      </c>
      <c r="B96" s="5" t="s">
        <v>112</v>
      </c>
      <c r="C96" s="5" t="s">
        <v>68</v>
      </c>
      <c r="D96" s="5" t="s">
        <v>69</v>
      </c>
      <c r="E96" s="5" t="s">
        <v>70</v>
      </c>
      <c r="F96" s="5" t="s">
        <v>165</v>
      </c>
      <c r="G96" s="5" t="s">
        <v>31</v>
      </c>
      <c r="H96" s="5" t="s">
        <v>8</v>
      </c>
      <c r="I96" s="15">
        <v>5500000</v>
      </c>
      <c r="J96" s="16"/>
      <c r="K96" s="5" t="s">
        <v>72</v>
      </c>
      <c r="L96" s="5" t="s">
        <v>73</v>
      </c>
      <c r="M96" s="6">
        <v>45357</v>
      </c>
      <c r="N96" s="6"/>
      <c r="O96" s="6"/>
      <c r="P96" s="5" t="s">
        <v>209</v>
      </c>
      <c r="Q96" s="5" t="s">
        <v>36</v>
      </c>
      <c r="R96" s="8" t="s">
        <v>37</v>
      </c>
      <c r="S96" s="5">
        <v>40</v>
      </c>
      <c r="T96" s="5" t="s">
        <v>38</v>
      </c>
      <c r="U96" s="8" t="str">
        <f t="shared" si="2"/>
        <v/>
      </c>
      <c r="V96" s="8" t="str">
        <f t="shared" si="3"/>
        <v/>
      </c>
      <c r="W96" s="8" t="str">
        <f>_xlfn.XLOOKUP(X96,ShiftCodes[Code],ShiftCodes[Work Schedule],"Unknown code")</f>
        <v>Standard (Mon–Fri 9:00–17:30)</v>
      </c>
      <c r="X96" s="9" t="s">
        <v>39</v>
      </c>
      <c r="Y96" s="5"/>
    </row>
    <row r="97" spans="1:25" ht="16" x14ac:dyDescent="0.2">
      <c r="A97" s="5" t="s">
        <v>215</v>
      </c>
      <c r="B97" s="5" t="s">
        <v>103</v>
      </c>
      <c r="C97" s="5" t="s">
        <v>41</v>
      </c>
      <c r="D97" s="5" t="s">
        <v>189</v>
      </c>
      <c r="E97" s="5" t="s">
        <v>29</v>
      </c>
      <c r="F97" s="5" t="s">
        <v>165</v>
      </c>
      <c r="G97" s="5" t="s">
        <v>31</v>
      </c>
      <c r="H97" s="5" t="s">
        <v>8</v>
      </c>
      <c r="I97" s="10">
        <v>202000</v>
      </c>
      <c r="J97" s="12"/>
      <c r="K97" s="5" t="s">
        <v>33</v>
      </c>
      <c r="L97" s="5" t="s">
        <v>34</v>
      </c>
      <c r="M97" s="6">
        <v>45360</v>
      </c>
      <c r="N97" s="6"/>
      <c r="O97" s="6"/>
      <c r="P97" s="5" t="s">
        <v>175</v>
      </c>
      <c r="Q97" s="5" t="s">
        <v>36</v>
      </c>
      <c r="R97" s="8" t="s">
        <v>37</v>
      </c>
      <c r="S97" s="5">
        <v>40</v>
      </c>
      <c r="T97" s="5" t="s">
        <v>38</v>
      </c>
      <c r="U97" s="8" t="str">
        <f t="shared" si="2"/>
        <v/>
      </c>
      <c r="V97" s="8" t="str">
        <f t="shared" si="3"/>
        <v/>
      </c>
      <c r="W97" s="8" t="str">
        <f>_xlfn.XLOOKUP(X97,ShiftCodes[Code],ShiftCodes[Work Schedule],"Unknown code")</f>
        <v>Standard (Mon–Fri 9:00–17:30)</v>
      </c>
      <c r="X97" s="9" t="s">
        <v>39</v>
      </c>
      <c r="Y97" s="5"/>
    </row>
    <row r="98" spans="1:25" ht="16" x14ac:dyDescent="0.2">
      <c r="A98" s="5" t="s">
        <v>216</v>
      </c>
      <c r="B98" s="5" t="s">
        <v>112</v>
      </c>
      <c r="C98" s="5" t="s">
        <v>106</v>
      </c>
      <c r="D98" s="5" t="s">
        <v>42</v>
      </c>
      <c r="E98" s="5" t="s">
        <v>29</v>
      </c>
      <c r="F98" s="5" t="s">
        <v>163</v>
      </c>
      <c r="G98" s="5" t="s">
        <v>31</v>
      </c>
      <c r="H98" s="5" t="s">
        <v>8</v>
      </c>
      <c r="I98" s="10">
        <v>167000</v>
      </c>
      <c r="J98" s="12"/>
      <c r="K98" s="5" t="s">
        <v>33</v>
      </c>
      <c r="L98" s="5" t="s">
        <v>34</v>
      </c>
      <c r="M98" s="6">
        <v>45363</v>
      </c>
      <c r="N98" s="6"/>
      <c r="O98" s="6"/>
      <c r="P98" s="5" t="s">
        <v>187</v>
      </c>
      <c r="Q98" s="5" t="s">
        <v>36</v>
      </c>
      <c r="R98" s="8" t="s">
        <v>37</v>
      </c>
      <c r="S98" s="5">
        <v>40</v>
      </c>
      <c r="T98" s="5" t="s">
        <v>38</v>
      </c>
      <c r="U98" s="8" t="str">
        <f t="shared" si="2"/>
        <v/>
      </c>
      <c r="V98" s="8" t="str">
        <f t="shared" si="3"/>
        <v/>
      </c>
      <c r="W98" s="8" t="str">
        <f>_xlfn.XLOOKUP(X98,ShiftCodes[Code],ShiftCodes[Work Schedule],"Unknown code")</f>
        <v>Standard (Mon–Fri 9:00–17:30)</v>
      </c>
      <c r="X98" s="9" t="s">
        <v>39</v>
      </c>
      <c r="Y98" s="5"/>
    </row>
    <row r="99" spans="1:25" ht="16" x14ac:dyDescent="0.2">
      <c r="A99" s="5" t="s">
        <v>217</v>
      </c>
      <c r="B99" s="5" t="s">
        <v>99</v>
      </c>
      <c r="C99" s="5" t="s">
        <v>68</v>
      </c>
      <c r="D99" s="5" t="s">
        <v>69</v>
      </c>
      <c r="E99" s="5" t="s">
        <v>70</v>
      </c>
      <c r="F99" s="5" t="s">
        <v>124</v>
      </c>
      <c r="G99" s="5" t="s">
        <v>31</v>
      </c>
      <c r="H99" s="5" t="s">
        <v>8</v>
      </c>
      <c r="I99" s="15">
        <v>2260000</v>
      </c>
      <c r="J99" s="16"/>
      <c r="K99" s="5" t="s">
        <v>72</v>
      </c>
      <c r="L99" s="5" t="s">
        <v>73</v>
      </c>
      <c r="M99" s="6">
        <v>45363</v>
      </c>
      <c r="N99" s="6"/>
      <c r="O99" s="6"/>
      <c r="P99" s="5" t="s">
        <v>171</v>
      </c>
      <c r="Q99" s="5" t="s">
        <v>36</v>
      </c>
      <c r="R99" s="8" t="s">
        <v>37</v>
      </c>
      <c r="S99" s="5">
        <v>40</v>
      </c>
      <c r="T99" s="5" t="s">
        <v>38</v>
      </c>
      <c r="U99" s="8" t="str">
        <f t="shared" si="2"/>
        <v/>
      </c>
      <c r="V99" s="8" t="str">
        <f t="shared" si="3"/>
        <v/>
      </c>
      <c r="W99" s="8" t="str">
        <f>_xlfn.XLOOKUP(X99,ShiftCodes[Code],ShiftCodes[Work Schedule],"Unknown code")</f>
        <v>Standard (Mon–Fri 9:00–17:30)</v>
      </c>
      <c r="X99" s="9" t="s">
        <v>39</v>
      </c>
      <c r="Y99" s="5"/>
    </row>
    <row r="100" spans="1:25" ht="16" x14ac:dyDescent="0.2">
      <c r="A100" s="5" t="s">
        <v>218</v>
      </c>
      <c r="B100" s="5" t="s">
        <v>103</v>
      </c>
      <c r="C100" s="5" t="s">
        <v>180</v>
      </c>
      <c r="D100" s="5" t="s">
        <v>52</v>
      </c>
      <c r="E100" s="5" t="s">
        <v>52</v>
      </c>
      <c r="F100" s="5" t="s">
        <v>119</v>
      </c>
      <c r="G100" s="5" t="s">
        <v>31</v>
      </c>
      <c r="H100" s="5" t="s">
        <v>8</v>
      </c>
      <c r="I100" s="10">
        <v>133000</v>
      </c>
      <c r="J100" s="17"/>
      <c r="K100" s="5" t="s">
        <v>55</v>
      </c>
      <c r="L100" s="5" t="s">
        <v>56</v>
      </c>
      <c r="M100" s="6">
        <v>45365</v>
      </c>
      <c r="N100" s="6"/>
      <c r="O100" s="6"/>
      <c r="P100" s="5" t="s">
        <v>105</v>
      </c>
      <c r="Q100" s="5" t="s">
        <v>36</v>
      </c>
      <c r="R100" s="8" t="s">
        <v>37</v>
      </c>
      <c r="S100" s="5">
        <v>37.5</v>
      </c>
      <c r="T100" s="5" t="s">
        <v>38</v>
      </c>
      <c r="U100" s="8" t="str">
        <f t="shared" si="2"/>
        <v/>
      </c>
      <c r="V100" s="8" t="str">
        <f t="shared" si="3"/>
        <v/>
      </c>
      <c r="W100" s="8" t="str">
        <f>_xlfn.XLOOKUP(X100,ShiftCodes[Code],ShiftCodes[Work Schedule],"Unknown code")</f>
        <v>Standard (Mon–Fri 9:00–17:30)</v>
      </c>
      <c r="X100" s="9" t="s">
        <v>39</v>
      </c>
      <c r="Y100" s="5"/>
    </row>
    <row r="101" spans="1:25" ht="16" x14ac:dyDescent="0.2">
      <c r="A101" s="5" t="s">
        <v>219</v>
      </c>
      <c r="B101" s="5" t="s">
        <v>109</v>
      </c>
      <c r="C101" s="5" t="s">
        <v>113</v>
      </c>
      <c r="D101" s="5" t="s">
        <v>84</v>
      </c>
      <c r="E101" s="5" t="s">
        <v>29</v>
      </c>
      <c r="F101" s="5" t="s">
        <v>121</v>
      </c>
      <c r="G101" s="5" t="s">
        <v>78</v>
      </c>
      <c r="H101" s="5" t="s">
        <v>79</v>
      </c>
      <c r="I101" s="10"/>
      <c r="J101" s="12">
        <v>32.25</v>
      </c>
      <c r="K101" s="5" t="s">
        <v>33</v>
      </c>
      <c r="L101" s="5" t="s">
        <v>80</v>
      </c>
      <c r="M101" s="6">
        <v>45372</v>
      </c>
      <c r="N101" s="6"/>
      <c r="O101" s="6"/>
      <c r="P101" s="5" t="s">
        <v>118</v>
      </c>
      <c r="Q101" s="5" t="s">
        <v>36</v>
      </c>
      <c r="R101" s="8" t="s">
        <v>37</v>
      </c>
      <c r="S101" s="5">
        <v>36</v>
      </c>
      <c r="T101" s="5" t="s">
        <v>38</v>
      </c>
      <c r="U101" s="8" t="str">
        <f t="shared" si="2"/>
        <v>US Non-Exempt EEs</v>
      </c>
      <c r="V101" s="8" t="str">
        <f t="shared" si="3"/>
        <v>US Non-California Non-Exempt</v>
      </c>
      <c r="W101" s="8" t="str">
        <f>_xlfn.XLOOKUP(X101,ShiftCodes[Code],ShiftCodes[Work Schedule],"Unknown code")</f>
        <v>Shift D – Weekend (Fri–Sun 06:00–18:30)</v>
      </c>
      <c r="X101" s="9" t="s">
        <v>151</v>
      </c>
      <c r="Y101" s="5"/>
    </row>
    <row r="102" spans="1:25" ht="16" x14ac:dyDescent="0.2">
      <c r="A102" s="5" t="s">
        <v>220</v>
      </c>
      <c r="B102" s="5" t="s">
        <v>112</v>
      </c>
      <c r="C102" s="5" t="s">
        <v>100</v>
      </c>
      <c r="D102" s="5" t="s">
        <v>28</v>
      </c>
      <c r="E102" s="5" t="s">
        <v>29</v>
      </c>
      <c r="F102" s="5" t="s">
        <v>124</v>
      </c>
      <c r="G102" s="5" t="s">
        <v>31</v>
      </c>
      <c r="H102" s="5" t="s">
        <v>8</v>
      </c>
      <c r="I102" s="10">
        <v>118000</v>
      </c>
      <c r="J102" s="12"/>
      <c r="K102" s="5" t="s">
        <v>33</v>
      </c>
      <c r="L102" s="5" t="s">
        <v>34</v>
      </c>
      <c r="M102" s="6">
        <v>45379</v>
      </c>
      <c r="N102" s="6"/>
      <c r="O102" s="6"/>
      <c r="P102" s="5" t="s">
        <v>208</v>
      </c>
      <c r="Q102" s="5" t="s">
        <v>36</v>
      </c>
      <c r="R102" s="8" t="s">
        <v>37</v>
      </c>
      <c r="S102" s="5">
        <v>40</v>
      </c>
      <c r="T102" s="5" t="s">
        <v>38</v>
      </c>
      <c r="U102" s="8" t="str">
        <f t="shared" si="2"/>
        <v/>
      </c>
      <c r="V102" s="8" t="str">
        <f t="shared" si="3"/>
        <v/>
      </c>
      <c r="W102" s="8" t="str">
        <f>_xlfn.XLOOKUP(X102,ShiftCodes[Code],ShiftCodes[Work Schedule],"Unknown code")</f>
        <v>Standard (Mon–Fri 9:00–17:30)</v>
      </c>
      <c r="X102" s="9" t="s">
        <v>39</v>
      </c>
      <c r="Y102" s="5"/>
    </row>
    <row r="103" spans="1:25" ht="16" x14ac:dyDescent="0.2">
      <c r="A103" s="5" t="s">
        <v>221</v>
      </c>
      <c r="B103" s="5" t="s">
        <v>103</v>
      </c>
      <c r="C103" s="5" t="s">
        <v>180</v>
      </c>
      <c r="D103" s="5" t="s">
        <v>52</v>
      </c>
      <c r="E103" s="5" t="s">
        <v>52</v>
      </c>
      <c r="F103" s="5" t="s">
        <v>124</v>
      </c>
      <c r="G103" s="5" t="s">
        <v>31</v>
      </c>
      <c r="H103" s="5" t="s">
        <v>8</v>
      </c>
      <c r="I103" s="10">
        <v>71000</v>
      </c>
      <c r="J103" s="17"/>
      <c r="K103" s="5" t="s">
        <v>55</v>
      </c>
      <c r="L103" s="5" t="s">
        <v>56</v>
      </c>
      <c r="M103" s="6">
        <v>45384</v>
      </c>
      <c r="N103" s="6"/>
      <c r="O103" s="6"/>
      <c r="P103" s="5" t="s">
        <v>218</v>
      </c>
      <c r="Q103" s="5" t="s">
        <v>36</v>
      </c>
      <c r="R103" s="8" t="s">
        <v>37</v>
      </c>
      <c r="S103" s="5">
        <v>37.5</v>
      </c>
      <c r="T103" s="5" t="s">
        <v>38</v>
      </c>
      <c r="U103" s="8" t="str">
        <f t="shared" si="2"/>
        <v/>
      </c>
      <c r="V103" s="8" t="str">
        <f t="shared" si="3"/>
        <v/>
      </c>
      <c r="W103" s="8" t="str">
        <f>_xlfn.XLOOKUP(X103,ShiftCodes[Code],ShiftCodes[Work Schedule],"Unknown code")</f>
        <v>Standard (Mon–Fri 9:00–17:30)</v>
      </c>
      <c r="X103" s="9" t="s">
        <v>39</v>
      </c>
      <c r="Y103" s="5"/>
    </row>
    <row r="104" spans="1:25" ht="16" x14ac:dyDescent="0.2">
      <c r="A104" s="5" t="s">
        <v>222</v>
      </c>
      <c r="B104" s="5" t="s">
        <v>103</v>
      </c>
      <c r="C104" s="5" t="s">
        <v>41</v>
      </c>
      <c r="D104" s="5" t="s">
        <v>154</v>
      </c>
      <c r="E104" s="5" t="s">
        <v>29</v>
      </c>
      <c r="F104" s="5" t="s">
        <v>163</v>
      </c>
      <c r="G104" s="5" t="s">
        <v>31</v>
      </c>
      <c r="H104" s="5" t="s">
        <v>8</v>
      </c>
      <c r="I104" s="10">
        <v>171000</v>
      </c>
      <c r="J104" s="12"/>
      <c r="K104" s="5" t="s">
        <v>33</v>
      </c>
      <c r="L104" s="5" t="s">
        <v>34</v>
      </c>
      <c r="M104" s="6">
        <v>45386</v>
      </c>
      <c r="N104" s="6"/>
      <c r="O104" s="6"/>
      <c r="P104" s="5" t="s">
        <v>122</v>
      </c>
      <c r="Q104" s="5" t="s">
        <v>36</v>
      </c>
      <c r="R104" s="8" t="s">
        <v>37</v>
      </c>
      <c r="S104" s="5">
        <v>40</v>
      </c>
      <c r="T104" s="5" t="s">
        <v>38</v>
      </c>
      <c r="U104" s="8" t="str">
        <f t="shared" si="2"/>
        <v/>
      </c>
      <c r="V104" s="8" t="str">
        <f t="shared" si="3"/>
        <v/>
      </c>
      <c r="W104" s="8" t="str">
        <f>_xlfn.XLOOKUP(X104,ShiftCodes[Code],ShiftCodes[Work Schedule],"Unknown code")</f>
        <v>Standard (Mon–Fri 9:00–17:30)</v>
      </c>
      <c r="X104" s="9" t="s">
        <v>39</v>
      </c>
      <c r="Y104" s="5"/>
    </row>
    <row r="105" spans="1:25" ht="16" x14ac:dyDescent="0.2">
      <c r="A105" s="5" t="s">
        <v>223</v>
      </c>
      <c r="B105" s="5" t="s">
        <v>112</v>
      </c>
      <c r="C105" s="5" t="s">
        <v>224</v>
      </c>
      <c r="D105" s="5" t="s">
        <v>225</v>
      </c>
      <c r="E105" s="5" t="s">
        <v>70</v>
      </c>
      <c r="F105" s="5" t="s">
        <v>119</v>
      </c>
      <c r="G105" s="5" t="s">
        <v>31</v>
      </c>
      <c r="H105" s="5" t="s">
        <v>8</v>
      </c>
      <c r="I105" s="15">
        <v>7530000</v>
      </c>
      <c r="J105" s="16"/>
      <c r="K105" s="5" t="s">
        <v>72</v>
      </c>
      <c r="L105" s="5" t="s">
        <v>73</v>
      </c>
      <c r="M105" s="6">
        <v>45387</v>
      </c>
      <c r="N105" s="6"/>
      <c r="O105" s="6"/>
      <c r="P105" s="5" t="s">
        <v>146</v>
      </c>
      <c r="Q105" s="5" t="s">
        <v>36</v>
      </c>
      <c r="R105" s="8" t="s">
        <v>37</v>
      </c>
      <c r="S105" s="5">
        <v>40</v>
      </c>
      <c r="T105" s="5" t="s">
        <v>38</v>
      </c>
      <c r="U105" s="8" t="str">
        <f t="shared" si="2"/>
        <v/>
      </c>
      <c r="V105" s="8" t="str">
        <f t="shared" si="3"/>
        <v/>
      </c>
      <c r="W105" s="8" t="str">
        <f>_xlfn.XLOOKUP(X105,ShiftCodes[Code],ShiftCodes[Work Schedule],"Unknown code")</f>
        <v>Standard (Mon–Fri 9:00–17:30)</v>
      </c>
      <c r="X105" s="9" t="s">
        <v>39</v>
      </c>
      <c r="Y105" s="5"/>
    </row>
    <row r="106" spans="1:25" ht="16" x14ac:dyDescent="0.2">
      <c r="A106" s="5" t="s">
        <v>226</v>
      </c>
      <c r="B106" s="5" t="s">
        <v>103</v>
      </c>
      <c r="C106" s="5" t="s">
        <v>106</v>
      </c>
      <c r="D106" s="5" t="s">
        <v>42</v>
      </c>
      <c r="E106" s="5" t="s">
        <v>29</v>
      </c>
      <c r="F106" s="5" t="s">
        <v>119</v>
      </c>
      <c r="G106" s="5" t="s">
        <v>31</v>
      </c>
      <c r="H106" s="5" t="s">
        <v>8</v>
      </c>
      <c r="I106" s="10">
        <v>247000</v>
      </c>
      <c r="J106" s="12"/>
      <c r="K106" s="5" t="s">
        <v>33</v>
      </c>
      <c r="L106" s="5" t="s">
        <v>34</v>
      </c>
      <c r="M106" s="6">
        <v>45388</v>
      </c>
      <c r="N106" s="6"/>
      <c r="O106" s="6"/>
      <c r="P106" s="5" t="s">
        <v>176</v>
      </c>
      <c r="Q106" s="5" t="s">
        <v>36</v>
      </c>
      <c r="R106" s="8" t="s">
        <v>37</v>
      </c>
      <c r="S106" s="5">
        <v>40</v>
      </c>
      <c r="T106" s="5" t="s">
        <v>38</v>
      </c>
      <c r="U106" s="8" t="str">
        <f t="shared" si="2"/>
        <v/>
      </c>
      <c r="V106" s="8" t="str">
        <f t="shared" si="3"/>
        <v/>
      </c>
      <c r="W106" s="8" t="str">
        <f>_xlfn.XLOOKUP(X106,ShiftCodes[Code],ShiftCodes[Work Schedule],"Unknown code")</f>
        <v>Standard (Mon–Fri 9:00–17:30)</v>
      </c>
      <c r="X106" s="9" t="s">
        <v>39</v>
      </c>
      <c r="Y106" s="5"/>
    </row>
    <row r="107" spans="1:25" ht="16" x14ac:dyDescent="0.2">
      <c r="A107" s="5" t="s">
        <v>227</v>
      </c>
      <c r="B107" s="5" t="s">
        <v>109</v>
      </c>
      <c r="C107" s="5" t="s">
        <v>76</v>
      </c>
      <c r="D107" s="5" t="s">
        <v>28</v>
      </c>
      <c r="E107" s="5" t="s">
        <v>29</v>
      </c>
      <c r="F107" s="5" t="s">
        <v>124</v>
      </c>
      <c r="G107" s="5" t="s">
        <v>31</v>
      </c>
      <c r="H107" s="5" t="s">
        <v>8</v>
      </c>
      <c r="I107" s="10">
        <v>118000</v>
      </c>
      <c r="J107" s="12"/>
      <c r="K107" s="5" t="s">
        <v>33</v>
      </c>
      <c r="L107" s="5" t="s">
        <v>34</v>
      </c>
      <c r="M107" s="6">
        <v>45402</v>
      </c>
      <c r="N107" s="6"/>
      <c r="O107" s="6"/>
      <c r="P107" s="5" t="s">
        <v>213</v>
      </c>
      <c r="Q107" s="5" t="s">
        <v>36</v>
      </c>
      <c r="R107" s="8" t="s">
        <v>37</v>
      </c>
      <c r="S107" s="5">
        <v>40</v>
      </c>
      <c r="T107" s="5" t="s">
        <v>38</v>
      </c>
      <c r="U107" s="8" t="str">
        <f t="shared" si="2"/>
        <v/>
      </c>
      <c r="V107" s="8" t="str">
        <f t="shared" si="3"/>
        <v/>
      </c>
      <c r="W107" s="8" t="str">
        <f>_xlfn.XLOOKUP(X107,ShiftCodes[Code],ShiftCodes[Work Schedule],"Unknown code")</f>
        <v>Standard (Mon–Fri 9:00–17:30)</v>
      </c>
      <c r="X107" s="9" t="s">
        <v>39</v>
      </c>
      <c r="Y107" s="5"/>
    </row>
    <row r="108" spans="1:25" ht="16" x14ac:dyDescent="0.2">
      <c r="A108" s="5" t="s">
        <v>228</v>
      </c>
      <c r="B108" s="5" t="s">
        <v>103</v>
      </c>
      <c r="C108" s="5" t="s">
        <v>106</v>
      </c>
      <c r="D108" s="5" t="s">
        <v>42</v>
      </c>
      <c r="E108" s="5" t="s">
        <v>29</v>
      </c>
      <c r="F108" s="5" t="s">
        <v>165</v>
      </c>
      <c r="G108" s="5" t="s">
        <v>31</v>
      </c>
      <c r="H108" s="5" t="s">
        <v>8</v>
      </c>
      <c r="I108" s="10">
        <v>194000</v>
      </c>
      <c r="J108" s="12"/>
      <c r="K108" s="5" t="s">
        <v>33</v>
      </c>
      <c r="L108" s="5" t="s">
        <v>34</v>
      </c>
      <c r="M108" s="6">
        <v>45407</v>
      </c>
      <c r="N108" s="6"/>
      <c r="O108" s="6"/>
      <c r="P108" s="5" t="s">
        <v>122</v>
      </c>
      <c r="Q108" s="5" t="s">
        <v>36</v>
      </c>
      <c r="R108" s="8" t="s">
        <v>37</v>
      </c>
      <c r="S108" s="5">
        <v>40</v>
      </c>
      <c r="T108" s="5" t="s">
        <v>38</v>
      </c>
      <c r="U108" s="8" t="str">
        <f t="shared" si="2"/>
        <v/>
      </c>
      <c r="V108" s="8" t="str">
        <f t="shared" si="3"/>
        <v/>
      </c>
      <c r="W108" s="8" t="str">
        <f>_xlfn.XLOOKUP(X108,ShiftCodes[Code],ShiftCodes[Work Schedule],"Unknown code")</f>
        <v>Standard (Mon–Fri 9:00–17:30)</v>
      </c>
      <c r="X108" s="9" t="s">
        <v>39</v>
      </c>
      <c r="Y108" s="5"/>
    </row>
    <row r="109" spans="1:25" ht="16" x14ac:dyDescent="0.2">
      <c r="A109" s="5" t="s">
        <v>229</v>
      </c>
      <c r="B109" s="5" t="s">
        <v>112</v>
      </c>
      <c r="C109" s="5" t="s">
        <v>100</v>
      </c>
      <c r="D109" s="5" t="s">
        <v>28</v>
      </c>
      <c r="E109" s="5" t="s">
        <v>29</v>
      </c>
      <c r="F109" s="5" t="s">
        <v>119</v>
      </c>
      <c r="G109" s="5" t="s">
        <v>31</v>
      </c>
      <c r="H109" s="5" t="s">
        <v>8</v>
      </c>
      <c r="I109" s="10">
        <v>236000</v>
      </c>
      <c r="J109" s="12"/>
      <c r="K109" s="5" t="s">
        <v>33</v>
      </c>
      <c r="L109" s="5" t="s">
        <v>34</v>
      </c>
      <c r="M109" s="6">
        <v>45415</v>
      </c>
      <c r="N109" s="6"/>
      <c r="O109" s="6"/>
      <c r="P109" s="5" t="s">
        <v>169</v>
      </c>
      <c r="Q109" s="5" t="s">
        <v>36</v>
      </c>
      <c r="R109" s="8" t="s">
        <v>37</v>
      </c>
      <c r="S109" s="5">
        <v>40</v>
      </c>
      <c r="T109" s="5" t="s">
        <v>38</v>
      </c>
      <c r="U109" s="8" t="str">
        <f t="shared" si="2"/>
        <v/>
      </c>
      <c r="V109" s="8" t="str">
        <f t="shared" si="3"/>
        <v/>
      </c>
      <c r="W109" s="8" t="str">
        <f>_xlfn.XLOOKUP(X109,ShiftCodes[Code],ShiftCodes[Work Schedule],"Unknown code")</f>
        <v>Standard (Mon–Fri 9:00–17:30)</v>
      </c>
      <c r="X109" s="9" t="s">
        <v>39</v>
      </c>
      <c r="Y109" s="5"/>
    </row>
    <row r="110" spans="1:25" ht="16" x14ac:dyDescent="0.2">
      <c r="A110" s="5" t="s">
        <v>230</v>
      </c>
      <c r="B110" s="5" t="s">
        <v>112</v>
      </c>
      <c r="C110" s="5" t="s">
        <v>100</v>
      </c>
      <c r="D110" s="5" t="s">
        <v>28</v>
      </c>
      <c r="E110" s="5" t="s">
        <v>29</v>
      </c>
      <c r="F110" s="5" t="s">
        <v>165</v>
      </c>
      <c r="G110" s="5" t="s">
        <v>31</v>
      </c>
      <c r="H110" s="5" t="s">
        <v>8</v>
      </c>
      <c r="I110" s="10">
        <v>175000</v>
      </c>
      <c r="J110" s="12"/>
      <c r="K110" s="5" t="s">
        <v>33</v>
      </c>
      <c r="L110" s="5" t="s">
        <v>34</v>
      </c>
      <c r="M110" s="6">
        <v>45430</v>
      </c>
      <c r="N110" s="6"/>
      <c r="O110" s="6"/>
      <c r="P110" s="5" t="s">
        <v>229</v>
      </c>
      <c r="Q110" s="5" t="s">
        <v>36</v>
      </c>
      <c r="R110" s="8" t="s">
        <v>37</v>
      </c>
      <c r="S110" s="5">
        <v>40</v>
      </c>
      <c r="T110" s="5" t="s">
        <v>38</v>
      </c>
      <c r="U110" s="8" t="str">
        <f t="shared" si="2"/>
        <v/>
      </c>
      <c r="V110" s="8" t="str">
        <f t="shared" si="3"/>
        <v/>
      </c>
      <c r="W110" s="8" t="str">
        <f>_xlfn.XLOOKUP(X110,ShiftCodes[Code],ShiftCodes[Work Schedule],"Unknown code")</f>
        <v>Standard (Mon–Fri 9:00–17:30)</v>
      </c>
      <c r="X110" s="9" t="s">
        <v>39</v>
      </c>
      <c r="Y110" s="5"/>
    </row>
    <row r="111" spans="1:25" ht="16" x14ac:dyDescent="0.2">
      <c r="A111" s="5" t="s">
        <v>231</v>
      </c>
      <c r="B111" s="5" t="s">
        <v>99</v>
      </c>
      <c r="C111" s="5" t="s">
        <v>127</v>
      </c>
      <c r="D111" s="5" t="s">
        <v>90</v>
      </c>
      <c r="E111" s="5" t="s">
        <v>29</v>
      </c>
      <c r="F111" s="5" t="s">
        <v>119</v>
      </c>
      <c r="G111" s="5" t="s">
        <v>31</v>
      </c>
      <c r="H111" s="5" t="s">
        <v>8</v>
      </c>
      <c r="I111" s="10">
        <v>207000</v>
      </c>
      <c r="J111" s="12"/>
      <c r="K111" s="5" t="s">
        <v>33</v>
      </c>
      <c r="L111" s="5" t="s">
        <v>34</v>
      </c>
      <c r="M111" s="6">
        <v>45430</v>
      </c>
      <c r="N111" s="6"/>
      <c r="O111" s="6"/>
      <c r="P111" s="5" t="s">
        <v>126</v>
      </c>
      <c r="Q111" s="5" t="s">
        <v>36</v>
      </c>
      <c r="R111" s="8" t="s">
        <v>37</v>
      </c>
      <c r="S111" s="5">
        <v>40</v>
      </c>
      <c r="T111" s="5" t="s">
        <v>38</v>
      </c>
      <c r="U111" s="8" t="str">
        <f t="shared" si="2"/>
        <v/>
      </c>
      <c r="V111" s="8" t="str">
        <f t="shared" si="3"/>
        <v/>
      </c>
      <c r="W111" s="8" t="str">
        <f>_xlfn.XLOOKUP(X111,ShiftCodes[Code],ShiftCodes[Work Schedule],"Unknown code")</f>
        <v>Standard (Mon–Fri 9:00–17:30)</v>
      </c>
      <c r="X111" s="9" t="s">
        <v>39</v>
      </c>
      <c r="Y111" s="5"/>
    </row>
    <row r="112" spans="1:25" ht="16" x14ac:dyDescent="0.2">
      <c r="A112" s="5" t="s">
        <v>232</v>
      </c>
      <c r="B112" s="5" t="s">
        <v>103</v>
      </c>
      <c r="C112" s="5" t="s">
        <v>100</v>
      </c>
      <c r="D112" s="5" t="s">
        <v>28</v>
      </c>
      <c r="E112" s="5" t="s">
        <v>29</v>
      </c>
      <c r="F112" s="5" t="s">
        <v>149</v>
      </c>
      <c r="G112" s="5" t="s">
        <v>31</v>
      </c>
      <c r="H112" s="5" t="s">
        <v>8</v>
      </c>
      <c r="I112" s="10">
        <v>106000</v>
      </c>
      <c r="J112" s="12"/>
      <c r="K112" s="5" t="s">
        <v>33</v>
      </c>
      <c r="L112" s="5" t="s">
        <v>34</v>
      </c>
      <c r="M112" s="6">
        <v>45438</v>
      </c>
      <c r="N112" s="6"/>
      <c r="O112" s="6"/>
      <c r="P112" s="5" t="s">
        <v>175</v>
      </c>
      <c r="Q112" s="5" t="s">
        <v>36</v>
      </c>
      <c r="R112" s="8" t="s">
        <v>37</v>
      </c>
      <c r="S112" s="5">
        <v>40</v>
      </c>
      <c r="T112" s="5" t="s">
        <v>38</v>
      </c>
      <c r="U112" s="8" t="str">
        <f t="shared" si="2"/>
        <v/>
      </c>
      <c r="V112" s="8" t="str">
        <f t="shared" si="3"/>
        <v/>
      </c>
      <c r="W112" s="8" t="str">
        <f>_xlfn.XLOOKUP(X112,ShiftCodes[Code],ShiftCodes[Work Schedule],"Unknown code")</f>
        <v>Standard (Mon–Fri 9:00–17:30)</v>
      </c>
      <c r="X112" s="9" t="s">
        <v>39</v>
      </c>
      <c r="Y112" s="5"/>
    </row>
    <row r="113" spans="1:25" ht="16" x14ac:dyDescent="0.2">
      <c r="A113" s="5" t="s">
        <v>233</v>
      </c>
      <c r="B113" s="5" t="s">
        <v>103</v>
      </c>
      <c r="C113" s="5" t="s">
        <v>100</v>
      </c>
      <c r="D113" s="5" t="s">
        <v>28</v>
      </c>
      <c r="E113" s="5" t="s">
        <v>29</v>
      </c>
      <c r="F113" s="5" t="s">
        <v>163</v>
      </c>
      <c r="G113" s="5" t="s">
        <v>31</v>
      </c>
      <c r="H113" s="5" t="s">
        <v>8</v>
      </c>
      <c r="I113" s="10">
        <v>144000</v>
      </c>
      <c r="J113" s="12"/>
      <c r="K113" s="5" t="s">
        <v>33</v>
      </c>
      <c r="L113" s="5" t="s">
        <v>34</v>
      </c>
      <c r="M113" s="6">
        <v>45446</v>
      </c>
      <c r="N113" s="6"/>
      <c r="O113" s="6"/>
      <c r="P113" s="5" t="s">
        <v>136</v>
      </c>
      <c r="Q113" s="5" t="s">
        <v>36</v>
      </c>
      <c r="R113" s="8" t="s">
        <v>37</v>
      </c>
      <c r="S113" s="5">
        <v>40</v>
      </c>
      <c r="T113" s="5" t="s">
        <v>38</v>
      </c>
      <c r="U113" s="8" t="str">
        <f t="shared" si="2"/>
        <v/>
      </c>
      <c r="V113" s="8" t="str">
        <f t="shared" si="3"/>
        <v/>
      </c>
      <c r="W113" s="8" t="str">
        <f>_xlfn.XLOOKUP(X113,ShiftCodes[Code],ShiftCodes[Work Schedule],"Unknown code")</f>
        <v>Standard (Mon–Fri 9:00–17:30)</v>
      </c>
      <c r="X113" s="9" t="s">
        <v>39</v>
      </c>
      <c r="Y113" s="5"/>
    </row>
    <row r="114" spans="1:25" ht="16" x14ac:dyDescent="0.2">
      <c r="A114" s="5" t="s">
        <v>234</v>
      </c>
      <c r="B114" s="5" t="s">
        <v>112</v>
      </c>
      <c r="C114" s="5" t="s">
        <v>41</v>
      </c>
      <c r="D114" s="5" t="s">
        <v>154</v>
      </c>
      <c r="E114" s="5" t="s">
        <v>29</v>
      </c>
      <c r="F114" s="5" t="s">
        <v>124</v>
      </c>
      <c r="G114" s="5" t="s">
        <v>31</v>
      </c>
      <c r="H114" s="5" t="s">
        <v>8</v>
      </c>
      <c r="I114" s="10">
        <v>134000</v>
      </c>
      <c r="J114" s="12"/>
      <c r="K114" s="5" t="s">
        <v>33</v>
      </c>
      <c r="L114" s="5" t="s">
        <v>34</v>
      </c>
      <c r="M114" s="6">
        <v>45447</v>
      </c>
      <c r="N114" s="6"/>
      <c r="O114" s="6"/>
      <c r="P114" s="5" t="s">
        <v>208</v>
      </c>
      <c r="Q114" s="5" t="s">
        <v>36</v>
      </c>
      <c r="R114" s="8" t="s">
        <v>37</v>
      </c>
      <c r="S114" s="5">
        <v>40</v>
      </c>
      <c r="T114" s="5" t="s">
        <v>38</v>
      </c>
      <c r="U114" s="8" t="str">
        <f t="shared" si="2"/>
        <v/>
      </c>
      <c r="V114" s="8" t="str">
        <f t="shared" si="3"/>
        <v/>
      </c>
      <c r="W114" s="8" t="str">
        <f>_xlfn.XLOOKUP(X114,ShiftCodes[Code],ShiftCodes[Work Schedule],"Unknown code")</f>
        <v>Standard (Mon–Fri 9:00–17:30)</v>
      </c>
      <c r="X114" s="9" t="s">
        <v>39</v>
      </c>
      <c r="Y114" s="5"/>
    </row>
    <row r="115" spans="1:25" ht="16" x14ac:dyDescent="0.2">
      <c r="A115" s="5" t="s">
        <v>235</v>
      </c>
      <c r="B115" s="5" t="s">
        <v>103</v>
      </c>
      <c r="C115" s="5" t="s">
        <v>106</v>
      </c>
      <c r="D115" s="5" t="s">
        <v>42</v>
      </c>
      <c r="E115" s="5" t="s">
        <v>29</v>
      </c>
      <c r="F115" s="5" t="s">
        <v>236</v>
      </c>
      <c r="G115" s="5" t="s">
        <v>31</v>
      </c>
      <c r="H115" s="5" t="s">
        <v>8</v>
      </c>
      <c r="I115" s="10">
        <v>248000</v>
      </c>
      <c r="J115" s="12"/>
      <c r="K115" s="5" t="s">
        <v>33</v>
      </c>
      <c r="L115" s="5" t="s">
        <v>34</v>
      </c>
      <c r="M115" s="6">
        <v>45449</v>
      </c>
      <c r="N115" s="6"/>
      <c r="O115" s="6"/>
      <c r="P115" s="5" t="s">
        <v>226</v>
      </c>
      <c r="Q115" s="5" t="s">
        <v>36</v>
      </c>
      <c r="R115" s="8" t="s">
        <v>37</v>
      </c>
      <c r="S115" s="5">
        <v>40</v>
      </c>
      <c r="T115" s="5" t="s">
        <v>38</v>
      </c>
      <c r="U115" s="8" t="str">
        <f t="shared" si="2"/>
        <v/>
      </c>
      <c r="V115" s="8" t="str">
        <f t="shared" si="3"/>
        <v/>
      </c>
      <c r="W115" s="8" t="str">
        <f>_xlfn.XLOOKUP(X115,ShiftCodes[Code],ShiftCodes[Work Schedule],"Unknown code")</f>
        <v>Standard (Mon–Fri 9:00–17:30)</v>
      </c>
      <c r="X115" s="9" t="s">
        <v>39</v>
      </c>
      <c r="Y115" s="5"/>
    </row>
    <row r="116" spans="1:25" ht="16" x14ac:dyDescent="0.2">
      <c r="A116" s="5" t="s">
        <v>237</v>
      </c>
      <c r="B116" s="5" t="s">
        <v>112</v>
      </c>
      <c r="C116" s="5" t="s">
        <v>100</v>
      </c>
      <c r="D116" s="5" t="s">
        <v>28</v>
      </c>
      <c r="E116" s="5" t="s">
        <v>29</v>
      </c>
      <c r="F116" s="5" t="s">
        <v>149</v>
      </c>
      <c r="G116" s="5" t="s">
        <v>31</v>
      </c>
      <c r="H116" s="5" t="s">
        <v>8</v>
      </c>
      <c r="I116" s="10">
        <v>115000</v>
      </c>
      <c r="J116" s="12"/>
      <c r="K116" s="5" t="s">
        <v>33</v>
      </c>
      <c r="L116" s="5" t="s">
        <v>34</v>
      </c>
      <c r="M116" s="6">
        <v>45450</v>
      </c>
      <c r="N116" s="6"/>
      <c r="O116" s="6"/>
      <c r="P116" s="5" t="s">
        <v>204</v>
      </c>
      <c r="Q116" s="5" t="s">
        <v>36</v>
      </c>
      <c r="R116" s="8" t="s">
        <v>37</v>
      </c>
      <c r="S116" s="5">
        <v>40</v>
      </c>
      <c r="T116" s="5" t="s">
        <v>38</v>
      </c>
      <c r="U116" s="8" t="str">
        <f t="shared" si="2"/>
        <v/>
      </c>
      <c r="V116" s="8" t="str">
        <f t="shared" si="3"/>
        <v/>
      </c>
      <c r="W116" s="8" t="str">
        <f>_xlfn.XLOOKUP(X116,ShiftCodes[Code],ShiftCodes[Work Schedule],"Unknown code")</f>
        <v>Standard (Mon–Fri 9:00–17:30)</v>
      </c>
      <c r="X116" s="9" t="s">
        <v>39</v>
      </c>
      <c r="Y116" s="5"/>
    </row>
    <row r="117" spans="1:25" ht="16" x14ac:dyDescent="0.2">
      <c r="A117" s="5" t="s">
        <v>238</v>
      </c>
      <c r="B117" s="5" t="s">
        <v>109</v>
      </c>
      <c r="C117" s="5" t="s">
        <v>76</v>
      </c>
      <c r="D117" s="5" t="s">
        <v>28</v>
      </c>
      <c r="E117" s="5" t="s">
        <v>29</v>
      </c>
      <c r="F117" s="5" t="s">
        <v>121</v>
      </c>
      <c r="G117" s="5" t="s">
        <v>78</v>
      </c>
      <c r="H117" s="5" t="s">
        <v>79</v>
      </c>
      <c r="I117" s="10"/>
      <c r="J117" s="12">
        <v>38</v>
      </c>
      <c r="K117" s="5" t="s">
        <v>33</v>
      </c>
      <c r="L117" s="5" t="s">
        <v>80</v>
      </c>
      <c r="M117" s="6">
        <v>45450</v>
      </c>
      <c r="N117" s="6"/>
      <c r="O117" s="6"/>
      <c r="P117" s="5" t="s">
        <v>128</v>
      </c>
      <c r="Q117" s="5" t="s">
        <v>36</v>
      </c>
      <c r="R117" s="8" t="s">
        <v>37</v>
      </c>
      <c r="S117" s="5">
        <v>40</v>
      </c>
      <c r="T117" s="5" t="s">
        <v>38</v>
      </c>
      <c r="U117" s="8" t="str">
        <f t="shared" si="2"/>
        <v>US Non-Exempt EEs</v>
      </c>
      <c r="V117" s="8" t="str">
        <f t="shared" si="3"/>
        <v>US California Non-Exempt</v>
      </c>
      <c r="W117" s="8" t="str">
        <f>_xlfn.XLOOKUP(X117,ShiftCodes[Code],ShiftCodes[Work Schedule],"Unknown code")</f>
        <v>Shift C – Night (Sun–Thu 22:00–06:30)</v>
      </c>
      <c r="X117" s="9" t="s">
        <v>239</v>
      </c>
      <c r="Y117" s="5"/>
    </row>
    <row r="118" spans="1:25" ht="16" x14ac:dyDescent="0.2">
      <c r="A118" s="5" t="s">
        <v>240</v>
      </c>
      <c r="B118" s="5" t="s">
        <v>109</v>
      </c>
      <c r="C118" s="5" t="s">
        <v>113</v>
      </c>
      <c r="D118" s="5" t="s">
        <v>84</v>
      </c>
      <c r="E118" s="5" t="s">
        <v>29</v>
      </c>
      <c r="F118" s="5" t="s">
        <v>121</v>
      </c>
      <c r="G118" s="5" t="s">
        <v>78</v>
      </c>
      <c r="H118" s="5" t="s">
        <v>79</v>
      </c>
      <c r="I118" s="10"/>
      <c r="J118" s="12">
        <v>31</v>
      </c>
      <c r="K118" s="5" t="s">
        <v>33</v>
      </c>
      <c r="L118" s="5" t="s">
        <v>80</v>
      </c>
      <c r="M118" s="6">
        <v>45450</v>
      </c>
      <c r="N118" s="6"/>
      <c r="O118" s="6"/>
      <c r="P118" s="5" t="s">
        <v>118</v>
      </c>
      <c r="Q118" s="5" t="s">
        <v>36</v>
      </c>
      <c r="R118" s="8" t="s">
        <v>37</v>
      </c>
      <c r="S118" s="5">
        <v>40</v>
      </c>
      <c r="T118" s="5" t="s">
        <v>38</v>
      </c>
      <c r="U118" s="8" t="str">
        <f t="shared" si="2"/>
        <v>US Non-Exempt EEs</v>
      </c>
      <c r="V118" s="8" t="str">
        <f t="shared" si="3"/>
        <v>US Non-California Non-Exempt</v>
      </c>
      <c r="W118" s="8" t="str">
        <f>_xlfn.XLOOKUP(X118,ShiftCodes[Code],ShiftCodes[Work Schedule],"Unknown code")</f>
        <v>Shift A – Day (Mon–Fri 06:00–14:30)</v>
      </c>
      <c r="X118" s="9" t="s">
        <v>81</v>
      </c>
      <c r="Y118" s="5"/>
    </row>
    <row r="119" spans="1:25" ht="16" x14ac:dyDescent="0.2">
      <c r="A119" s="5" t="s">
        <v>241</v>
      </c>
      <c r="B119" s="5" t="s">
        <v>112</v>
      </c>
      <c r="C119" s="5" t="s">
        <v>106</v>
      </c>
      <c r="D119" s="5" t="s">
        <v>42</v>
      </c>
      <c r="E119" s="5" t="s">
        <v>29</v>
      </c>
      <c r="F119" s="5" t="s">
        <v>124</v>
      </c>
      <c r="G119" s="5" t="s">
        <v>31</v>
      </c>
      <c r="H119" s="5" t="s">
        <v>8</v>
      </c>
      <c r="I119" s="10">
        <v>136000</v>
      </c>
      <c r="J119" s="12"/>
      <c r="K119" s="5" t="s">
        <v>33</v>
      </c>
      <c r="L119" s="5" t="s">
        <v>34</v>
      </c>
      <c r="M119" s="6">
        <v>45455</v>
      </c>
      <c r="N119" s="6"/>
      <c r="O119" s="6"/>
      <c r="P119" s="5" t="s">
        <v>187</v>
      </c>
      <c r="Q119" s="5" t="s">
        <v>36</v>
      </c>
      <c r="R119" s="8" t="s">
        <v>37</v>
      </c>
      <c r="S119" s="5">
        <v>40</v>
      </c>
      <c r="T119" s="5" t="s">
        <v>38</v>
      </c>
      <c r="U119" s="8" t="str">
        <f t="shared" si="2"/>
        <v/>
      </c>
      <c r="V119" s="8" t="str">
        <f t="shared" si="3"/>
        <v/>
      </c>
      <c r="W119" s="8" t="str">
        <f>_xlfn.XLOOKUP(X119,ShiftCodes[Code],ShiftCodes[Work Schedule],"Unknown code")</f>
        <v>Standard (Mon–Fri 9:00–17:30)</v>
      </c>
      <c r="X119" s="9" t="s">
        <v>39</v>
      </c>
      <c r="Y119" s="5"/>
    </row>
    <row r="120" spans="1:25" ht="16" x14ac:dyDescent="0.2">
      <c r="A120" s="5" t="s">
        <v>242</v>
      </c>
      <c r="B120" s="5" t="s">
        <v>112</v>
      </c>
      <c r="C120" s="5" t="s">
        <v>68</v>
      </c>
      <c r="D120" s="5" t="s">
        <v>69</v>
      </c>
      <c r="E120" s="5" t="s">
        <v>70</v>
      </c>
      <c r="F120" s="5" t="s">
        <v>163</v>
      </c>
      <c r="G120" s="5" t="s">
        <v>31</v>
      </c>
      <c r="H120" s="5" t="s">
        <v>8</v>
      </c>
      <c r="I120" s="15">
        <v>3440000</v>
      </c>
      <c r="J120" s="16"/>
      <c r="K120" s="5" t="s">
        <v>72</v>
      </c>
      <c r="L120" s="5" t="s">
        <v>73</v>
      </c>
      <c r="M120" s="6">
        <v>45464</v>
      </c>
      <c r="N120" s="6"/>
      <c r="O120" s="6"/>
      <c r="P120" s="5" t="s">
        <v>209</v>
      </c>
      <c r="Q120" s="5" t="s">
        <v>36</v>
      </c>
      <c r="R120" s="8" t="s">
        <v>37</v>
      </c>
      <c r="S120" s="5">
        <v>40</v>
      </c>
      <c r="T120" s="5" t="s">
        <v>38</v>
      </c>
      <c r="U120" s="8" t="str">
        <f t="shared" si="2"/>
        <v/>
      </c>
      <c r="V120" s="8" t="str">
        <f t="shared" si="3"/>
        <v/>
      </c>
      <c r="W120" s="8" t="str">
        <f>_xlfn.XLOOKUP(X120,ShiftCodes[Code],ShiftCodes[Work Schedule],"Unknown code")</f>
        <v>Standard (Mon–Fri 9:00–17:30)</v>
      </c>
      <c r="X120" s="9" t="s">
        <v>39</v>
      </c>
      <c r="Y120" s="5"/>
    </row>
    <row r="121" spans="1:25" ht="16" x14ac:dyDescent="0.2">
      <c r="A121" s="5" t="s">
        <v>243</v>
      </c>
      <c r="B121" s="5" t="s">
        <v>112</v>
      </c>
      <c r="C121" s="5" t="s">
        <v>68</v>
      </c>
      <c r="D121" s="5" t="s">
        <v>69</v>
      </c>
      <c r="E121" s="5" t="s">
        <v>70</v>
      </c>
      <c r="F121" s="5" t="s">
        <v>156</v>
      </c>
      <c r="G121" s="5" t="s">
        <v>31</v>
      </c>
      <c r="H121" s="5" t="s">
        <v>8</v>
      </c>
      <c r="I121" s="15">
        <v>5810000</v>
      </c>
      <c r="J121" s="16"/>
      <c r="K121" s="5" t="s">
        <v>72</v>
      </c>
      <c r="L121" s="5" t="s">
        <v>73</v>
      </c>
      <c r="M121" s="6">
        <v>45470</v>
      </c>
      <c r="N121" s="6"/>
      <c r="O121" s="6"/>
      <c r="P121" s="5" t="s">
        <v>209</v>
      </c>
      <c r="Q121" s="5" t="s">
        <v>36</v>
      </c>
      <c r="R121" s="8" t="s">
        <v>37</v>
      </c>
      <c r="S121" s="5">
        <v>40</v>
      </c>
      <c r="T121" s="5" t="s">
        <v>38</v>
      </c>
      <c r="U121" s="8" t="str">
        <f t="shared" si="2"/>
        <v/>
      </c>
      <c r="V121" s="8" t="str">
        <f t="shared" si="3"/>
        <v/>
      </c>
      <c r="W121" s="8" t="str">
        <f>_xlfn.XLOOKUP(X121,ShiftCodes[Code],ShiftCodes[Work Schedule],"Unknown code")</f>
        <v>Standard (Mon–Fri 9:00–17:30)</v>
      </c>
      <c r="X121" s="9" t="s">
        <v>39</v>
      </c>
      <c r="Y121" s="5"/>
    </row>
    <row r="122" spans="1:25" ht="16" x14ac:dyDescent="0.2">
      <c r="A122" s="5" t="s">
        <v>244</v>
      </c>
      <c r="B122" s="5" t="s">
        <v>109</v>
      </c>
      <c r="C122" s="5" t="s">
        <v>41</v>
      </c>
      <c r="D122" s="5" t="s">
        <v>154</v>
      </c>
      <c r="E122" s="5" t="s">
        <v>29</v>
      </c>
      <c r="F122" s="5" t="s">
        <v>163</v>
      </c>
      <c r="G122" s="5" t="s">
        <v>31</v>
      </c>
      <c r="H122" s="5" t="s">
        <v>8</v>
      </c>
      <c r="I122" s="10">
        <v>165000</v>
      </c>
      <c r="J122" s="12"/>
      <c r="K122" s="5" t="s">
        <v>33</v>
      </c>
      <c r="L122" s="5" t="s">
        <v>34</v>
      </c>
      <c r="M122" s="6">
        <v>45472</v>
      </c>
      <c r="N122" s="6"/>
      <c r="O122" s="6"/>
      <c r="P122" s="5" t="s">
        <v>178</v>
      </c>
      <c r="Q122" s="5" t="s">
        <v>36</v>
      </c>
      <c r="R122" s="8" t="s">
        <v>37</v>
      </c>
      <c r="S122" s="5">
        <v>40</v>
      </c>
      <c r="T122" s="5" t="s">
        <v>38</v>
      </c>
      <c r="U122" s="8" t="str">
        <f t="shared" si="2"/>
        <v/>
      </c>
      <c r="V122" s="8" t="str">
        <f t="shared" si="3"/>
        <v/>
      </c>
      <c r="W122" s="8" t="str">
        <f>_xlfn.XLOOKUP(X122,ShiftCodes[Code],ShiftCodes[Work Schedule],"Unknown code")</f>
        <v>Standard (Mon–Fri 9:00–17:30)</v>
      </c>
      <c r="X122" s="9" t="s">
        <v>39</v>
      </c>
      <c r="Y122" s="5"/>
    </row>
    <row r="123" spans="1:25" ht="16" x14ac:dyDescent="0.2">
      <c r="A123" s="5" t="s">
        <v>245</v>
      </c>
      <c r="B123" s="5" t="s">
        <v>109</v>
      </c>
      <c r="C123" s="5" t="s">
        <v>76</v>
      </c>
      <c r="D123" s="5" t="s">
        <v>28</v>
      </c>
      <c r="E123" s="5" t="s">
        <v>29</v>
      </c>
      <c r="F123" s="5" t="s">
        <v>163</v>
      </c>
      <c r="G123" s="5" t="s">
        <v>31</v>
      </c>
      <c r="H123" s="5" t="s">
        <v>8</v>
      </c>
      <c r="I123" s="10">
        <v>144000</v>
      </c>
      <c r="J123" s="12"/>
      <c r="K123" s="5" t="s">
        <v>33</v>
      </c>
      <c r="L123" s="5" t="s">
        <v>34</v>
      </c>
      <c r="M123" s="6">
        <v>45477</v>
      </c>
      <c r="N123" s="6"/>
      <c r="O123" s="6"/>
      <c r="P123" s="5" t="s">
        <v>213</v>
      </c>
      <c r="Q123" s="5" t="s">
        <v>36</v>
      </c>
      <c r="R123" s="8" t="s">
        <v>37</v>
      </c>
      <c r="S123" s="5">
        <v>40</v>
      </c>
      <c r="T123" s="5" t="s">
        <v>38</v>
      </c>
      <c r="U123" s="8" t="str">
        <f t="shared" si="2"/>
        <v/>
      </c>
      <c r="V123" s="8" t="str">
        <f t="shared" si="3"/>
        <v/>
      </c>
      <c r="W123" s="8" t="str">
        <f>_xlfn.XLOOKUP(X123,ShiftCodes[Code],ShiftCodes[Work Schedule],"Unknown code")</f>
        <v>Standard (Mon–Fri 9:00–17:30)</v>
      </c>
      <c r="X123" s="9" t="s">
        <v>39</v>
      </c>
      <c r="Y123" s="5"/>
    </row>
    <row r="124" spans="1:25" ht="16" x14ac:dyDescent="0.2">
      <c r="A124" s="5" t="s">
        <v>246</v>
      </c>
      <c r="B124" s="5" t="s">
        <v>109</v>
      </c>
      <c r="C124" s="5" t="s">
        <v>41</v>
      </c>
      <c r="D124" s="5" t="s">
        <v>42</v>
      </c>
      <c r="E124" s="5" t="s">
        <v>29</v>
      </c>
      <c r="F124" s="5" t="s">
        <v>165</v>
      </c>
      <c r="G124" s="5" t="s">
        <v>31</v>
      </c>
      <c r="H124" s="5" t="s">
        <v>8</v>
      </c>
      <c r="I124" s="10">
        <v>178000</v>
      </c>
      <c r="J124" s="12"/>
      <c r="K124" s="5" t="s">
        <v>33</v>
      </c>
      <c r="L124" s="5" t="s">
        <v>34</v>
      </c>
      <c r="M124" s="6">
        <v>45480</v>
      </c>
      <c r="N124" s="6"/>
      <c r="O124" s="6"/>
      <c r="P124" s="5" t="s">
        <v>213</v>
      </c>
      <c r="Q124" s="5" t="s">
        <v>36</v>
      </c>
      <c r="R124" s="8" t="s">
        <v>37</v>
      </c>
      <c r="S124" s="5">
        <v>40</v>
      </c>
      <c r="T124" s="5" t="s">
        <v>38</v>
      </c>
      <c r="U124" s="8" t="str">
        <f t="shared" si="2"/>
        <v/>
      </c>
      <c r="V124" s="8" t="str">
        <f t="shared" si="3"/>
        <v/>
      </c>
      <c r="W124" s="8" t="str">
        <f>_xlfn.XLOOKUP(X124,ShiftCodes[Code],ShiftCodes[Work Schedule],"Unknown code")</f>
        <v>Standard (Mon–Fri 9:00–17:30)</v>
      </c>
      <c r="X124" s="9" t="s">
        <v>39</v>
      </c>
      <c r="Y124" s="5"/>
    </row>
    <row r="125" spans="1:25" ht="16" x14ac:dyDescent="0.2">
      <c r="A125" s="5" t="s">
        <v>247</v>
      </c>
      <c r="B125" s="5" t="s">
        <v>112</v>
      </c>
      <c r="C125" s="5" t="s">
        <v>68</v>
      </c>
      <c r="D125" s="5" t="s">
        <v>69</v>
      </c>
      <c r="E125" s="5" t="s">
        <v>70</v>
      </c>
      <c r="F125" s="5" t="s">
        <v>124</v>
      </c>
      <c r="G125" s="5" t="s">
        <v>31</v>
      </c>
      <c r="H125" s="5" t="s">
        <v>8</v>
      </c>
      <c r="I125" s="15">
        <v>2340000</v>
      </c>
      <c r="J125" s="16"/>
      <c r="K125" s="5" t="s">
        <v>72</v>
      </c>
      <c r="L125" s="5" t="s">
        <v>73</v>
      </c>
      <c r="M125" s="6">
        <v>45482</v>
      </c>
      <c r="N125" s="6"/>
      <c r="O125" s="6"/>
      <c r="P125" s="5" t="s">
        <v>209</v>
      </c>
      <c r="Q125" s="5" t="s">
        <v>36</v>
      </c>
      <c r="R125" s="8" t="s">
        <v>37</v>
      </c>
      <c r="S125" s="5">
        <v>40</v>
      </c>
      <c r="T125" s="5" t="s">
        <v>38</v>
      </c>
      <c r="U125" s="8" t="str">
        <f t="shared" si="2"/>
        <v/>
      </c>
      <c r="V125" s="8" t="str">
        <f t="shared" si="3"/>
        <v/>
      </c>
      <c r="W125" s="8" t="str">
        <f>_xlfn.XLOOKUP(X125,ShiftCodes[Code],ShiftCodes[Work Schedule],"Unknown code")</f>
        <v>Standard (Mon–Fri 9:00–17:30)</v>
      </c>
      <c r="X125" s="9" t="s">
        <v>39</v>
      </c>
      <c r="Y125" s="5"/>
    </row>
    <row r="126" spans="1:25" ht="16" x14ac:dyDescent="0.2">
      <c r="A126" s="5" t="s">
        <v>248</v>
      </c>
      <c r="B126" s="5" t="s">
        <v>103</v>
      </c>
      <c r="C126" s="5" t="s">
        <v>180</v>
      </c>
      <c r="D126" s="5" t="s">
        <v>52</v>
      </c>
      <c r="E126" s="5" t="s">
        <v>52</v>
      </c>
      <c r="F126" s="5" t="s">
        <v>156</v>
      </c>
      <c r="G126" s="5" t="s">
        <v>31</v>
      </c>
      <c r="H126" s="5" t="s">
        <v>8</v>
      </c>
      <c r="I126" s="10">
        <v>124000</v>
      </c>
      <c r="J126" s="17"/>
      <c r="K126" s="5" t="s">
        <v>55</v>
      </c>
      <c r="L126" s="5" t="s">
        <v>56</v>
      </c>
      <c r="M126" s="6">
        <v>45485</v>
      </c>
      <c r="N126" s="6"/>
      <c r="O126" s="6"/>
      <c r="P126" s="5" t="s">
        <v>218</v>
      </c>
      <c r="Q126" s="5" t="s">
        <v>36</v>
      </c>
      <c r="R126" s="8" t="s">
        <v>37</v>
      </c>
      <c r="S126" s="5">
        <v>37.5</v>
      </c>
      <c r="T126" s="5" t="s">
        <v>38</v>
      </c>
      <c r="U126" s="8" t="str">
        <f t="shared" si="2"/>
        <v/>
      </c>
      <c r="V126" s="8" t="str">
        <f t="shared" si="3"/>
        <v/>
      </c>
      <c r="W126" s="8" t="str">
        <f>_xlfn.XLOOKUP(X126,ShiftCodes[Code],ShiftCodes[Work Schedule],"Unknown code")</f>
        <v>Standard (Mon–Fri 9:00–17:30)</v>
      </c>
      <c r="X126" s="9" t="s">
        <v>39</v>
      </c>
      <c r="Y126" s="5"/>
    </row>
    <row r="127" spans="1:25" ht="16" x14ac:dyDescent="0.2">
      <c r="A127" s="5" t="s">
        <v>249</v>
      </c>
      <c r="B127" s="5" t="s">
        <v>112</v>
      </c>
      <c r="C127" s="5" t="s">
        <v>224</v>
      </c>
      <c r="D127" s="5" t="s">
        <v>225</v>
      </c>
      <c r="E127" s="5" t="s">
        <v>70</v>
      </c>
      <c r="F127" s="5" t="s">
        <v>163</v>
      </c>
      <c r="G127" s="5" t="s">
        <v>31</v>
      </c>
      <c r="H127" s="5" t="s">
        <v>8</v>
      </c>
      <c r="I127" s="15">
        <v>3760000</v>
      </c>
      <c r="J127" s="16"/>
      <c r="K127" s="5" t="s">
        <v>72</v>
      </c>
      <c r="L127" s="5" t="s">
        <v>73</v>
      </c>
      <c r="M127" s="6">
        <v>45498</v>
      </c>
      <c r="N127" s="6"/>
      <c r="O127" s="6"/>
      <c r="P127" s="5" t="s">
        <v>223</v>
      </c>
      <c r="Q127" s="5" t="s">
        <v>36</v>
      </c>
      <c r="R127" s="8" t="s">
        <v>37</v>
      </c>
      <c r="S127" s="5">
        <v>40</v>
      </c>
      <c r="T127" s="5" t="s">
        <v>38</v>
      </c>
      <c r="U127" s="8" t="str">
        <f t="shared" si="2"/>
        <v/>
      </c>
      <c r="V127" s="8" t="str">
        <f t="shared" si="3"/>
        <v/>
      </c>
      <c r="W127" s="8" t="str">
        <f>_xlfn.XLOOKUP(X127,ShiftCodes[Code],ShiftCodes[Work Schedule],"Unknown code")</f>
        <v>Standard (Mon–Fri 9:00–17:30)</v>
      </c>
      <c r="X127" s="9" t="s">
        <v>39</v>
      </c>
      <c r="Y127" s="5"/>
    </row>
    <row r="128" spans="1:25" ht="16" x14ac:dyDescent="0.2">
      <c r="A128" s="5" t="s">
        <v>250</v>
      </c>
      <c r="B128" s="5" t="s">
        <v>103</v>
      </c>
      <c r="C128" s="5" t="s">
        <v>106</v>
      </c>
      <c r="D128" s="5" t="s">
        <v>42</v>
      </c>
      <c r="E128" s="5" t="s">
        <v>29</v>
      </c>
      <c r="F128" s="5" t="s">
        <v>165</v>
      </c>
      <c r="G128" s="5" t="s">
        <v>31</v>
      </c>
      <c r="H128" s="5" t="s">
        <v>8</v>
      </c>
      <c r="I128" s="10">
        <v>180000</v>
      </c>
      <c r="J128" s="12"/>
      <c r="K128" s="5" t="s">
        <v>33</v>
      </c>
      <c r="L128" s="5" t="s">
        <v>34</v>
      </c>
      <c r="M128" s="6">
        <v>45499</v>
      </c>
      <c r="N128" s="6"/>
      <c r="O128" s="6"/>
      <c r="P128" s="5" t="s">
        <v>145</v>
      </c>
      <c r="Q128" s="5" t="s">
        <v>36</v>
      </c>
      <c r="R128" s="8" t="s">
        <v>37</v>
      </c>
      <c r="S128" s="5">
        <v>40</v>
      </c>
      <c r="T128" s="5" t="s">
        <v>38</v>
      </c>
      <c r="U128" s="8" t="str">
        <f t="shared" si="2"/>
        <v/>
      </c>
      <c r="V128" s="8" t="str">
        <f t="shared" si="3"/>
        <v/>
      </c>
      <c r="W128" s="8" t="str">
        <f>_xlfn.XLOOKUP(X128,ShiftCodes[Code],ShiftCodes[Work Schedule],"Unknown code")</f>
        <v>Standard (Mon–Fri 9:00–17:30)</v>
      </c>
      <c r="X128" s="9" t="s">
        <v>39</v>
      </c>
      <c r="Y128" s="5"/>
    </row>
    <row r="129" spans="1:25" ht="16" x14ac:dyDescent="0.2">
      <c r="A129" s="5" t="s">
        <v>251</v>
      </c>
      <c r="B129" s="5" t="s">
        <v>103</v>
      </c>
      <c r="C129" s="5" t="s">
        <v>100</v>
      </c>
      <c r="D129" s="5" t="s">
        <v>28</v>
      </c>
      <c r="E129" s="5" t="s">
        <v>29</v>
      </c>
      <c r="F129" s="5" t="s">
        <v>124</v>
      </c>
      <c r="G129" s="5" t="s">
        <v>31</v>
      </c>
      <c r="H129" s="5" t="s">
        <v>8</v>
      </c>
      <c r="I129" s="10">
        <v>126000</v>
      </c>
      <c r="J129" s="12"/>
      <c r="K129" s="5" t="s">
        <v>33</v>
      </c>
      <c r="L129" s="5" t="s">
        <v>34</v>
      </c>
      <c r="M129" s="6">
        <v>45501</v>
      </c>
      <c r="N129" s="6"/>
      <c r="O129" s="6"/>
      <c r="P129" s="5" t="s">
        <v>175</v>
      </c>
      <c r="Q129" s="5" t="s">
        <v>36</v>
      </c>
      <c r="R129" s="8" t="s">
        <v>37</v>
      </c>
      <c r="S129" s="5">
        <v>40</v>
      </c>
      <c r="T129" s="5" t="s">
        <v>38</v>
      </c>
      <c r="U129" s="8" t="str">
        <f t="shared" si="2"/>
        <v/>
      </c>
      <c r="V129" s="8" t="str">
        <f t="shared" si="3"/>
        <v/>
      </c>
      <c r="W129" s="8" t="str">
        <f>_xlfn.XLOOKUP(X129,ShiftCodes[Code],ShiftCodes[Work Schedule],"Unknown code")</f>
        <v>Standard (Mon–Fri 9:00–17:30)</v>
      </c>
      <c r="X129" s="9" t="s">
        <v>39</v>
      </c>
      <c r="Y129" s="5"/>
    </row>
    <row r="130" spans="1:25" ht="16" x14ac:dyDescent="0.2">
      <c r="A130" s="5" t="s">
        <v>252</v>
      </c>
      <c r="B130" s="5" t="s">
        <v>112</v>
      </c>
      <c r="C130" s="5" t="s">
        <v>180</v>
      </c>
      <c r="D130" s="5" t="s">
        <v>52</v>
      </c>
      <c r="E130" s="5" t="s">
        <v>52</v>
      </c>
      <c r="F130" s="5" t="s">
        <v>156</v>
      </c>
      <c r="G130" s="5" t="s">
        <v>31</v>
      </c>
      <c r="H130" s="5" t="s">
        <v>8</v>
      </c>
      <c r="I130" s="10">
        <v>116000</v>
      </c>
      <c r="J130" s="17"/>
      <c r="K130" s="5" t="s">
        <v>55</v>
      </c>
      <c r="L130" s="5" t="s">
        <v>56</v>
      </c>
      <c r="M130" s="6">
        <v>45505</v>
      </c>
      <c r="N130" s="6"/>
      <c r="O130" s="6"/>
      <c r="P130" s="5" t="s">
        <v>179</v>
      </c>
      <c r="Q130" s="5" t="s">
        <v>36</v>
      </c>
      <c r="R130" s="8" t="s">
        <v>37</v>
      </c>
      <c r="S130" s="5">
        <v>37.5</v>
      </c>
      <c r="T130" s="5" t="s">
        <v>38</v>
      </c>
      <c r="U130" s="8" t="str">
        <f t="shared" ref="U130:U193" si="4">IF(AND(TRIM(E130)="US",TRIM(G130)="Non-Exempt"),"US Non-Exempt EEs","")</f>
        <v/>
      </c>
      <c r="V130" s="8" t="str">
        <f t="shared" ref="V130:V193" si="5">IF(AND(TRIM(E130)="US",TRIM(G130)="Non-Exempt"),IF(TRIM(D130)="CA","US California Non-Exempt","US Non-California Non-Exempt"),"")</f>
        <v/>
      </c>
      <c r="W130" s="8" t="str">
        <f>_xlfn.XLOOKUP(X130,ShiftCodes[Code],ShiftCodes[Work Schedule],"Unknown code")</f>
        <v>Standard (Mon–Fri 9:00–17:30)</v>
      </c>
      <c r="X130" s="9" t="s">
        <v>39</v>
      </c>
      <c r="Y130" s="5"/>
    </row>
    <row r="131" spans="1:25" ht="16" x14ac:dyDescent="0.2">
      <c r="A131" s="5" t="s">
        <v>253</v>
      </c>
      <c r="B131" s="5" t="s">
        <v>112</v>
      </c>
      <c r="C131" s="5" t="s">
        <v>100</v>
      </c>
      <c r="D131" s="5" t="s">
        <v>28</v>
      </c>
      <c r="E131" s="5" t="s">
        <v>29</v>
      </c>
      <c r="F131" s="5" t="s">
        <v>163</v>
      </c>
      <c r="G131" s="5" t="s">
        <v>31</v>
      </c>
      <c r="H131" s="5" t="s">
        <v>8</v>
      </c>
      <c r="I131" s="10">
        <v>161000</v>
      </c>
      <c r="J131" s="12"/>
      <c r="K131" s="5" t="s">
        <v>33</v>
      </c>
      <c r="L131" s="5" t="s">
        <v>34</v>
      </c>
      <c r="M131" s="6">
        <v>45507</v>
      </c>
      <c r="N131" s="6"/>
      <c r="O131" s="6"/>
      <c r="P131" s="5" t="s">
        <v>208</v>
      </c>
      <c r="Q131" s="5" t="s">
        <v>36</v>
      </c>
      <c r="R131" s="8" t="s">
        <v>37</v>
      </c>
      <c r="S131" s="5">
        <v>40</v>
      </c>
      <c r="T131" s="5" t="s">
        <v>38</v>
      </c>
      <c r="U131" s="8" t="str">
        <f t="shared" si="4"/>
        <v/>
      </c>
      <c r="V131" s="8" t="str">
        <f t="shared" si="5"/>
        <v/>
      </c>
      <c r="W131" s="8" t="str">
        <f>_xlfn.XLOOKUP(X131,ShiftCodes[Code],ShiftCodes[Work Schedule],"Unknown code")</f>
        <v>Standard (Mon–Fri 9:00–17:30)</v>
      </c>
      <c r="X131" s="9" t="s">
        <v>39</v>
      </c>
      <c r="Y131" s="5"/>
    </row>
    <row r="132" spans="1:25" ht="16" x14ac:dyDescent="0.2">
      <c r="A132" s="5" t="s">
        <v>254</v>
      </c>
      <c r="B132" s="5" t="s">
        <v>112</v>
      </c>
      <c r="C132" s="5" t="s">
        <v>68</v>
      </c>
      <c r="D132" s="5" t="s">
        <v>69</v>
      </c>
      <c r="E132" s="5" t="s">
        <v>70</v>
      </c>
      <c r="F132" s="5" t="s">
        <v>124</v>
      </c>
      <c r="G132" s="5" t="s">
        <v>31</v>
      </c>
      <c r="H132" s="5" t="s">
        <v>8</v>
      </c>
      <c r="I132" s="15">
        <v>2570000</v>
      </c>
      <c r="J132" s="16"/>
      <c r="K132" s="5" t="s">
        <v>72</v>
      </c>
      <c r="L132" s="5" t="s">
        <v>73</v>
      </c>
      <c r="M132" s="6">
        <v>45517</v>
      </c>
      <c r="N132" s="6"/>
      <c r="O132" s="6"/>
      <c r="P132" s="5" t="s">
        <v>209</v>
      </c>
      <c r="Q132" s="5" t="s">
        <v>36</v>
      </c>
      <c r="R132" s="8" t="s">
        <v>37</v>
      </c>
      <c r="S132" s="5">
        <v>40</v>
      </c>
      <c r="T132" s="5" t="s">
        <v>38</v>
      </c>
      <c r="U132" s="8" t="str">
        <f t="shared" si="4"/>
        <v/>
      </c>
      <c r="V132" s="8" t="str">
        <f t="shared" si="5"/>
        <v/>
      </c>
      <c r="W132" s="8" t="str">
        <f>_xlfn.XLOOKUP(X132,ShiftCodes[Code],ShiftCodes[Work Schedule],"Unknown code")</f>
        <v>Standard (Mon–Fri 9:00–17:30)</v>
      </c>
      <c r="X132" s="9" t="s">
        <v>39</v>
      </c>
      <c r="Y132" s="5"/>
    </row>
    <row r="133" spans="1:25" ht="16" x14ac:dyDescent="0.2">
      <c r="A133" s="5" t="s">
        <v>255</v>
      </c>
      <c r="B133" s="5" t="s">
        <v>103</v>
      </c>
      <c r="C133" s="5" t="s">
        <v>100</v>
      </c>
      <c r="D133" s="5" t="s">
        <v>28</v>
      </c>
      <c r="E133" s="5" t="s">
        <v>29</v>
      </c>
      <c r="F133" s="5" t="s">
        <v>119</v>
      </c>
      <c r="G133" s="5" t="s">
        <v>31</v>
      </c>
      <c r="H133" s="5" t="s">
        <v>8</v>
      </c>
      <c r="I133" s="10">
        <v>218000</v>
      </c>
      <c r="J133" s="12"/>
      <c r="K133" s="5" t="s">
        <v>33</v>
      </c>
      <c r="L133" s="5" t="s">
        <v>34</v>
      </c>
      <c r="M133" s="6">
        <v>45518</v>
      </c>
      <c r="N133" s="6"/>
      <c r="O133" s="6"/>
      <c r="P133" s="5" t="s">
        <v>116</v>
      </c>
      <c r="Q133" s="5" t="s">
        <v>36</v>
      </c>
      <c r="R133" s="8" t="s">
        <v>37</v>
      </c>
      <c r="S133" s="5">
        <v>40</v>
      </c>
      <c r="T133" s="5" t="s">
        <v>38</v>
      </c>
      <c r="U133" s="8" t="str">
        <f t="shared" si="4"/>
        <v/>
      </c>
      <c r="V133" s="8" t="str">
        <f t="shared" si="5"/>
        <v/>
      </c>
      <c r="W133" s="8" t="str">
        <f>_xlfn.XLOOKUP(X133,ShiftCodes[Code],ShiftCodes[Work Schedule],"Unknown code")</f>
        <v>Standard (Mon–Fri 9:00–17:30)</v>
      </c>
      <c r="X133" s="9" t="s">
        <v>39</v>
      </c>
      <c r="Y133" s="5"/>
    </row>
    <row r="134" spans="1:25" ht="16" x14ac:dyDescent="0.2">
      <c r="A134" s="5" t="s">
        <v>256</v>
      </c>
      <c r="B134" s="5" t="s">
        <v>109</v>
      </c>
      <c r="C134" s="5" t="s">
        <v>113</v>
      </c>
      <c r="D134" s="5" t="s">
        <v>84</v>
      </c>
      <c r="E134" s="5" t="s">
        <v>29</v>
      </c>
      <c r="F134" s="5" t="s">
        <v>132</v>
      </c>
      <c r="G134" s="5" t="s">
        <v>78</v>
      </c>
      <c r="H134" s="5" t="s">
        <v>79</v>
      </c>
      <c r="I134" s="10"/>
      <c r="J134" s="12">
        <v>38</v>
      </c>
      <c r="K134" s="5" t="s">
        <v>33</v>
      </c>
      <c r="L134" s="5" t="s">
        <v>80</v>
      </c>
      <c r="M134" s="6">
        <v>45530</v>
      </c>
      <c r="N134" s="6"/>
      <c r="O134" s="6"/>
      <c r="P134" s="5" t="s">
        <v>202</v>
      </c>
      <c r="Q134" s="5" t="s">
        <v>36</v>
      </c>
      <c r="R134" s="8" t="s">
        <v>37</v>
      </c>
      <c r="S134" s="5">
        <v>24</v>
      </c>
      <c r="T134" s="5" t="s">
        <v>140</v>
      </c>
      <c r="U134" s="8" t="str">
        <f t="shared" si="4"/>
        <v>US Non-Exempt EEs</v>
      </c>
      <c r="V134" s="8" t="str">
        <f t="shared" si="5"/>
        <v>US Non-California Non-Exempt</v>
      </c>
      <c r="W134" s="8" t="str">
        <f>_xlfn.XLOOKUP(X134,ShiftCodes[Code],ShiftCodes[Work Schedule],"Unknown code")</f>
        <v>Part-time – Day (Mon/Wed/Fri 06:00–14:30)</v>
      </c>
      <c r="X134" s="9" t="s">
        <v>141</v>
      </c>
      <c r="Y134" s="5"/>
    </row>
    <row r="135" spans="1:25" ht="16" x14ac:dyDescent="0.2">
      <c r="A135" s="5" t="s">
        <v>257</v>
      </c>
      <c r="B135" s="5" t="s">
        <v>112</v>
      </c>
      <c r="C135" s="5" t="s">
        <v>41</v>
      </c>
      <c r="D135" s="5" t="s">
        <v>90</v>
      </c>
      <c r="E135" s="5" t="s">
        <v>29</v>
      </c>
      <c r="F135" s="5" t="s">
        <v>124</v>
      </c>
      <c r="G135" s="5" t="s">
        <v>31</v>
      </c>
      <c r="H135" s="5" t="s">
        <v>8</v>
      </c>
      <c r="I135" s="10">
        <v>132000</v>
      </c>
      <c r="J135" s="12"/>
      <c r="K135" s="5" t="s">
        <v>33</v>
      </c>
      <c r="L135" s="5" t="s">
        <v>34</v>
      </c>
      <c r="M135" s="6">
        <v>45534</v>
      </c>
      <c r="N135" s="6"/>
      <c r="O135" s="6"/>
      <c r="P135" s="5" t="s">
        <v>182</v>
      </c>
      <c r="Q135" s="5" t="s">
        <v>36</v>
      </c>
      <c r="R135" s="8" t="s">
        <v>37</v>
      </c>
      <c r="S135" s="5">
        <v>40</v>
      </c>
      <c r="T135" s="5" t="s">
        <v>38</v>
      </c>
      <c r="U135" s="8" t="str">
        <f t="shared" si="4"/>
        <v/>
      </c>
      <c r="V135" s="8" t="str">
        <f t="shared" si="5"/>
        <v/>
      </c>
      <c r="W135" s="8" t="str">
        <f>_xlfn.XLOOKUP(X135,ShiftCodes[Code],ShiftCodes[Work Schedule],"Unknown code")</f>
        <v>Standard (Mon–Fri 9:00–17:30)</v>
      </c>
      <c r="X135" s="9" t="s">
        <v>39</v>
      </c>
      <c r="Y135" s="5"/>
    </row>
    <row r="136" spans="1:25" ht="16" x14ac:dyDescent="0.2">
      <c r="A136" s="5" t="s">
        <v>258</v>
      </c>
      <c r="B136" s="5" t="s">
        <v>112</v>
      </c>
      <c r="C136" s="5" t="s">
        <v>224</v>
      </c>
      <c r="D136" s="5" t="s">
        <v>225</v>
      </c>
      <c r="E136" s="5" t="s">
        <v>70</v>
      </c>
      <c r="F136" s="5" t="s">
        <v>165</v>
      </c>
      <c r="G136" s="5" t="s">
        <v>31</v>
      </c>
      <c r="H136" s="5" t="s">
        <v>8</v>
      </c>
      <c r="I136" s="15">
        <v>5210000</v>
      </c>
      <c r="J136" s="16"/>
      <c r="K136" s="5" t="s">
        <v>72</v>
      </c>
      <c r="L136" s="5" t="s">
        <v>73</v>
      </c>
      <c r="M136" s="6">
        <v>45534</v>
      </c>
      <c r="N136" s="6"/>
      <c r="O136" s="6"/>
      <c r="P136" s="5" t="s">
        <v>223</v>
      </c>
      <c r="Q136" s="5" t="s">
        <v>36</v>
      </c>
      <c r="R136" s="8" t="s">
        <v>37</v>
      </c>
      <c r="S136" s="5">
        <v>40</v>
      </c>
      <c r="T136" s="5" t="s">
        <v>38</v>
      </c>
      <c r="U136" s="8" t="str">
        <f t="shared" si="4"/>
        <v/>
      </c>
      <c r="V136" s="8" t="str">
        <f t="shared" si="5"/>
        <v/>
      </c>
      <c r="W136" s="8" t="str">
        <f>_xlfn.XLOOKUP(X136,ShiftCodes[Code],ShiftCodes[Work Schedule],"Unknown code")</f>
        <v>Standard (Mon–Fri 9:00–17:30)</v>
      </c>
      <c r="X136" s="9" t="s">
        <v>39</v>
      </c>
      <c r="Y136" s="5"/>
    </row>
    <row r="137" spans="1:25" ht="16" x14ac:dyDescent="0.2">
      <c r="A137" s="5" t="s">
        <v>259</v>
      </c>
      <c r="B137" s="5" t="s">
        <v>109</v>
      </c>
      <c r="C137" s="5" t="s">
        <v>113</v>
      </c>
      <c r="D137" s="5" t="s">
        <v>84</v>
      </c>
      <c r="E137" s="5" t="s">
        <v>29</v>
      </c>
      <c r="F137" s="5" t="s">
        <v>165</v>
      </c>
      <c r="G137" s="5" t="s">
        <v>31</v>
      </c>
      <c r="H137" s="5" t="s">
        <v>8</v>
      </c>
      <c r="I137" s="10">
        <v>173000</v>
      </c>
      <c r="J137" s="12"/>
      <c r="K137" s="5" t="s">
        <v>33</v>
      </c>
      <c r="L137" s="5" t="s">
        <v>34</v>
      </c>
      <c r="M137" s="6">
        <v>45547</v>
      </c>
      <c r="N137" s="6"/>
      <c r="O137" s="6"/>
      <c r="P137" s="5" t="s">
        <v>178</v>
      </c>
      <c r="Q137" s="5" t="s">
        <v>36</v>
      </c>
      <c r="R137" s="8" t="s">
        <v>37</v>
      </c>
      <c r="S137" s="5">
        <v>40</v>
      </c>
      <c r="T137" s="5" t="s">
        <v>38</v>
      </c>
      <c r="U137" s="8" t="str">
        <f t="shared" si="4"/>
        <v/>
      </c>
      <c r="V137" s="8" t="str">
        <f t="shared" si="5"/>
        <v/>
      </c>
      <c r="W137" s="8" t="str">
        <f>_xlfn.XLOOKUP(X137,ShiftCodes[Code],ShiftCodes[Work Schedule],"Unknown code")</f>
        <v>Standard (Mon–Fri 9:00–17:30)</v>
      </c>
      <c r="X137" s="9" t="s">
        <v>39</v>
      </c>
      <c r="Y137" s="5"/>
    </row>
    <row r="138" spans="1:25" ht="16" x14ac:dyDescent="0.2">
      <c r="A138" s="5" t="s">
        <v>260</v>
      </c>
      <c r="B138" s="5" t="s">
        <v>103</v>
      </c>
      <c r="C138" s="5" t="s">
        <v>41</v>
      </c>
      <c r="D138" s="5" t="s">
        <v>154</v>
      </c>
      <c r="E138" s="5" t="s">
        <v>29</v>
      </c>
      <c r="F138" s="5" t="s">
        <v>149</v>
      </c>
      <c r="G138" s="5" t="s">
        <v>31</v>
      </c>
      <c r="H138" s="5" t="s">
        <v>8</v>
      </c>
      <c r="I138" s="10">
        <v>109000</v>
      </c>
      <c r="J138" s="12"/>
      <c r="K138" s="5" t="s">
        <v>33</v>
      </c>
      <c r="L138" s="5" t="s">
        <v>34</v>
      </c>
      <c r="M138" s="6">
        <v>45551</v>
      </c>
      <c r="N138" s="6"/>
      <c r="O138" s="6"/>
      <c r="P138" s="5" t="s">
        <v>181</v>
      </c>
      <c r="Q138" s="5" t="s">
        <v>36</v>
      </c>
      <c r="R138" s="8" t="s">
        <v>37</v>
      </c>
      <c r="S138" s="5">
        <v>40</v>
      </c>
      <c r="T138" s="5" t="s">
        <v>38</v>
      </c>
      <c r="U138" s="8" t="str">
        <f t="shared" si="4"/>
        <v/>
      </c>
      <c r="V138" s="8" t="str">
        <f t="shared" si="5"/>
        <v/>
      </c>
      <c r="W138" s="8" t="str">
        <f>_xlfn.XLOOKUP(X138,ShiftCodes[Code],ShiftCodes[Work Schedule],"Unknown code")</f>
        <v>Standard (Mon–Fri 9:00–17:30)</v>
      </c>
      <c r="X138" s="9" t="s">
        <v>39</v>
      </c>
      <c r="Y138" s="5"/>
    </row>
    <row r="139" spans="1:25" ht="16" x14ac:dyDescent="0.2">
      <c r="A139" s="5" t="s">
        <v>261</v>
      </c>
      <c r="B139" s="5" t="s">
        <v>109</v>
      </c>
      <c r="C139" s="5" t="s">
        <v>76</v>
      </c>
      <c r="D139" s="5" t="s">
        <v>28</v>
      </c>
      <c r="E139" s="5" t="s">
        <v>29</v>
      </c>
      <c r="F139" s="5" t="s">
        <v>121</v>
      </c>
      <c r="G139" s="5" t="s">
        <v>78</v>
      </c>
      <c r="H139" s="5" t="s">
        <v>79</v>
      </c>
      <c r="I139" s="10"/>
      <c r="J139" s="12">
        <v>40</v>
      </c>
      <c r="K139" s="5" t="s">
        <v>33</v>
      </c>
      <c r="L139" s="5" t="s">
        <v>80</v>
      </c>
      <c r="M139" s="6">
        <v>45553</v>
      </c>
      <c r="N139" s="6"/>
      <c r="O139" s="6">
        <v>46304</v>
      </c>
      <c r="P139" s="5" t="s">
        <v>161</v>
      </c>
      <c r="Q139" s="5" t="s">
        <v>93</v>
      </c>
      <c r="R139" s="8" t="s">
        <v>37</v>
      </c>
      <c r="S139" s="5">
        <v>36</v>
      </c>
      <c r="T139" s="5" t="s">
        <v>38</v>
      </c>
      <c r="U139" s="8" t="str">
        <f t="shared" si="4"/>
        <v>US Non-Exempt EEs</v>
      </c>
      <c r="V139" s="8" t="str">
        <f t="shared" si="5"/>
        <v>US California Non-Exempt</v>
      </c>
      <c r="W139" s="8" t="str">
        <f>_xlfn.XLOOKUP(X139,ShiftCodes[Code],ShiftCodes[Work Schedule],"Unknown code")</f>
        <v>Shift D – Weekend (Fri–Sun 06:00–18:30)</v>
      </c>
      <c r="X139" s="9" t="s">
        <v>151</v>
      </c>
      <c r="Y139" s="5"/>
    </row>
    <row r="140" spans="1:25" ht="16" x14ac:dyDescent="0.2">
      <c r="A140" s="5" t="s">
        <v>262</v>
      </c>
      <c r="B140" s="5" t="s">
        <v>103</v>
      </c>
      <c r="C140" s="5" t="s">
        <v>41</v>
      </c>
      <c r="D140" s="5" t="s">
        <v>189</v>
      </c>
      <c r="E140" s="5" t="s">
        <v>29</v>
      </c>
      <c r="F140" s="5" t="s">
        <v>163</v>
      </c>
      <c r="G140" s="5" t="s">
        <v>31</v>
      </c>
      <c r="H140" s="5" t="s">
        <v>8</v>
      </c>
      <c r="I140" s="10">
        <v>151000</v>
      </c>
      <c r="J140" s="12"/>
      <c r="K140" s="5" t="s">
        <v>33</v>
      </c>
      <c r="L140" s="5" t="s">
        <v>34</v>
      </c>
      <c r="M140" s="6">
        <v>45556</v>
      </c>
      <c r="N140" s="6"/>
      <c r="O140" s="6"/>
      <c r="P140" s="5" t="s">
        <v>136</v>
      </c>
      <c r="Q140" s="5" t="s">
        <v>36</v>
      </c>
      <c r="R140" s="8" t="s">
        <v>37</v>
      </c>
      <c r="S140" s="5">
        <v>40</v>
      </c>
      <c r="T140" s="5" t="s">
        <v>38</v>
      </c>
      <c r="U140" s="8" t="str">
        <f t="shared" si="4"/>
        <v/>
      </c>
      <c r="V140" s="8" t="str">
        <f t="shared" si="5"/>
        <v/>
      </c>
      <c r="W140" s="8" t="str">
        <f>_xlfn.XLOOKUP(X140,ShiftCodes[Code],ShiftCodes[Work Schedule],"Unknown code")</f>
        <v>Standard (Mon–Fri 9:00–17:30)</v>
      </c>
      <c r="X140" s="9" t="s">
        <v>39</v>
      </c>
      <c r="Y140" s="5"/>
    </row>
    <row r="141" spans="1:25" ht="16" x14ac:dyDescent="0.2">
      <c r="A141" s="5" t="s">
        <v>263</v>
      </c>
      <c r="B141" s="5" t="s">
        <v>109</v>
      </c>
      <c r="C141" s="5" t="s">
        <v>76</v>
      </c>
      <c r="D141" s="5" t="s">
        <v>28</v>
      </c>
      <c r="E141" s="5" t="s">
        <v>29</v>
      </c>
      <c r="F141" s="5" t="s">
        <v>132</v>
      </c>
      <c r="G141" s="5" t="s">
        <v>78</v>
      </c>
      <c r="H141" s="5" t="s">
        <v>79</v>
      </c>
      <c r="I141" s="10"/>
      <c r="J141" s="12">
        <v>41.5</v>
      </c>
      <c r="K141" s="5" t="s">
        <v>33</v>
      </c>
      <c r="L141" s="5" t="s">
        <v>80</v>
      </c>
      <c r="M141" s="6">
        <v>45560</v>
      </c>
      <c r="N141" s="6"/>
      <c r="O141" s="6"/>
      <c r="P141" s="5" t="s">
        <v>161</v>
      </c>
      <c r="Q141" s="5" t="s">
        <v>36</v>
      </c>
      <c r="R141" s="8" t="s">
        <v>37</v>
      </c>
      <c r="S141" s="5">
        <v>36</v>
      </c>
      <c r="T141" s="5" t="s">
        <v>38</v>
      </c>
      <c r="U141" s="8" t="str">
        <f t="shared" si="4"/>
        <v>US Non-Exempt EEs</v>
      </c>
      <c r="V141" s="8" t="str">
        <f t="shared" si="5"/>
        <v>US California Non-Exempt</v>
      </c>
      <c r="W141" s="8" t="str">
        <f>_xlfn.XLOOKUP(X141,ShiftCodes[Code],ShiftCodes[Work Schedule],"Unknown code")</f>
        <v>Shift D – Weekend (Fri–Sun 06:00–18:30)</v>
      </c>
      <c r="X141" s="9" t="s">
        <v>151</v>
      </c>
      <c r="Y141" s="5"/>
    </row>
    <row r="142" spans="1:25" ht="16" x14ac:dyDescent="0.2">
      <c r="A142" s="5" t="s">
        <v>264</v>
      </c>
      <c r="B142" s="5" t="s">
        <v>112</v>
      </c>
      <c r="C142" s="5" t="s">
        <v>224</v>
      </c>
      <c r="D142" s="5" t="s">
        <v>225</v>
      </c>
      <c r="E142" s="5" t="s">
        <v>70</v>
      </c>
      <c r="F142" s="5" t="s">
        <v>124</v>
      </c>
      <c r="G142" s="5" t="s">
        <v>31</v>
      </c>
      <c r="H142" s="5" t="s">
        <v>8</v>
      </c>
      <c r="I142" s="15">
        <v>2710000</v>
      </c>
      <c r="J142" s="16"/>
      <c r="K142" s="5" t="s">
        <v>72</v>
      </c>
      <c r="L142" s="5" t="s">
        <v>73</v>
      </c>
      <c r="M142" s="6">
        <v>45562</v>
      </c>
      <c r="N142" s="6"/>
      <c r="O142" s="6"/>
      <c r="P142" s="5" t="s">
        <v>223</v>
      </c>
      <c r="Q142" s="5" t="s">
        <v>36</v>
      </c>
      <c r="R142" s="8" t="s">
        <v>37</v>
      </c>
      <c r="S142" s="5">
        <v>40</v>
      </c>
      <c r="T142" s="5" t="s">
        <v>38</v>
      </c>
      <c r="U142" s="8" t="str">
        <f t="shared" si="4"/>
        <v/>
      </c>
      <c r="V142" s="8" t="str">
        <f t="shared" si="5"/>
        <v/>
      </c>
      <c r="W142" s="8" t="str">
        <f>_xlfn.XLOOKUP(X142,ShiftCodes[Code],ShiftCodes[Work Schedule],"Unknown code")</f>
        <v>Standard (Mon–Fri 9:00–17:30)</v>
      </c>
      <c r="X142" s="9" t="s">
        <v>39</v>
      </c>
      <c r="Y142" s="5"/>
    </row>
    <row r="143" spans="1:25" ht="16" x14ac:dyDescent="0.2">
      <c r="A143" s="5" t="s">
        <v>265</v>
      </c>
      <c r="B143" s="5" t="s">
        <v>103</v>
      </c>
      <c r="C143" s="5" t="s">
        <v>41</v>
      </c>
      <c r="D143" s="5" t="s">
        <v>266</v>
      </c>
      <c r="E143" s="5" t="s">
        <v>29</v>
      </c>
      <c r="F143" s="5" t="s">
        <v>236</v>
      </c>
      <c r="G143" s="5" t="s">
        <v>31</v>
      </c>
      <c r="H143" s="5" t="s">
        <v>8</v>
      </c>
      <c r="I143" s="10">
        <v>298000</v>
      </c>
      <c r="J143" s="12"/>
      <c r="K143" s="5" t="s">
        <v>33</v>
      </c>
      <c r="L143" s="5" t="s">
        <v>34</v>
      </c>
      <c r="M143" s="6">
        <v>45567</v>
      </c>
      <c r="N143" s="6"/>
      <c r="O143" s="6"/>
      <c r="P143" s="5" t="s">
        <v>181</v>
      </c>
      <c r="Q143" s="5" t="s">
        <v>36</v>
      </c>
      <c r="R143" s="8" t="s">
        <v>37</v>
      </c>
      <c r="S143" s="5">
        <v>40</v>
      </c>
      <c r="T143" s="5" t="s">
        <v>38</v>
      </c>
      <c r="U143" s="8" t="str">
        <f t="shared" si="4"/>
        <v/>
      </c>
      <c r="V143" s="8" t="str">
        <f t="shared" si="5"/>
        <v/>
      </c>
      <c r="W143" s="8" t="str">
        <f>_xlfn.XLOOKUP(X143,ShiftCodes[Code],ShiftCodes[Work Schedule],"Unknown code")</f>
        <v>Standard (Mon–Fri 9:00–17:30)</v>
      </c>
      <c r="X143" s="9" t="s">
        <v>39</v>
      </c>
      <c r="Y143" s="5"/>
    </row>
    <row r="144" spans="1:25" ht="16" x14ac:dyDescent="0.2">
      <c r="A144" s="5" t="s">
        <v>267</v>
      </c>
      <c r="B144" s="5" t="s">
        <v>103</v>
      </c>
      <c r="C144" s="5" t="s">
        <v>106</v>
      </c>
      <c r="D144" s="5" t="s">
        <v>42</v>
      </c>
      <c r="E144" s="5" t="s">
        <v>29</v>
      </c>
      <c r="F144" s="5" t="s">
        <v>149</v>
      </c>
      <c r="G144" s="5" t="s">
        <v>31</v>
      </c>
      <c r="H144" s="5" t="s">
        <v>8</v>
      </c>
      <c r="I144" s="10">
        <v>101000</v>
      </c>
      <c r="J144" s="12"/>
      <c r="K144" s="5" t="s">
        <v>33</v>
      </c>
      <c r="L144" s="5" t="s">
        <v>34</v>
      </c>
      <c r="M144" s="6">
        <v>45580</v>
      </c>
      <c r="N144" s="6"/>
      <c r="O144" s="6"/>
      <c r="P144" s="5" t="s">
        <v>226</v>
      </c>
      <c r="Q144" s="5" t="s">
        <v>36</v>
      </c>
      <c r="R144" s="8" t="s">
        <v>37</v>
      </c>
      <c r="S144" s="5">
        <v>40</v>
      </c>
      <c r="T144" s="5" t="s">
        <v>38</v>
      </c>
      <c r="U144" s="8" t="str">
        <f t="shared" si="4"/>
        <v/>
      </c>
      <c r="V144" s="8" t="str">
        <f t="shared" si="5"/>
        <v/>
      </c>
      <c r="W144" s="8" t="str">
        <f>_xlfn.XLOOKUP(X144,ShiftCodes[Code],ShiftCodes[Work Schedule],"Unknown code")</f>
        <v>Standard (Mon–Fri 9:00–17:30)</v>
      </c>
      <c r="X144" s="9" t="s">
        <v>39</v>
      </c>
      <c r="Y144" s="5"/>
    </row>
    <row r="145" spans="1:25" ht="16" x14ac:dyDescent="0.2">
      <c r="A145" s="5" t="s">
        <v>268</v>
      </c>
      <c r="B145" s="5" t="s">
        <v>103</v>
      </c>
      <c r="C145" s="5" t="s">
        <v>100</v>
      </c>
      <c r="D145" s="5" t="s">
        <v>28</v>
      </c>
      <c r="E145" s="5" t="s">
        <v>29</v>
      </c>
      <c r="F145" s="5" t="s">
        <v>124</v>
      </c>
      <c r="G145" s="5" t="s">
        <v>31</v>
      </c>
      <c r="H145" s="5" t="s">
        <v>8</v>
      </c>
      <c r="I145" s="10">
        <v>119000</v>
      </c>
      <c r="J145" s="12"/>
      <c r="K145" s="5" t="s">
        <v>33</v>
      </c>
      <c r="L145" s="5" t="s">
        <v>34</v>
      </c>
      <c r="M145" s="6">
        <v>45581</v>
      </c>
      <c r="N145" s="6"/>
      <c r="O145" s="6"/>
      <c r="P145" s="5" t="s">
        <v>255</v>
      </c>
      <c r="Q145" s="5" t="s">
        <v>36</v>
      </c>
      <c r="R145" s="8" t="s">
        <v>37</v>
      </c>
      <c r="S145" s="5">
        <v>40</v>
      </c>
      <c r="T145" s="5" t="s">
        <v>38</v>
      </c>
      <c r="U145" s="8" t="str">
        <f t="shared" si="4"/>
        <v/>
      </c>
      <c r="V145" s="8" t="str">
        <f t="shared" si="5"/>
        <v/>
      </c>
      <c r="W145" s="8" t="str">
        <f>_xlfn.XLOOKUP(X145,ShiftCodes[Code],ShiftCodes[Work Schedule],"Unknown code")</f>
        <v>Standard (Mon–Fri 9:00–17:30)</v>
      </c>
      <c r="X145" s="9" t="s">
        <v>39</v>
      </c>
      <c r="Y145" s="5"/>
    </row>
    <row r="146" spans="1:25" ht="16" x14ac:dyDescent="0.2">
      <c r="A146" s="5" t="s">
        <v>269</v>
      </c>
      <c r="B146" s="5" t="s">
        <v>103</v>
      </c>
      <c r="C146" s="5" t="s">
        <v>41</v>
      </c>
      <c r="D146" s="5" t="s">
        <v>42</v>
      </c>
      <c r="E146" s="5" t="s">
        <v>29</v>
      </c>
      <c r="F146" s="5" t="s">
        <v>163</v>
      </c>
      <c r="G146" s="5" t="s">
        <v>31</v>
      </c>
      <c r="H146" s="5" t="s">
        <v>8</v>
      </c>
      <c r="I146" s="10">
        <v>159000</v>
      </c>
      <c r="J146" s="12"/>
      <c r="K146" s="5" t="s">
        <v>33</v>
      </c>
      <c r="L146" s="5" t="s">
        <v>34</v>
      </c>
      <c r="M146" s="6">
        <v>45582</v>
      </c>
      <c r="N146" s="6"/>
      <c r="O146" s="6"/>
      <c r="P146" s="5" t="s">
        <v>226</v>
      </c>
      <c r="Q146" s="5" t="s">
        <v>36</v>
      </c>
      <c r="R146" s="8" t="s">
        <v>37</v>
      </c>
      <c r="S146" s="5">
        <v>40</v>
      </c>
      <c r="T146" s="5" t="s">
        <v>38</v>
      </c>
      <c r="U146" s="8" t="str">
        <f t="shared" si="4"/>
        <v/>
      </c>
      <c r="V146" s="8" t="str">
        <f t="shared" si="5"/>
        <v/>
      </c>
      <c r="W146" s="8" t="str">
        <f>_xlfn.XLOOKUP(X146,ShiftCodes[Code],ShiftCodes[Work Schedule],"Unknown code")</f>
        <v>Standard (Mon–Fri 9:00–17:30)</v>
      </c>
      <c r="X146" s="9" t="s">
        <v>39</v>
      </c>
      <c r="Y146" s="5"/>
    </row>
    <row r="147" spans="1:25" ht="16" x14ac:dyDescent="0.2">
      <c r="A147" s="5" t="s">
        <v>270</v>
      </c>
      <c r="B147" s="5" t="s">
        <v>109</v>
      </c>
      <c r="C147" s="5" t="s">
        <v>113</v>
      </c>
      <c r="D147" s="5" t="s">
        <v>84</v>
      </c>
      <c r="E147" s="5" t="s">
        <v>29</v>
      </c>
      <c r="F147" s="5" t="s">
        <v>130</v>
      </c>
      <c r="G147" s="5" t="s">
        <v>78</v>
      </c>
      <c r="H147" s="5" t="s">
        <v>79</v>
      </c>
      <c r="I147" s="10"/>
      <c r="J147" s="12">
        <v>28.5</v>
      </c>
      <c r="K147" s="5" t="s">
        <v>33</v>
      </c>
      <c r="L147" s="5" t="s">
        <v>80</v>
      </c>
      <c r="M147" s="6">
        <v>45587</v>
      </c>
      <c r="N147" s="6"/>
      <c r="O147" s="6"/>
      <c r="P147" s="5" t="s">
        <v>202</v>
      </c>
      <c r="Q147" s="5" t="s">
        <v>36</v>
      </c>
      <c r="R147" s="8" t="s">
        <v>37</v>
      </c>
      <c r="S147" s="5">
        <v>40</v>
      </c>
      <c r="T147" s="5" t="s">
        <v>38</v>
      </c>
      <c r="U147" s="8" t="str">
        <f t="shared" si="4"/>
        <v>US Non-Exempt EEs</v>
      </c>
      <c r="V147" s="8" t="str">
        <f t="shared" si="5"/>
        <v>US Non-California Non-Exempt</v>
      </c>
      <c r="W147" s="8" t="str">
        <f>_xlfn.XLOOKUP(X147,ShiftCodes[Code],ShiftCodes[Work Schedule],"Unknown code")</f>
        <v>Shift C – Night (Sun–Thu 22:00–06:30)</v>
      </c>
      <c r="X147" s="9" t="s">
        <v>239</v>
      </c>
      <c r="Y147" s="5"/>
    </row>
    <row r="148" spans="1:25" ht="16" x14ac:dyDescent="0.2">
      <c r="A148" s="5" t="s">
        <v>271</v>
      </c>
      <c r="B148" s="5" t="s">
        <v>99</v>
      </c>
      <c r="C148" s="5" t="s">
        <v>100</v>
      </c>
      <c r="D148" s="5" t="s">
        <v>28</v>
      </c>
      <c r="E148" s="5" t="s">
        <v>29</v>
      </c>
      <c r="F148" s="5" t="s">
        <v>163</v>
      </c>
      <c r="G148" s="5" t="s">
        <v>31</v>
      </c>
      <c r="H148" s="5" t="s">
        <v>8</v>
      </c>
      <c r="I148" s="10">
        <v>138000</v>
      </c>
      <c r="J148" s="12"/>
      <c r="K148" s="5" t="s">
        <v>33</v>
      </c>
      <c r="L148" s="5" t="s">
        <v>34</v>
      </c>
      <c r="M148" s="6">
        <v>45591</v>
      </c>
      <c r="N148" s="6"/>
      <c r="O148" s="6"/>
      <c r="P148" s="5" t="s">
        <v>186</v>
      </c>
      <c r="Q148" s="5" t="s">
        <v>36</v>
      </c>
      <c r="R148" s="8" t="s">
        <v>37</v>
      </c>
      <c r="S148" s="5">
        <v>40</v>
      </c>
      <c r="T148" s="5" t="s">
        <v>38</v>
      </c>
      <c r="U148" s="8" t="str">
        <f t="shared" si="4"/>
        <v/>
      </c>
      <c r="V148" s="8" t="str">
        <f t="shared" si="5"/>
        <v/>
      </c>
      <c r="W148" s="8" t="str">
        <f>_xlfn.XLOOKUP(X148,ShiftCodes[Code],ShiftCodes[Work Schedule],"Unknown code")</f>
        <v>Standard (Mon–Fri 9:00–17:30)</v>
      </c>
      <c r="X148" s="9" t="s">
        <v>39</v>
      </c>
      <c r="Y148" s="5"/>
    </row>
    <row r="149" spans="1:25" ht="16" x14ac:dyDescent="0.2">
      <c r="A149" s="5" t="s">
        <v>272</v>
      </c>
      <c r="B149" s="5" t="s">
        <v>109</v>
      </c>
      <c r="C149" s="5" t="s">
        <v>76</v>
      </c>
      <c r="D149" s="5" t="s">
        <v>28</v>
      </c>
      <c r="E149" s="5" t="s">
        <v>29</v>
      </c>
      <c r="F149" s="5" t="s">
        <v>124</v>
      </c>
      <c r="G149" s="5" t="s">
        <v>31</v>
      </c>
      <c r="H149" s="5" t="s">
        <v>8</v>
      </c>
      <c r="I149" s="10">
        <v>122000</v>
      </c>
      <c r="J149" s="12"/>
      <c r="K149" s="5" t="s">
        <v>33</v>
      </c>
      <c r="L149" s="5" t="s">
        <v>34</v>
      </c>
      <c r="M149" s="6">
        <v>45593</v>
      </c>
      <c r="N149" s="6">
        <v>46339</v>
      </c>
      <c r="O149" s="6"/>
      <c r="P149" s="5" t="s">
        <v>200</v>
      </c>
      <c r="Q149" s="5" t="s">
        <v>46</v>
      </c>
      <c r="R149" s="8" t="s">
        <v>37</v>
      </c>
      <c r="S149" s="5">
        <v>40</v>
      </c>
      <c r="T149" s="5" t="s">
        <v>38</v>
      </c>
      <c r="U149" s="8" t="str">
        <f t="shared" si="4"/>
        <v/>
      </c>
      <c r="V149" s="8" t="str">
        <f t="shared" si="5"/>
        <v/>
      </c>
      <c r="W149" s="8" t="str">
        <f>_xlfn.XLOOKUP(X149,ShiftCodes[Code],ShiftCodes[Work Schedule],"Unknown code")</f>
        <v>Standard (Mon–Fri 9:00–17:30)</v>
      </c>
      <c r="X149" s="9" t="s">
        <v>39</v>
      </c>
      <c r="Y149" s="5"/>
    </row>
    <row r="150" spans="1:25" ht="16" x14ac:dyDescent="0.2">
      <c r="A150" s="5" t="s">
        <v>273</v>
      </c>
      <c r="B150" s="5" t="s">
        <v>112</v>
      </c>
      <c r="C150" s="5" t="s">
        <v>100</v>
      </c>
      <c r="D150" s="5" t="s">
        <v>28</v>
      </c>
      <c r="E150" s="5" t="s">
        <v>29</v>
      </c>
      <c r="F150" s="5" t="s">
        <v>163</v>
      </c>
      <c r="G150" s="5" t="s">
        <v>31</v>
      </c>
      <c r="H150" s="5" t="s">
        <v>8</v>
      </c>
      <c r="I150" s="10">
        <v>160000</v>
      </c>
      <c r="J150" s="12"/>
      <c r="K150" s="5" t="s">
        <v>33</v>
      </c>
      <c r="L150" s="5" t="s">
        <v>34</v>
      </c>
      <c r="M150" s="6">
        <v>45607</v>
      </c>
      <c r="N150" s="6">
        <v>46332</v>
      </c>
      <c r="O150" s="6"/>
      <c r="P150" s="5" t="s">
        <v>229</v>
      </c>
      <c r="Q150" s="5" t="s">
        <v>46</v>
      </c>
      <c r="R150" s="8" t="s">
        <v>37</v>
      </c>
      <c r="S150" s="5">
        <v>40</v>
      </c>
      <c r="T150" s="5" t="s">
        <v>38</v>
      </c>
      <c r="U150" s="8" t="str">
        <f t="shared" si="4"/>
        <v/>
      </c>
      <c r="V150" s="8" t="str">
        <f t="shared" si="5"/>
        <v/>
      </c>
      <c r="W150" s="8" t="str">
        <f>_xlfn.XLOOKUP(X150,ShiftCodes[Code],ShiftCodes[Work Schedule],"Unknown code")</f>
        <v>Standard (Mon–Fri 9:00–17:30)</v>
      </c>
      <c r="X150" s="9" t="s">
        <v>39</v>
      </c>
      <c r="Y150" s="5"/>
    </row>
    <row r="151" spans="1:25" ht="16" x14ac:dyDescent="0.2">
      <c r="A151" s="5" t="s">
        <v>274</v>
      </c>
      <c r="B151" s="5" t="s">
        <v>103</v>
      </c>
      <c r="C151" s="5" t="s">
        <v>100</v>
      </c>
      <c r="D151" s="5" t="s">
        <v>28</v>
      </c>
      <c r="E151" s="5" t="s">
        <v>29</v>
      </c>
      <c r="F151" s="5" t="s">
        <v>119</v>
      </c>
      <c r="G151" s="5" t="s">
        <v>31</v>
      </c>
      <c r="H151" s="5" t="s">
        <v>8</v>
      </c>
      <c r="I151" s="10">
        <v>247000</v>
      </c>
      <c r="J151" s="12"/>
      <c r="K151" s="5" t="s">
        <v>33</v>
      </c>
      <c r="L151" s="5" t="s">
        <v>34</v>
      </c>
      <c r="M151" s="6">
        <v>45609</v>
      </c>
      <c r="N151" s="6"/>
      <c r="O151" s="6"/>
      <c r="P151" s="5" t="s">
        <v>176</v>
      </c>
      <c r="Q151" s="5" t="s">
        <v>36</v>
      </c>
      <c r="R151" s="8" t="s">
        <v>37</v>
      </c>
      <c r="S151" s="5">
        <v>40</v>
      </c>
      <c r="T151" s="5" t="s">
        <v>38</v>
      </c>
      <c r="U151" s="8" t="str">
        <f t="shared" si="4"/>
        <v/>
      </c>
      <c r="V151" s="8" t="str">
        <f t="shared" si="5"/>
        <v/>
      </c>
      <c r="W151" s="8" t="str">
        <f>_xlfn.XLOOKUP(X151,ShiftCodes[Code],ShiftCodes[Work Schedule],"Unknown code")</f>
        <v>Standard (Mon–Fri 9:00–17:30)</v>
      </c>
      <c r="X151" s="9" t="s">
        <v>39</v>
      </c>
      <c r="Y151" s="5"/>
    </row>
    <row r="152" spans="1:25" ht="16" x14ac:dyDescent="0.2">
      <c r="A152" s="5" t="s">
        <v>275</v>
      </c>
      <c r="B152" s="5" t="s">
        <v>109</v>
      </c>
      <c r="C152" s="5" t="s">
        <v>76</v>
      </c>
      <c r="D152" s="5" t="s">
        <v>28</v>
      </c>
      <c r="E152" s="5" t="s">
        <v>29</v>
      </c>
      <c r="F152" s="5" t="s">
        <v>165</v>
      </c>
      <c r="G152" s="5" t="s">
        <v>31</v>
      </c>
      <c r="H152" s="5" t="s">
        <v>8</v>
      </c>
      <c r="I152" s="10">
        <v>177000</v>
      </c>
      <c r="J152" s="12"/>
      <c r="K152" s="5" t="s">
        <v>33</v>
      </c>
      <c r="L152" s="5" t="s">
        <v>34</v>
      </c>
      <c r="M152" s="6">
        <v>45612</v>
      </c>
      <c r="N152" s="6"/>
      <c r="O152" s="6"/>
      <c r="P152" s="5" t="s">
        <v>200</v>
      </c>
      <c r="Q152" s="5" t="s">
        <v>36</v>
      </c>
      <c r="R152" s="8" t="s">
        <v>37</v>
      </c>
      <c r="S152" s="5">
        <v>40</v>
      </c>
      <c r="T152" s="5" t="s">
        <v>38</v>
      </c>
      <c r="U152" s="8" t="str">
        <f t="shared" si="4"/>
        <v/>
      </c>
      <c r="V152" s="8" t="str">
        <f t="shared" si="5"/>
        <v/>
      </c>
      <c r="W152" s="8" t="str">
        <f>_xlfn.XLOOKUP(X152,ShiftCodes[Code],ShiftCodes[Work Schedule],"Unknown code")</f>
        <v>Standard (Mon–Fri 9:00–17:30)</v>
      </c>
      <c r="X152" s="9" t="s">
        <v>39</v>
      </c>
      <c r="Y152" s="5"/>
    </row>
    <row r="153" spans="1:25" ht="16" x14ac:dyDescent="0.2">
      <c r="A153" s="5" t="s">
        <v>276</v>
      </c>
      <c r="B153" s="5" t="s">
        <v>112</v>
      </c>
      <c r="C153" s="5" t="s">
        <v>224</v>
      </c>
      <c r="D153" s="5" t="s">
        <v>225</v>
      </c>
      <c r="E153" s="5" t="s">
        <v>70</v>
      </c>
      <c r="F153" s="5" t="s">
        <v>124</v>
      </c>
      <c r="G153" s="5" t="s">
        <v>31</v>
      </c>
      <c r="H153" s="5" t="s">
        <v>8</v>
      </c>
      <c r="I153" s="15">
        <v>1820000</v>
      </c>
      <c r="J153" s="16"/>
      <c r="K153" s="5" t="s">
        <v>72</v>
      </c>
      <c r="L153" s="5" t="s">
        <v>73</v>
      </c>
      <c r="M153" s="6">
        <v>45613</v>
      </c>
      <c r="N153" s="6"/>
      <c r="O153" s="6"/>
      <c r="P153" s="5" t="s">
        <v>223</v>
      </c>
      <c r="Q153" s="5" t="s">
        <v>36</v>
      </c>
      <c r="R153" s="8" t="s">
        <v>37</v>
      </c>
      <c r="S153" s="5">
        <v>40</v>
      </c>
      <c r="T153" s="5" t="s">
        <v>38</v>
      </c>
      <c r="U153" s="8" t="str">
        <f t="shared" si="4"/>
        <v/>
      </c>
      <c r="V153" s="8" t="str">
        <f t="shared" si="5"/>
        <v/>
      </c>
      <c r="W153" s="8" t="str">
        <f>_xlfn.XLOOKUP(X153,ShiftCodes[Code],ShiftCodes[Work Schedule],"Unknown code")</f>
        <v>Standard (Mon–Fri 9:00–17:30)</v>
      </c>
      <c r="X153" s="9" t="s">
        <v>39</v>
      </c>
      <c r="Y153" s="5"/>
    </row>
    <row r="154" spans="1:25" ht="16" x14ac:dyDescent="0.2">
      <c r="A154" s="5" t="s">
        <v>277</v>
      </c>
      <c r="B154" s="5" t="s">
        <v>99</v>
      </c>
      <c r="C154" s="5" t="s">
        <v>68</v>
      </c>
      <c r="D154" s="5" t="s">
        <v>69</v>
      </c>
      <c r="E154" s="5" t="s">
        <v>70</v>
      </c>
      <c r="F154" s="5" t="s">
        <v>156</v>
      </c>
      <c r="G154" s="5" t="s">
        <v>31</v>
      </c>
      <c r="H154" s="5" t="s">
        <v>8</v>
      </c>
      <c r="I154" s="15">
        <v>7500000</v>
      </c>
      <c r="J154" s="16"/>
      <c r="K154" s="5" t="s">
        <v>72</v>
      </c>
      <c r="L154" s="5" t="s">
        <v>73</v>
      </c>
      <c r="M154" s="6">
        <v>45614</v>
      </c>
      <c r="N154" s="6"/>
      <c r="O154" s="6"/>
      <c r="P154" s="5" t="s">
        <v>171</v>
      </c>
      <c r="Q154" s="5" t="s">
        <v>36</v>
      </c>
      <c r="R154" s="8" t="s">
        <v>37</v>
      </c>
      <c r="S154" s="5">
        <v>40</v>
      </c>
      <c r="T154" s="5" t="s">
        <v>38</v>
      </c>
      <c r="U154" s="8" t="str">
        <f t="shared" si="4"/>
        <v/>
      </c>
      <c r="V154" s="8" t="str">
        <f t="shared" si="5"/>
        <v/>
      </c>
      <c r="W154" s="8" t="str">
        <f>_xlfn.XLOOKUP(X154,ShiftCodes[Code],ShiftCodes[Work Schedule],"Unknown code")</f>
        <v>Standard (Mon–Fri 9:00–17:30)</v>
      </c>
      <c r="X154" s="9" t="s">
        <v>39</v>
      </c>
      <c r="Y154" s="5"/>
    </row>
    <row r="155" spans="1:25" ht="16" x14ac:dyDescent="0.2">
      <c r="A155" s="5" t="s">
        <v>278</v>
      </c>
      <c r="B155" s="5" t="s">
        <v>112</v>
      </c>
      <c r="C155" s="5" t="s">
        <v>41</v>
      </c>
      <c r="D155" s="5" t="s">
        <v>28</v>
      </c>
      <c r="E155" s="5" t="s">
        <v>29</v>
      </c>
      <c r="F155" s="5" t="s">
        <v>165</v>
      </c>
      <c r="G155" s="5" t="s">
        <v>31</v>
      </c>
      <c r="H155" s="5" t="s">
        <v>8</v>
      </c>
      <c r="I155" s="10">
        <v>180000</v>
      </c>
      <c r="J155" s="12"/>
      <c r="K155" s="5" t="s">
        <v>33</v>
      </c>
      <c r="L155" s="5" t="s">
        <v>34</v>
      </c>
      <c r="M155" s="6">
        <v>45620</v>
      </c>
      <c r="N155" s="6"/>
      <c r="O155" s="6"/>
      <c r="P155" s="5" t="s">
        <v>229</v>
      </c>
      <c r="Q155" s="5" t="s">
        <v>36</v>
      </c>
      <c r="R155" s="8" t="s">
        <v>37</v>
      </c>
      <c r="S155" s="5">
        <v>40</v>
      </c>
      <c r="T155" s="5" t="s">
        <v>38</v>
      </c>
      <c r="U155" s="8" t="str">
        <f t="shared" si="4"/>
        <v/>
      </c>
      <c r="V155" s="8" t="str">
        <f t="shared" si="5"/>
        <v/>
      </c>
      <c r="W155" s="8" t="str">
        <f>_xlfn.XLOOKUP(X155,ShiftCodes[Code],ShiftCodes[Work Schedule],"Unknown code")</f>
        <v>Standard (Mon–Fri 9:00–17:30)</v>
      </c>
      <c r="X155" s="9" t="s">
        <v>39</v>
      </c>
      <c r="Y155" s="5"/>
    </row>
    <row r="156" spans="1:25" ht="16" x14ac:dyDescent="0.2">
      <c r="A156" s="5" t="s">
        <v>279</v>
      </c>
      <c r="B156" s="5" t="s">
        <v>109</v>
      </c>
      <c r="C156" s="5" t="s">
        <v>113</v>
      </c>
      <c r="D156" s="5" t="s">
        <v>84</v>
      </c>
      <c r="E156" s="5" t="s">
        <v>29</v>
      </c>
      <c r="F156" s="5" t="s">
        <v>121</v>
      </c>
      <c r="G156" s="5" t="s">
        <v>78</v>
      </c>
      <c r="H156" s="5" t="s">
        <v>79</v>
      </c>
      <c r="I156" s="10"/>
      <c r="J156" s="12">
        <v>34.75</v>
      </c>
      <c r="K156" s="5" t="s">
        <v>33</v>
      </c>
      <c r="L156" s="5" t="s">
        <v>80</v>
      </c>
      <c r="M156" s="6">
        <v>45621</v>
      </c>
      <c r="N156" s="6"/>
      <c r="O156" s="6"/>
      <c r="P156" s="5" t="s">
        <v>202</v>
      </c>
      <c r="Q156" s="5" t="s">
        <v>36</v>
      </c>
      <c r="R156" s="8" t="s">
        <v>37</v>
      </c>
      <c r="S156" s="5">
        <v>40</v>
      </c>
      <c r="T156" s="5" t="s">
        <v>38</v>
      </c>
      <c r="U156" s="8" t="str">
        <f t="shared" si="4"/>
        <v>US Non-Exempt EEs</v>
      </c>
      <c r="V156" s="8" t="str">
        <f t="shared" si="5"/>
        <v>US Non-California Non-Exempt</v>
      </c>
      <c r="W156" s="8" t="str">
        <f>_xlfn.XLOOKUP(X156,ShiftCodes[Code],ShiftCodes[Work Schedule],"Unknown code")</f>
        <v>Shift C – Night (Sun–Thu 22:00–06:30)</v>
      </c>
      <c r="X156" s="9" t="s">
        <v>239</v>
      </c>
      <c r="Y156" s="5"/>
    </row>
    <row r="157" spans="1:25" ht="16" x14ac:dyDescent="0.2">
      <c r="A157" s="5" t="s">
        <v>280</v>
      </c>
      <c r="B157" s="5" t="s">
        <v>103</v>
      </c>
      <c r="C157" s="5" t="s">
        <v>106</v>
      </c>
      <c r="D157" s="5" t="s">
        <v>42</v>
      </c>
      <c r="E157" s="5" t="s">
        <v>29</v>
      </c>
      <c r="F157" s="5" t="s">
        <v>165</v>
      </c>
      <c r="G157" s="5" t="s">
        <v>31</v>
      </c>
      <c r="H157" s="5" t="s">
        <v>8</v>
      </c>
      <c r="I157" s="10">
        <v>181000</v>
      </c>
      <c r="J157" s="12"/>
      <c r="K157" s="5" t="s">
        <v>33</v>
      </c>
      <c r="L157" s="5" t="s">
        <v>34</v>
      </c>
      <c r="M157" s="6">
        <v>45626</v>
      </c>
      <c r="N157" s="6"/>
      <c r="O157" s="6"/>
      <c r="P157" s="5" t="s">
        <v>226</v>
      </c>
      <c r="Q157" s="5" t="s">
        <v>36</v>
      </c>
      <c r="R157" s="8" t="s">
        <v>37</v>
      </c>
      <c r="S157" s="5">
        <v>40</v>
      </c>
      <c r="T157" s="5" t="s">
        <v>38</v>
      </c>
      <c r="U157" s="8" t="str">
        <f t="shared" si="4"/>
        <v/>
      </c>
      <c r="V157" s="8" t="str">
        <f t="shared" si="5"/>
        <v/>
      </c>
      <c r="W157" s="8" t="str">
        <f>_xlfn.XLOOKUP(X157,ShiftCodes[Code],ShiftCodes[Work Schedule],"Unknown code")</f>
        <v>Standard (Mon–Fri 9:00–17:30)</v>
      </c>
      <c r="X157" s="9" t="s">
        <v>39</v>
      </c>
      <c r="Y157" s="5"/>
    </row>
    <row r="158" spans="1:25" ht="16" x14ac:dyDescent="0.2">
      <c r="A158" s="5" t="s">
        <v>281</v>
      </c>
      <c r="B158" s="5" t="s">
        <v>112</v>
      </c>
      <c r="C158" s="5" t="s">
        <v>180</v>
      </c>
      <c r="D158" s="5" t="s">
        <v>52</v>
      </c>
      <c r="E158" s="5" t="s">
        <v>52</v>
      </c>
      <c r="F158" s="5" t="s">
        <v>124</v>
      </c>
      <c r="G158" s="5" t="s">
        <v>31</v>
      </c>
      <c r="H158" s="5" t="s">
        <v>8</v>
      </c>
      <c r="I158" s="10">
        <v>76000</v>
      </c>
      <c r="J158" s="17"/>
      <c r="K158" s="5" t="s">
        <v>55</v>
      </c>
      <c r="L158" s="5" t="s">
        <v>56</v>
      </c>
      <c r="M158" s="6">
        <v>45627</v>
      </c>
      <c r="N158" s="6"/>
      <c r="O158" s="6"/>
      <c r="P158" s="5" t="s">
        <v>179</v>
      </c>
      <c r="Q158" s="5" t="s">
        <v>36</v>
      </c>
      <c r="R158" s="8" t="s">
        <v>37</v>
      </c>
      <c r="S158" s="5">
        <v>37.5</v>
      </c>
      <c r="T158" s="5" t="s">
        <v>38</v>
      </c>
      <c r="U158" s="8" t="str">
        <f t="shared" si="4"/>
        <v/>
      </c>
      <c r="V158" s="8" t="str">
        <f t="shared" si="5"/>
        <v/>
      </c>
      <c r="W158" s="8" t="str">
        <f>_xlfn.XLOOKUP(X158,ShiftCodes[Code],ShiftCodes[Work Schedule],"Unknown code")</f>
        <v>Standard (Mon–Fri 9:00–17:30)</v>
      </c>
      <c r="X158" s="9" t="s">
        <v>39</v>
      </c>
      <c r="Y158" s="5"/>
    </row>
    <row r="159" spans="1:25" ht="16" x14ac:dyDescent="0.2">
      <c r="A159" s="5" t="s">
        <v>282</v>
      </c>
      <c r="B159" s="5" t="s">
        <v>112</v>
      </c>
      <c r="C159" s="5" t="s">
        <v>68</v>
      </c>
      <c r="D159" s="5" t="s">
        <v>69</v>
      </c>
      <c r="E159" s="5" t="s">
        <v>70</v>
      </c>
      <c r="F159" s="5" t="s">
        <v>149</v>
      </c>
      <c r="G159" s="5" t="s">
        <v>31</v>
      </c>
      <c r="H159" s="5" t="s">
        <v>8</v>
      </c>
      <c r="I159" s="15">
        <v>1630000</v>
      </c>
      <c r="J159" s="16"/>
      <c r="K159" s="5" t="s">
        <v>72</v>
      </c>
      <c r="L159" s="5" t="s">
        <v>73</v>
      </c>
      <c r="M159" s="6">
        <v>45631</v>
      </c>
      <c r="N159" s="6"/>
      <c r="O159" s="6"/>
      <c r="P159" s="5" t="s">
        <v>209</v>
      </c>
      <c r="Q159" s="5" t="s">
        <v>36</v>
      </c>
      <c r="R159" s="8" t="s">
        <v>37</v>
      </c>
      <c r="S159" s="5">
        <v>40</v>
      </c>
      <c r="T159" s="5" t="s">
        <v>38</v>
      </c>
      <c r="U159" s="8" t="str">
        <f t="shared" si="4"/>
        <v/>
      </c>
      <c r="V159" s="8" t="str">
        <f t="shared" si="5"/>
        <v/>
      </c>
      <c r="W159" s="8" t="str">
        <f>_xlfn.XLOOKUP(X159,ShiftCodes[Code],ShiftCodes[Work Schedule],"Unknown code")</f>
        <v>Standard (Mon–Fri 9:00–17:30)</v>
      </c>
      <c r="X159" s="9" t="s">
        <v>39</v>
      </c>
      <c r="Y159" s="5"/>
    </row>
    <row r="160" spans="1:25" ht="16" x14ac:dyDescent="0.2">
      <c r="A160" s="5" t="s">
        <v>283</v>
      </c>
      <c r="B160" s="5" t="s">
        <v>103</v>
      </c>
      <c r="C160" s="5" t="s">
        <v>106</v>
      </c>
      <c r="D160" s="5" t="s">
        <v>42</v>
      </c>
      <c r="E160" s="5" t="s">
        <v>29</v>
      </c>
      <c r="F160" s="5" t="s">
        <v>163</v>
      </c>
      <c r="G160" s="5" t="s">
        <v>31</v>
      </c>
      <c r="H160" s="5" t="s">
        <v>8</v>
      </c>
      <c r="I160" s="10">
        <v>173000</v>
      </c>
      <c r="J160" s="12"/>
      <c r="K160" s="5" t="s">
        <v>33</v>
      </c>
      <c r="L160" s="5" t="s">
        <v>34</v>
      </c>
      <c r="M160" s="6">
        <v>45636</v>
      </c>
      <c r="N160" s="6"/>
      <c r="O160" s="6"/>
      <c r="P160" s="5" t="s">
        <v>122</v>
      </c>
      <c r="Q160" s="5" t="s">
        <v>36</v>
      </c>
      <c r="R160" s="8" t="s">
        <v>37</v>
      </c>
      <c r="S160" s="5">
        <v>40</v>
      </c>
      <c r="T160" s="5" t="s">
        <v>38</v>
      </c>
      <c r="U160" s="8" t="str">
        <f t="shared" si="4"/>
        <v/>
      </c>
      <c r="V160" s="8" t="str">
        <f t="shared" si="5"/>
        <v/>
      </c>
      <c r="W160" s="8" t="str">
        <f>_xlfn.XLOOKUP(X160,ShiftCodes[Code],ShiftCodes[Work Schedule],"Unknown code")</f>
        <v>Standard (Mon–Fri 9:00–17:30)</v>
      </c>
      <c r="X160" s="9" t="s">
        <v>39</v>
      </c>
      <c r="Y160" s="5"/>
    </row>
    <row r="161" spans="1:25" ht="16" x14ac:dyDescent="0.2">
      <c r="A161" s="5" t="s">
        <v>284</v>
      </c>
      <c r="B161" s="5" t="s">
        <v>112</v>
      </c>
      <c r="C161" s="5" t="s">
        <v>68</v>
      </c>
      <c r="D161" s="5" t="s">
        <v>69</v>
      </c>
      <c r="E161" s="5" t="s">
        <v>70</v>
      </c>
      <c r="F161" s="5" t="s">
        <v>124</v>
      </c>
      <c r="G161" s="5" t="s">
        <v>31</v>
      </c>
      <c r="H161" s="5" t="s">
        <v>8</v>
      </c>
      <c r="I161" s="15">
        <v>2790000</v>
      </c>
      <c r="J161" s="16"/>
      <c r="K161" s="5" t="s">
        <v>72</v>
      </c>
      <c r="L161" s="5" t="s">
        <v>73</v>
      </c>
      <c r="M161" s="6">
        <v>45644</v>
      </c>
      <c r="N161" s="6"/>
      <c r="O161" s="6"/>
      <c r="P161" s="5" t="s">
        <v>209</v>
      </c>
      <c r="Q161" s="5" t="s">
        <v>36</v>
      </c>
      <c r="R161" s="8" t="s">
        <v>37</v>
      </c>
      <c r="S161" s="5">
        <v>40</v>
      </c>
      <c r="T161" s="5" t="s">
        <v>38</v>
      </c>
      <c r="U161" s="8" t="str">
        <f t="shared" si="4"/>
        <v/>
      </c>
      <c r="V161" s="8" t="str">
        <f t="shared" si="5"/>
        <v/>
      </c>
      <c r="W161" s="8" t="str">
        <f>_xlfn.XLOOKUP(X161,ShiftCodes[Code],ShiftCodes[Work Schedule],"Unknown code")</f>
        <v>Standard (Mon–Fri 9:00–17:30)</v>
      </c>
      <c r="X161" s="9" t="s">
        <v>39</v>
      </c>
      <c r="Y161" s="5"/>
    </row>
    <row r="162" spans="1:25" ht="16" x14ac:dyDescent="0.2">
      <c r="A162" s="5" t="s">
        <v>285</v>
      </c>
      <c r="B162" s="5" t="s">
        <v>99</v>
      </c>
      <c r="C162" s="5" t="s">
        <v>127</v>
      </c>
      <c r="D162" s="5" t="s">
        <v>90</v>
      </c>
      <c r="E162" s="5" t="s">
        <v>29</v>
      </c>
      <c r="F162" s="5" t="s">
        <v>163</v>
      </c>
      <c r="G162" s="5" t="s">
        <v>31</v>
      </c>
      <c r="H162" s="5" t="s">
        <v>8</v>
      </c>
      <c r="I162" s="10">
        <v>145000</v>
      </c>
      <c r="J162" s="12"/>
      <c r="K162" s="5" t="s">
        <v>33</v>
      </c>
      <c r="L162" s="5" t="s">
        <v>34</v>
      </c>
      <c r="M162" s="6">
        <v>45645</v>
      </c>
      <c r="N162" s="6"/>
      <c r="O162" s="6"/>
      <c r="P162" s="5" t="s">
        <v>231</v>
      </c>
      <c r="Q162" s="5" t="s">
        <v>36</v>
      </c>
      <c r="R162" s="8" t="s">
        <v>37</v>
      </c>
      <c r="S162" s="5">
        <v>40</v>
      </c>
      <c r="T162" s="5" t="s">
        <v>38</v>
      </c>
      <c r="U162" s="8" t="str">
        <f t="shared" si="4"/>
        <v/>
      </c>
      <c r="V162" s="8" t="str">
        <f t="shared" si="5"/>
        <v/>
      </c>
      <c r="W162" s="8" t="str">
        <f>_xlfn.XLOOKUP(X162,ShiftCodes[Code],ShiftCodes[Work Schedule],"Unknown code")</f>
        <v>Standard (Mon–Fri 9:00–17:30)</v>
      </c>
      <c r="X162" s="9" t="s">
        <v>39</v>
      </c>
      <c r="Y162" s="5"/>
    </row>
    <row r="163" spans="1:25" ht="16" x14ac:dyDescent="0.2">
      <c r="A163" s="5" t="s">
        <v>286</v>
      </c>
      <c r="B163" s="5" t="s">
        <v>112</v>
      </c>
      <c r="C163" s="5" t="s">
        <v>100</v>
      </c>
      <c r="D163" s="5" t="s">
        <v>28</v>
      </c>
      <c r="E163" s="5" t="s">
        <v>29</v>
      </c>
      <c r="F163" s="5" t="s">
        <v>165</v>
      </c>
      <c r="G163" s="5" t="s">
        <v>31</v>
      </c>
      <c r="H163" s="5" t="s">
        <v>8</v>
      </c>
      <c r="I163" s="10">
        <v>193000</v>
      </c>
      <c r="J163" s="12"/>
      <c r="K163" s="5" t="s">
        <v>33</v>
      </c>
      <c r="L163" s="5" t="s">
        <v>34</v>
      </c>
      <c r="M163" s="6">
        <v>45647</v>
      </c>
      <c r="N163" s="6"/>
      <c r="O163" s="6">
        <v>46241</v>
      </c>
      <c r="P163" s="5" t="s">
        <v>204</v>
      </c>
      <c r="Q163" s="5" t="s">
        <v>287</v>
      </c>
      <c r="R163" s="8" t="s">
        <v>37</v>
      </c>
      <c r="S163" s="5">
        <v>40</v>
      </c>
      <c r="T163" s="5" t="s">
        <v>38</v>
      </c>
      <c r="U163" s="8" t="str">
        <f t="shared" si="4"/>
        <v/>
      </c>
      <c r="V163" s="8" t="str">
        <f t="shared" si="5"/>
        <v/>
      </c>
      <c r="W163" s="8" t="str">
        <f>_xlfn.XLOOKUP(X163,ShiftCodes[Code],ShiftCodes[Work Schedule],"Unknown code")</f>
        <v>Standard (Mon–Fri 9:00–17:30)</v>
      </c>
      <c r="X163" s="9" t="s">
        <v>39</v>
      </c>
      <c r="Y163" s="5"/>
    </row>
    <row r="164" spans="1:25" ht="16" x14ac:dyDescent="0.2">
      <c r="A164" s="5" t="s">
        <v>288</v>
      </c>
      <c r="B164" s="5" t="s">
        <v>103</v>
      </c>
      <c r="C164" s="5" t="s">
        <v>106</v>
      </c>
      <c r="D164" s="5" t="s">
        <v>42</v>
      </c>
      <c r="E164" s="5" t="s">
        <v>29</v>
      </c>
      <c r="F164" s="5" t="s">
        <v>165</v>
      </c>
      <c r="G164" s="5" t="s">
        <v>31</v>
      </c>
      <c r="H164" s="5" t="s">
        <v>8</v>
      </c>
      <c r="I164" s="10">
        <v>193000</v>
      </c>
      <c r="J164" s="12"/>
      <c r="K164" s="5" t="s">
        <v>33</v>
      </c>
      <c r="L164" s="5" t="s">
        <v>34</v>
      </c>
      <c r="M164" s="6">
        <v>45648</v>
      </c>
      <c r="N164" s="6"/>
      <c r="O164" s="6"/>
      <c r="P164" s="5" t="s">
        <v>145</v>
      </c>
      <c r="Q164" s="5" t="s">
        <v>36</v>
      </c>
      <c r="R164" s="8" t="s">
        <v>37</v>
      </c>
      <c r="S164" s="5">
        <v>40</v>
      </c>
      <c r="T164" s="5" t="s">
        <v>38</v>
      </c>
      <c r="U164" s="8" t="str">
        <f t="shared" si="4"/>
        <v/>
      </c>
      <c r="V164" s="8" t="str">
        <f t="shared" si="5"/>
        <v/>
      </c>
      <c r="W164" s="8" t="str">
        <f>_xlfn.XLOOKUP(X164,ShiftCodes[Code],ShiftCodes[Work Schedule],"Unknown code")</f>
        <v>Standard (Mon–Fri 9:00–17:30)</v>
      </c>
      <c r="X164" s="9" t="s">
        <v>39</v>
      </c>
      <c r="Y164" s="5"/>
    </row>
    <row r="165" spans="1:25" ht="16" x14ac:dyDescent="0.2">
      <c r="A165" s="5" t="s">
        <v>289</v>
      </c>
      <c r="B165" s="5" t="s">
        <v>103</v>
      </c>
      <c r="C165" s="5" t="s">
        <v>100</v>
      </c>
      <c r="D165" s="5" t="s">
        <v>28</v>
      </c>
      <c r="E165" s="5" t="s">
        <v>29</v>
      </c>
      <c r="F165" s="5" t="s">
        <v>163</v>
      </c>
      <c r="G165" s="5" t="s">
        <v>31</v>
      </c>
      <c r="H165" s="5" t="s">
        <v>8</v>
      </c>
      <c r="I165" s="10">
        <v>173000</v>
      </c>
      <c r="J165" s="12"/>
      <c r="K165" s="5" t="s">
        <v>33</v>
      </c>
      <c r="L165" s="5" t="s">
        <v>34</v>
      </c>
      <c r="M165" s="6">
        <v>45663</v>
      </c>
      <c r="N165" s="6"/>
      <c r="O165" s="6"/>
      <c r="P165" s="5" t="s">
        <v>274</v>
      </c>
      <c r="Q165" s="5" t="s">
        <v>36</v>
      </c>
      <c r="R165" s="8" t="s">
        <v>37</v>
      </c>
      <c r="S165" s="5">
        <v>40</v>
      </c>
      <c r="T165" s="5" t="s">
        <v>38</v>
      </c>
      <c r="U165" s="8" t="str">
        <f t="shared" si="4"/>
        <v/>
      </c>
      <c r="V165" s="8" t="str">
        <f t="shared" si="5"/>
        <v/>
      </c>
      <c r="W165" s="8" t="str">
        <f>_xlfn.XLOOKUP(X165,ShiftCodes[Code],ShiftCodes[Work Schedule],"Unknown code")</f>
        <v>Standard (Mon–Fri 9:00–17:30)</v>
      </c>
      <c r="X165" s="9" t="s">
        <v>39</v>
      </c>
      <c r="Y165" s="5"/>
    </row>
    <row r="166" spans="1:25" ht="16" x14ac:dyDescent="0.2">
      <c r="A166" s="5" t="s">
        <v>290</v>
      </c>
      <c r="B166" s="5" t="s">
        <v>112</v>
      </c>
      <c r="C166" s="5" t="s">
        <v>100</v>
      </c>
      <c r="D166" s="5" t="s">
        <v>28</v>
      </c>
      <c r="E166" s="5" t="s">
        <v>29</v>
      </c>
      <c r="F166" s="5" t="s">
        <v>124</v>
      </c>
      <c r="G166" s="5" t="s">
        <v>31</v>
      </c>
      <c r="H166" s="5" t="s">
        <v>8</v>
      </c>
      <c r="I166" s="10">
        <v>124000</v>
      </c>
      <c r="J166" s="12"/>
      <c r="K166" s="5" t="s">
        <v>33</v>
      </c>
      <c r="L166" s="5" t="s">
        <v>34</v>
      </c>
      <c r="M166" s="6">
        <v>45672</v>
      </c>
      <c r="N166" s="6"/>
      <c r="O166" s="6"/>
      <c r="P166" s="5" t="s">
        <v>204</v>
      </c>
      <c r="Q166" s="5" t="s">
        <v>36</v>
      </c>
      <c r="R166" s="8" t="s">
        <v>37</v>
      </c>
      <c r="S166" s="5">
        <v>40</v>
      </c>
      <c r="T166" s="5" t="s">
        <v>38</v>
      </c>
      <c r="U166" s="8" t="str">
        <f t="shared" si="4"/>
        <v/>
      </c>
      <c r="V166" s="8" t="str">
        <f t="shared" si="5"/>
        <v/>
      </c>
      <c r="W166" s="8" t="str">
        <f>_xlfn.XLOOKUP(X166,ShiftCodes[Code],ShiftCodes[Work Schedule],"Unknown code")</f>
        <v>Standard (Mon–Fri 9:00–17:30)</v>
      </c>
      <c r="X166" s="9" t="s">
        <v>39</v>
      </c>
      <c r="Y166" s="5"/>
    </row>
    <row r="167" spans="1:25" ht="16" x14ac:dyDescent="0.2">
      <c r="A167" s="5" t="s">
        <v>291</v>
      </c>
      <c r="B167" s="5" t="s">
        <v>109</v>
      </c>
      <c r="C167" s="5" t="s">
        <v>76</v>
      </c>
      <c r="D167" s="5" t="s">
        <v>28</v>
      </c>
      <c r="E167" s="5" t="s">
        <v>29</v>
      </c>
      <c r="F167" s="5" t="s">
        <v>124</v>
      </c>
      <c r="G167" s="5" t="s">
        <v>31</v>
      </c>
      <c r="H167" s="5" t="s">
        <v>8</v>
      </c>
      <c r="I167" s="10">
        <v>141000</v>
      </c>
      <c r="J167" s="12"/>
      <c r="K167" s="5" t="s">
        <v>33</v>
      </c>
      <c r="L167" s="5" t="s">
        <v>34</v>
      </c>
      <c r="M167" s="6">
        <v>45673</v>
      </c>
      <c r="N167" s="6"/>
      <c r="O167" s="6"/>
      <c r="P167" s="5" t="s">
        <v>213</v>
      </c>
      <c r="Q167" s="5" t="s">
        <v>36</v>
      </c>
      <c r="R167" s="8" t="s">
        <v>37</v>
      </c>
      <c r="S167" s="5">
        <v>40</v>
      </c>
      <c r="T167" s="5" t="s">
        <v>38</v>
      </c>
      <c r="U167" s="8" t="str">
        <f t="shared" si="4"/>
        <v/>
      </c>
      <c r="V167" s="8" t="str">
        <f t="shared" si="5"/>
        <v/>
      </c>
      <c r="W167" s="8" t="str">
        <f>_xlfn.XLOOKUP(X167,ShiftCodes[Code],ShiftCodes[Work Schedule],"Unknown code")</f>
        <v>Standard (Mon–Fri 9:00–17:30)</v>
      </c>
      <c r="X167" s="9" t="s">
        <v>39</v>
      </c>
      <c r="Y167" s="5"/>
    </row>
    <row r="168" spans="1:25" ht="16" x14ac:dyDescent="0.2">
      <c r="A168" s="5" t="s">
        <v>292</v>
      </c>
      <c r="B168" s="5" t="s">
        <v>103</v>
      </c>
      <c r="C168" s="5" t="s">
        <v>41</v>
      </c>
      <c r="D168" s="5" t="s">
        <v>42</v>
      </c>
      <c r="E168" s="5" t="s">
        <v>29</v>
      </c>
      <c r="F168" s="5" t="s">
        <v>165</v>
      </c>
      <c r="G168" s="5" t="s">
        <v>31</v>
      </c>
      <c r="H168" s="5" t="s">
        <v>8</v>
      </c>
      <c r="I168" s="10">
        <v>205000</v>
      </c>
      <c r="J168" s="12"/>
      <c r="K168" s="5" t="s">
        <v>33</v>
      </c>
      <c r="L168" s="5" t="s">
        <v>34</v>
      </c>
      <c r="M168" s="6">
        <v>45677</v>
      </c>
      <c r="N168" s="6"/>
      <c r="O168" s="6"/>
      <c r="P168" s="5" t="s">
        <v>181</v>
      </c>
      <c r="Q168" s="5" t="s">
        <v>36</v>
      </c>
      <c r="R168" s="8" t="s">
        <v>37</v>
      </c>
      <c r="S168" s="5">
        <v>40</v>
      </c>
      <c r="T168" s="5" t="s">
        <v>38</v>
      </c>
      <c r="U168" s="8" t="str">
        <f t="shared" si="4"/>
        <v/>
      </c>
      <c r="V168" s="8" t="str">
        <f t="shared" si="5"/>
        <v/>
      </c>
      <c r="W168" s="8" t="str">
        <f>_xlfn.XLOOKUP(X168,ShiftCodes[Code],ShiftCodes[Work Schedule],"Unknown code")</f>
        <v>Standard (Mon–Fri 9:00–17:30)</v>
      </c>
      <c r="X168" s="9" t="s">
        <v>39</v>
      </c>
      <c r="Y168" s="5"/>
    </row>
    <row r="169" spans="1:25" ht="16" x14ac:dyDescent="0.2">
      <c r="A169" s="5" t="s">
        <v>293</v>
      </c>
      <c r="B169" s="5" t="s">
        <v>99</v>
      </c>
      <c r="C169" s="5" t="s">
        <v>68</v>
      </c>
      <c r="D169" s="5" t="s">
        <v>69</v>
      </c>
      <c r="E169" s="5" t="s">
        <v>70</v>
      </c>
      <c r="F169" s="5" t="s">
        <v>163</v>
      </c>
      <c r="G169" s="5" t="s">
        <v>31</v>
      </c>
      <c r="H169" s="5" t="s">
        <v>8</v>
      </c>
      <c r="I169" s="15">
        <v>2820000</v>
      </c>
      <c r="J169" s="16"/>
      <c r="K169" s="5" t="s">
        <v>72</v>
      </c>
      <c r="L169" s="5" t="s">
        <v>73</v>
      </c>
      <c r="M169" s="6">
        <v>45679</v>
      </c>
      <c r="N169" s="6"/>
      <c r="O169" s="6"/>
      <c r="P169" s="5" t="s">
        <v>171</v>
      </c>
      <c r="Q169" s="5" t="s">
        <v>36</v>
      </c>
      <c r="R169" s="8" t="s">
        <v>37</v>
      </c>
      <c r="S169" s="5">
        <v>40</v>
      </c>
      <c r="T169" s="5" t="s">
        <v>38</v>
      </c>
      <c r="U169" s="8" t="str">
        <f t="shared" si="4"/>
        <v/>
      </c>
      <c r="V169" s="8" t="str">
        <f t="shared" si="5"/>
        <v/>
      </c>
      <c r="W169" s="8" t="str">
        <f>_xlfn.XLOOKUP(X169,ShiftCodes[Code],ShiftCodes[Work Schedule],"Unknown code")</f>
        <v>Standard (Mon–Fri 9:00–17:30)</v>
      </c>
      <c r="X169" s="9" t="s">
        <v>39</v>
      </c>
      <c r="Y169" s="5"/>
    </row>
    <row r="170" spans="1:25" ht="16" x14ac:dyDescent="0.2">
      <c r="A170" s="5" t="s">
        <v>294</v>
      </c>
      <c r="B170" s="5" t="s">
        <v>103</v>
      </c>
      <c r="C170" s="5" t="s">
        <v>100</v>
      </c>
      <c r="D170" s="5" t="s">
        <v>28</v>
      </c>
      <c r="E170" s="5" t="s">
        <v>29</v>
      </c>
      <c r="F170" s="5" t="s">
        <v>163</v>
      </c>
      <c r="G170" s="5" t="s">
        <v>31</v>
      </c>
      <c r="H170" s="5" t="s">
        <v>8</v>
      </c>
      <c r="I170" s="10">
        <v>166000</v>
      </c>
      <c r="J170" s="12"/>
      <c r="K170" s="5" t="s">
        <v>33</v>
      </c>
      <c r="L170" s="5" t="s">
        <v>34</v>
      </c>
      <c r="M170" s="6">
        <v>45680</v>
      </c>
      <c r="N170" s="6"/>
      <c r="O170" s="6"/>
      <c r="P170" s="5" t="s">
        <v>255</v>
      </c>
      <c r="Q170" s="5" t="s">
        <v>36</v>
      </c>
      <c r="R170" s="8" t="s">
        <v>37</v>
      </c>
      <c r="S170" s="5">
        <v>40</v>
      </c>
      <c r="T170" s="5" t="s">
        <v>38</v>
      </c>
      <c r="U170" s="8" t="str">
        <f t="shared" si="4"/>
        <v/>
      </c>
      <c r="V170" s="8" t="str">
        <f t="shared" si="5"/>
        <v/>
      </c>
      <c r="W170" s="8" t="str">
        <f>_xlfn.XLOOKUP(X170,ShiftCodes[Code],ShiftCodes[Work Schedule],"Unknown code")</f>
        <v>Standard (Mon–Fri 9:00–17:30)</v>
      </c>
      <c r="X170" s="9" t="s">
        <v>39</v>
      </c>
      <c r="Y170" s="5"/>
    </row>
    <row r="171" spans="1:25" ht="16" x14ac:dyDescent="0.2">
      <c r="A171" s="5" t="s">
        <v>295</v>
      </c>
      <c r="B171" s="5" t="s">
        <v>112</v>
      </c>
      <c r="C171" s="5" t="s">
        <v>41</v>
      </c>
      <c r="D171" s="5" t="s">
        <v>185</v>
      </c>
      <c r="E171" s="5" t="s">
        <v>29</v>
      </c>
      <c r="F171" s="5" t="s">
        <v>124</v>
      </c>
      <c r="G171" s="5" t="s">
        <v>31</v>
      </c>
      <c r="H171" s="5" t="s">
        <v>8</v>
      </c>
      <c r="I171" s="10">
        <v>118000</v>
      </c>
      <c r="J171" s="12"/>
      <c r="K171" s="5" t="s">
        <v>33</v>
      </c>
      <c r="L171" s="5" t="s">
        <v>34</v>
      </c>
      <c r="M171" s="6">
        <v>45681</v>
      </c>
      <c r="N171" s="6"/>
      <c r="O171" s="6"/>
      <c r="P171" s="5" t="s">
        <v>143</v>
      </c>
      <c r="Q171" s="5" t="s">
        <v>36</v>
      </c>
      <c r="R171" s="8" t="s">
        <v>37</v>
      </c>
      <c r="S171" s="5">
        <v>40</v>
      </c>
      <c r="T171" s="5" t="s">
        <v>38</v>
      </c>
      <c r="U171" s="8" t="str">
        <f t="shared" si="4"/>
        <v/>
      </c>
      <c r="V171" s="8" t="str">
        <f t="shared" si="5"/>
        <v/>
      </c>
      <c r="W171" s="8" t="str">
        <f>_xlfn.XLOOKUP(X171,ShiftCodes[Code],ShiftCodes[Work Schedule],"Unknown code")</f>
        <v>Standard (Mon–Fri 9:00–17:30)</v>
      </c>
      <c r="X171" s="9" t="s">
        <v>39</v>
      </c>
      <c r="Y171" s="5"/>
    </row>
    <row r="172" spans="1:25" ht="16" x14ac:dyDescent="0.2">
      <c r="A172" s="5" t="s">
        <v>296</v>
      </c>
      <c r="B172" s="5" t="s">
        <v>103</v>
      </c>
      <c r="C172" s="5" t="s">
        <v>100</v>
      </c>
      <c r="D172" s="5" t="s">
        <v>28</v>
      </c>
      <c r="E172" s="5" t="s">
        <v>29</v>
      </c>
      <c r="F172" s="5" t="s">
        <v>165</v>
      </c>
      <c r="G172" s="5" t="s">
        <v>31</v>
      </c>
      <c r="H172" s="5" t="s">
        <v>8</v>
      </c>
      <c r="I172" s="10">
        <v>196000</v>
      </c>
      <c r="J172" s="12"/>
      <c r="K172" s="5" t="s">
        <v>33</v>
      </c>
      <c r="L172" s="5" t="s">
        <v>34</v>
      </c>
      <c r="M172" s="6">
        <v>45683</v>
      </c>
      <c r="N172" s="6"/>
      <c r="O172" s="6"/>
      <c r="P172" s="5" t="s">
        <v>255</v>
      </c>
      <c r="Q172" s="5" t="s">
        <v>36</v>
      </c>
      <c r="R172" s="8" t="s">
        <v>37</v>
      </c>
      <c r="S172" s="5">
        <v>40</v>
      </c>
      <c r="T172" s="5" t="s">
        <v>38</v>
      </c>
      <c r="U172" s="8" t="str">
        <f t="shared" si="4"/>
        <v/>
      </c>
      <c r="V172" s="8" t="str">
        <f t="shared" si="5"/>
        <v/>
      </c>
      <c r="W172" s="8" t="str">
        <f>_xlfn.XLOOKUP(X172,ShiftCodes[Code],ShiftCodes[Work Schedule],"Unknown code")</f>
        <v>Standard (Mon–Fri 9:00–17:30)</v>
      </c>
      <c r="X172" s="9" t="s">
        <v>39</v>
      </c>
      <c r="Y172" s="5"/>
    </row>
    <row r="173" spans="1:25" ht="16" x14ac:dyDescent="0.2">
      <c r="A173" s="5" t="s">
        <v>297</v>
      </c>
      <c r="B173" s="5" t="s">
        <v>109</v>
      </c>
      <c r="C173" s="5" t="s">
        <v>76</v>
      </c>
      <c r="D173" s="5" t="s">
        <v>28</v>
      </c>
      <c r="E173" s="5" t="s">
        <v>29</v>
      </c>
      <c r="F173" s="5" t="s">
        <v>132</v>
      </c>
      <c r="G173" s="5" t="s">
        <v>78</v>
      </c>
      <c r="H173" s="5" t="s">
        <v>79</v>
      </c>
      <c r="I173" s="10"/>
      <c r="J173" s="12">
        <v>47.5</v>
      </c>
      <c r="K173" s="5" t="s">
        <v>33</v>
      </c>
      <c r="L173" s="5" t="s">
        <v>80</v>
      </c>
      <c r="M173" s="6">
        <v>45685</v>
      </c>
      <c r="N173" s="6"/>
      <c r="O173" s="6"/>
      <c r="P173" s="5" t="s">
        <v>128</v>
      </c>
      <c r="Q173" s="5" t="s">
        <v>36</v>
      </c>
      <c r="R173" s="8" t="s">
        <v>37</v>
      </c>
      <c r="S173" s="5">
        <v>36</v>
      </c>
      <c r="T173" s="5" t="s">
        <v>38</v>
      </c>
      <c r="U173" s="8" t="str">
        <f t="shared" si="4"/>
        <v>US Non-Exempt EEs</v>
      </c>
      <c r="V173" s="8" t="str">
        <f t="shared" si="5"/>
        <v>US California Non-Exempt</v>
      </c>
      <c r="W173" s="8" t="str">
        <f>_xlfn.XLOOKUP(X173,ShiftCodes[Code],ShiftCodes[Work Schedule],"Unknown code")</f>
        <v>Shift D – Weekend (Fri–Sun 06:00–18:30)</v>
      </c>
      <c r="X173" s="9" t="s">
        <v>151</v>
      </c>
      <c r="Y173" s="5"/>
    </row>
    <row r="174" spans="1:25" ht="16" x14ac:dyDescent="0.2">
      <c r="A174" s="5" t="s">
        <v>298</v>
      </c>
      <c r="B174" s="5" t="s">
        <v>99</v>
      </c>
      <c r="C174" s="5" t="s">
        <v>180</v>
      </c>
      <c r="D174" s="5" t="s">
        <v>52</v>
      </c>
      <c r="E174" s="5" t="s">
        <v>52</v>
      </c>
      <c r="F174" s="5" t="s">
        <v>163</v>
      </c>
      <c r="G174" s="5" t="s">
        <v>31</v>
      </c>
      <c r="H174" s="5" t="s">
        <v>8</v>
      </c>
      <c r="I174" s="10">
        <v>82000</v>
      </c>
      <c r="J174" s="17"/>
      <c r="K174" s="5" t="s">
        <v>55</v>
      </c>
      <c r="L174" s="5" t="s">
        <v>56</v>
      </c>
      <c r="M174" s="6">
        <v>45687</v>
      </c>
      <c r="N174" s="6"/>
      <c r="O174" s="6"/>
      <c r="P174" s="5" t="s">
        <v>191</v>
      </c>
      <c r="Q174" s="5" t="s">
        <v>36</v>
      </c>
      <c r="R174" s="8" t="s">
        <v>37</v>
      </c>
      <c r="S174" s="5">
        <v>37.5</v>
      </c>
      <c r="T174" s="5" t="s">
        <v>38</v>
      </c>
      <c r="U174" s="8" t="str">
        <f t="shared" si="4"/>
        <v/>
      </c>
      <c r="V174" s="8" t="str">
        <f t="shared" si="5"/>
        <v/>
      </c>
      <c r="W174" s="8" t="str">
        <f>_xlfn.XLOOKUP(X174,ShiftCodes[Code],ShiftCodes[Work Schedule],"Unknown code")</f>
        <v>Standard (Mon–Fri 9:00–17:30)</v>
      </c>
      <c r="X174" s="9" t="s">
        <v>39</v>
      </c>
      <c r="Y174" s="5"/>
    </row>
    <row r="175" spans="1:25" ht="16" x14ac:dyDescent="0.2">
      <c r="A175" s="5" t="s">
        <v>299</v>
      </c>
      <c r="B175" s="5" t="s">
        <v>112</v>
      </c>
      <c r="C175" s="5" t="s">
        <v>224</v>
      </c>
      <c r="D175" s="5" t="s">
        <v>225</v>
      </c>
      <c r="E175" s="5" t="s">
        <v>70</v>
      </c>
      <c r="F175" s="5" t="s">
        <v>156</v>
      </c>
      <c r="G175" s="5" t="s">
        <v>31</v>
      </c>
      <c r="H175" s="5" t="s">
        <v>8</v>
      </c>
      <c r="I175" s="15">
        <v>5870000</v>
      </c>
      <c r="J175" s="16"/>
      <c r="K175" s="5" t="s">
        <v>72</v>
      </c>
      <c r="L175" s="5" t="s">
        <v>73</v>
      </c>
      <c r="M175" s="6">
        <v>45706</v>
      </c>
      <c r="N175" s="6"/>
      <c r="O175" s="6"/>
      <c r="P175" s="5" t="s">
        <v>223</v>
      </c>
      <c r="Q175" s="5" t="s">
        <v>36</v>
      </c>
      <c r="R175" s="8" t="s">
        <v>37</v>
      </c>
      <c r="S175" s="5">
        <v>40</v>
      </c>
      <c r="T175" s="5" t="s">
        <v>38</v>
      </c>
      <c r="U175" s="8" t="str">
        <f t="shared" si="4"/>
        <v/>
      </c>
      <c r="V175" s="8" t="str">
        <f t="shared" si="5"/>
        <v/>
      </c>
      <c r="W175" s="8" t="str">
        <f>_xlfn.XLOOKUP(X175,ShiftCodes[Code],ShiftCodes[Work Schedule],"Unknown code")</f>
        <v>Standard (Mon–Fri 9:00–17:30)</v>
      </c>
      <c r="X175" s="9" t="s">
        <v>39</v>
      </c>
      <c r="Y175" s="5"/>
    </row>
    <row r="176" spans="1:25" ht="16" x14ac:dyDescent="0.2">
      <c r="A176" s="5" t="s">
        <v>300</v>
      </c>
      <c r="B176" s="5" t="s">
        <v>112</v>
      </c>
      <c r="C176" s="5" t="s">
        <v>224</v>
      </c>
      <c r="D176" s="5" t="s">
        <v>225</v>
      </c>
      <c r="E176" s="5" t="s">
        <v>70</v>
      </c>
      <c r="F176" s="5" t="s">
        <v>149</v>
      </c>
      <c r="G176" s="5" t="s">
        <v>31</v>
      </c>
      <c r="H176" s="5" t="s">
        <v>8</v>
      </c>
      <c r="I176" s="15">
        <v>1350000</v>
      </c>
      <c r="J176" s="16"/>
      <c r="K176" s="5" t="s">
        <v>72</v>
      </c>
      <c r="L176" s="5" t="s">
        <v>73</v>
      </c>
      <c r="M176" s="6">
        <v>45708</v>
      </c>
      <c r="N176" s="6"/>
      <c r="O176" s="6"/>
      <c r="P176" s="5" t="s">
        <v>223</v>
      </c>
      <c r="Q176" s="5" t="s">
        <v>36</v>
      </c>
      <c r="R176" s="8" t="s">
        <v>37</v>
      </c>
      <c r="S176" s="5">
        <v>40</v>
      </c>
      <c r="T176" s="5" t="s">
        <v>38</v>
      </c>
      <c r="U176" s="8" t="str">
        <f t="shared" si="4"/>
        <v/>
      </c>
      <c r="V176" s="8" t="str">
        <f t="shared" si="5"/>
        <v/>
      </c>
      <c r="W176" s="8" t="str">
        <f>_xlfn.XLOOKUP(X176,ShiftCodes[Code],ShiftCodes[Work Schedule],"Unknown code")</f>
        <v>Standard (Mon–Fri 9:00–17:30)</v>
      </c>
      <c r="X176" s="9" t="s">
        <v>39</v>
      </c>
      <c r="Y176" s="5"/>
    </row>
    <row r="177" spans="1:25" ht="16" x14ac:dyDescent="0.2">
      <c r="A177" s="5" t="s">
        <v>301</v>
      </c>
      <c r="B177" s="5" t="s">
        <v>112</v>
      </c>
      <c r="C177" s="5" t="s">
        <v>41</v>
      </c>
      <c r="D177" s="5" t="s">
        <v>154</v>
      </c>
      <c r="E177" s="5" t="s">
        <v>29</v>
      </c>
      <c r="F177" s="5" t="s">
        <v>163</v>
      </c>
      <c r="G177" s="5" t="s">
        <v>31</v>
      </c>
      <c r="H177" s="5" t="s">
        <v>8</v>
      </c>
      <c r="I177" s="10">
        <v>172000</v>
      </c>
      <c r="J177" s="12"/>
      <c r="K177" s="5" t="s">
        <v>33</v>
      </c>
      <c r="L177" s="5" t="s">
        <v>34</v>
      </c>
      <c r="M177" s="6">
        <v>45711</v>
      </c>
      <c r="N177" s="6"/>
      <c r="O177" s="6"/>
      <c r="P177" s="5" t="s">
        <v>208</v>
      </c>
      <c r="Q177" s="5" t="s">
        <v>36</v>
      </c>
      <c r="R177" s="8" t="s">
        <v>37</v>
      </c>
      <c r="S177" s="5">
        <v>40</v>
      </c>
      <c r="T177" s="5" t="s">
        <v>38</v>
      </c>
      <c r="U177" s="8" t="str">
        <f t="shared" si="4"/>
        <v/>
      </c>
      <c r="V177" s="8" t="str">
        <f t="shared" si="5"/>
        <v/>
      </c>
      <c r="W177" s="8" t="str">
        <f>_xlfn.XLOOKUP(X177,ShiftCodes[Code],ShiftCodes[Work Schedule],"Unknown code")</f>
        <v>Standard (Mon–Fri 9:00–17:30)</v>
      </c>
      <c r="X177" s="9" t="s">
        <v>39</v>
      </c>
      <c r="Y177" s="5"/>
    </row>
    <row r="178" spans="1:25" ht="16" x14ac:dyDescent="0.2">
      <c r="A178" s="5" t="s">
        <v>302</v>
      </c>
      <c r="B178" s="5" t="s">
        <v>112</v>
      </c>
      <c r="C178" s="5" t="s">
        <v>180</v>
      </c>
      <c r="D178" s="5" t="s">
        <v>52</v>
      </c>
      <c r="E178" s="5" t="s">
        <v>52</v>
      </c>
      <c r="F178" s="5" t="s">
        <v>149</v>
      </c>
      <c r="G178" s="5" t="s">
        <v>31</v>
      </c>
      <c r="H178" s="5" t="s">
        <v>8</v>
      </c>
      <c r="I178" s="10">
        <v>57000</v>
      </c>
      <c r="J178" s="17"/>
      <c r="K178" s="5" t="s">
        <v>55</v>
      </c>
      <c r="L178" s="5" t="s">
        <v>56</v>
      </c>
      <c r="M178" s="6">
        <v>45716</v>
      </c>
      <c r="N178" s="6"/>
      <c r="O178" s="6"/>
      <c r="P178" s="5" t="s">
        <v>179</v>
      </c>
      <c r="Q178" s="5" t="s">
        <v>36</v>
      </c>
      <c r="R178" s="8" t="s">
        <v>37</v>
      </c>
      <c r="S178" s="5">
        <v>37.5</v>
      </c>
      <c r="T178" s="5" t="s">
        <v>38</v>
      </c>
      <c r="U178" s="8" t="str">
        <f t="shared" si="4"/>
        <v/>
      </c>
      <c r="V178" s="8" t="str">
        <f t="shared" si="5"/>
        <v/>
      </c>
      <c r="W178" s="8" t="str">
        <f>_xlfn.XLOOKUP(X178,ShiftCodes[Code],ShiftCodes[Work Schedule],"Unknown code")</f>
        <v>Standard (Mon–Fri 9:00–17:30)</v>
      </c>
      <c r="X178" s="9" t="s">
        <v>39</v>
      </c>
      <c r="Y178" s="5"/>
    </row>
    <row r="179" spans="1:25" ht="16" x14ac:dyDescent="0.2">
      <c r="A179" s="5" t="s">
        <v>303</v>
      </c>
      <c r="B179" s="5" t="s">
        <v>112</v>
      </c>
      <c r="C179" s="5" t="s">
        <v>100</v>
      </c>
      <c r="D179" s="5" t="s">
        <v>28</v>
      </c>
      <c r="E179" s="5" t="s">
        <v>29</v>
      </c>
      <c r="F179" s="5" t="s">
        <v>163</v>
      </c>
      <c r="G179" s="5" t="s">
        <v>31</v>
      </c>
      <c r="H179" s="5" t="s">
        <v>8</v>
      </c>
      <c r="I179" s="10">
        <v>168000</v>
      </c>
      <c r="J179" s="12"/>
      <c r="K179" s="5" t="s">
        <v>33</v>
      </c>
      <c r="L179" s="5" t="s">
        <v>34</v>
      </c>
      <c r="M179" s="6">
        <v>45716</v>
      </c>
      <c r="N179" s="6"/>
      <c r="O179" s="6"/>
      <c r="P179" s="5" t="s">
        <v>204</v>
      </c>
      <c r="Q179" s="5" t="s">
        <v>36</v>
      </c>
      <c r="R179" s="8" t="s">
        <v>37</v>
      </c>
      <c r="S179" s="5">
        <v>40</v>
      </c>
      <c r="T179" s="5" t="s">
        <v>38</v>
      </c>
      <c r="U179" s="8" t="str">
        <f t="shared" si="4"/>
        <v/>
      </c>
      <c r="V179" s="8" t="str">
        <f t="shared" si="5"/>
        <v/>
      </c>
      <c r="W179" s="8" t="str">
        <f>_xlfn.XLOOKUP(X179,ShiftCodes[Code],ShiftCodes[Work Schedule],"Unknown code")</f>
        <v>Standard (Mon–Fri 9:00–17:30)</v>
      </c>
      <c r="X179" s="9" t="s">
        <v>39</v>
      </c>
      <c r="Y179" s="5"/>
    </row>
    <row r="180" spans="1:25" ht="16" x14ac:dyDescent="0.2">
      <c r="A180" s="5" t="s">
        <v>304</v>
      </c>
      <c r="B180" s="5" t="s">
        <v>112</v>
      </c>
      <c r="C180" s="5" t="s">
        <v>100</v>
      </c>
      <c r="D180" s="5" t="s">
        <v>28</v>
      </c>
      <c r="E180" s="5" t="s">
        <v>29</v>
      </c>
      <c r="F180" s="5" t="s">
        <v>149</v>
      </c>
      <c r="G180" s="5" t="s">
        <v>31</v>
      </c>
      <c r="H180" s="5" t="s">
        <v>8</v>
      </c>
      <c r="I180" s="10">
        <v>95000</v>
      </c>
      <c r="J180" s="12"/>
      <c r="K180" s="5" t="s">
        <v>33</v>
      </c>
      <c r="L180" s="5" t="s">
        <v>34</v>
      </c>
      <c r="M180" s="6">
        <v>45720</v>
      </c>
      <c r="N180" s="6"/>
      <c r="O180" s="6"/>
      <c r="P180" s="5" t="s">
        <v>229</v>
      </c>
      <c r="Q180" s="5" t="s">
        <v>36</v>
      </c>
      <c r="R180" s="8" t="s">
        <v>37</v>
      </c>
      <c r="S180" s="5">
        <v>40</v>
      </c>
      <c r="T180" s="5" t="s">
        <v>38</v>
      </c>
      <c r="U180" s="8" t="str">
        <f t="shared" si="4"/>
        <v/>
      </c>
      <c r="V180" s="8" t="str">
        <f t="shared" si="5"/>
        <v/>
      </c>
      <c r="W180" s="8" t="str">
        <f>_xlfn.XLOOKUP(X180,ShiftCodes[Code],ShiftCodes[Work Schedule],"Unknown code")</f>
        <v>Standard (Mon–Fri 9:00–17:30)</v>
      </c>
      <c r="X180" s="9" t="s">
        <v>39</v>
      </c>
      <c r="Y180" s="5"/>
    </row>
    <row r="181" spans="1:25" ht="16" x14ac:dyDescent="0.2">
      <c r="A181" s="5" t="s">
        <v>305</v>
      </c>
      <c r="B181" s="5" t="s">
        <v>112</v>
      </c>
      <c r="C181" s="5" t="s">
        <v>41</v>
      </c>
      <c r="D181" s="5" t="s">
        <v>90</v>
      </c>
      <c r="E181" s="5" t="s">
        <v>29</v>
      </c>
      <c r="F181" s="5" t="s">
        <v>124</v>
      </c>
      <c r="G181" s="5" t="s">
        <v>31</v>
      </c>
      <c r="H181" s="5" t="s">
        <v>8</v>
      </c>
      <c r="I181" s="10">
        <v>118000</v>
      </c>
      <c r="J181" s="12"/>
      <c r="K181" s="5" t="s">
        <v>33</v>
      </c>
      <c r="L181" s="5" t="s">
        <v>34</v>
      </c>
      <c r="M181" s="6">
        <v>45735</v>
      </c>
      <c r="N181" s="6"/>
      <c r="O181" s="6"/>
      <c r="P181" s="5" t="s">
        <v>187</v>
      </c>
      <c r="Q181" s="5" t="s">
        <v>36</v>
      </c>
      <c r="R181" s="8" t="s">
        <v>37</v>
      </c>
      <c r="S181" s="5">
        <v>40</v>
      </c>
      <c r="T181" s="5" t="s">
        <v>38</v>
      </c>
      <c r="U181" s="8" t="str">
        <f t="shared" si="4"/>
        <v/>
      </c>
      <c r="V181" s="8" t="str">
        <f t="shared" si="5"/>
        <v/>
      </c>
      <c r="W181" s="8" t="str">
        <f>_xlfn.XLOOKUP(X181,ShiftCodes[Code],ShiftCodes[Work Schedule],"Unknown code")</f>
        <v>Standard (Mon–Fri 9:00–17:30)</v>
      </c>
      <c r="X181" s="9" t="s">
        <v>39</v>
      </c>
      <c r="Y181" s="5"/>
    </row>
    <row r="182" spans="1:25" ht="16" x14ac:dyDescent="0.2">
      <c r="A182" s="5" t="s">
        <v>306</v>
      </c>
      <c r="B182" s="5" t="s">
        <v>103</v>
      </c>
      <c r="C182" s="5" t="s">
        <v>100</v>
      </c>
      <c r="D182" s="5" t="s">
        <v>28</v>
      </c>
      <c r="E182" s="5" t="s">
        <v>29</v>
      </c>
      <c r="F182" s="5" t="s">
        <v>163</v>
      </c>
      <c r="G182" s="5" t="s">
        <v>31</v>
      </c>
      <c r="H182" s="5" t="s">
        <v>8</v>
      </c>
      <c r="I182" s="10">
        <v>149000</v>
      </c>
      <c r="J182" s="12"/>
      <c r="K182" s="5" t="s">
        <v>33</v>
      </c>
      <c r="L182" s="5" t="s">
        <v>34</v>
      </c>
      <c r="M182" s="6">
        <v>45736</v>
      </c>
      <c r="N182" s="6"/>
      <c r="O182" s="6"/>
      <c r="P182" s="5" t="s">
        <v>274</v>
      </c>
      <c r="Q182" s="5" t="s">
        <v>36</v>
      </c>
      <c r="R182" s="8" t="s">
        <v>37</v>
      </c>
      <c r="S182" s="5">
        <v>40</v>
      </c>
      <c r="T182" s="5" t="s">
        <v>38</v>
      </c>
      <c r="U182" s="8" t="str">
        <f t="shared" si="4"/>
        <v/>
      </c>
      <c r="V182" s="8" t="str">
        <f t="shared" si="5"/>
        <v/>
      </c>
      <c r="W182" s="8" t="str">
        <f>_xlfn.XLOOKUP(X182,ShiftCodes[Code],ShiftCodes[Work Schedule],"Unknown code")</f>
        <v>Standard (Mon–Fri 9:00–17:30)</v>
      </c>
      <c r="X182" s="9" t="s">
        <v>39</v>
      </c>
      <c r="Y182" s="5"/>
    </row>
    <row r="183" spans="1:25" ht="16" x14ac:dyDescent="0.2">
      <c r="A183" s="5" t="s">
        <v>307</v>
      </c>
      <c r="B183" s="5" t="s">
        <v>109</v>
      </c>
      <c r="C183" s="5" t="s">
        <v>113</v>
      </c>
      <c r="D183" s="5" t="s">
        <v>84</v>
      </c>
      <c r="E183" s="5" t="s">
        <v>29</v>
      </c>
      <c r="F183" s="5" t="s">
        <v>121</v>
      </c>
      <c r="G183" s="5" t="s">
        <v>78</v>
      </c>
      <c r="H183" s="5" t="s">
        <v>79</v>
      </c>
      <c r="I183" s="10"/>
      <c r="J183" s="12">
        <v>34.75</v>
      </c>
      <c r="K183" s="5" t="s">
        <v>33</v>
      </c>
      <c r="L183" s="5" t="s">
        <v>80</v>
      </c>
      <c r="M183" s="6">
        <v>45743</v>
      </c>
      <c r="N183" s="6"/>
      <c r="O183" s="6"/>
      <c r="P183" s="5" t="s">
        <v>202</v>
      </c>
      <c r="Q183" s="5" t="s">
        <v>36</v>
      </c>
      <c r="R183" s="8" t="s">
        <v>37</v>
      </c>
      <c r="S183" s="5">
        <v>24</v>
      </c>
      <c r="T183" s="5" t="s">
        <v>140</v>
      </c>
      <c r="U183" s="8" t="str">
        <f t="shared" si="4"/>
        <v>US Non-Exempt EEs</v>
      </c>
      <c r="V183" s="8" t="str">
        <f t="shared" si="5"/>
        <v>US Non-California Non-Exempt</v>
      </c>
      <c r="W183" s="8" t="str">
        <f>_xlfn.XLOOKUP(X183,ShiftCodes[Code],ShiftCodes[Work Schedule],"Unknown code")</f>
        <v>Part-time – Day (Mon/Wed/Fri 06:00–14:30)</v>
      </c>
      <c r="X183" s="9" t="s">
        <v>141</v>
      </c>
      <c r="Y183" s="5"/>
    </row>
    <row r="184" spans="1:25" ht="16" x14ac:dyDescent="0.2">
      <c r="A184" s="5" t="s">
        <v>308</v>
      </c>
      <c r="B184" s="5" t="s">
        <v>99</v>
      </c>
      <c r="C184" s="5" t="s">
        <v>100</v>
      </c>
      <c r="D184" s="5" t="s">
        <v>28</v>
      </c>
      <c r="E184" s="5" t="s">
        <v>29</v>
      </c>
      <c r="F184" s="5" t="s">
        <v>119</v>
      </c>
      <c r="G184" s="5" t="s">
        <v>31</v>
      </c>
      <c r="H184" s="5" t="s">
        <v>8</v>
      </c>
      <c r="I184" s="10">
        <v>174000</v>
      </c>
      <c r="J184" s="12"/>
      <c r="K184" s="5" t="s">
        <v>33</v>
      </c>
      <c r="L184" s="5" t="s">
        <v>34</v>
      </c>
      <c r="M184" s="6">
        <v>45746</v>
      </c>
      <c r="N184" s="6"/>
      <c r="O184" s="6"/>
      <c r="P184" s="5" t="s">
        <v>152</v>
      </c>
      <c r="Q184" s="5" t="s">
        <v>36</v>
      </c>
      <c r="R184" s="8" t="s">
        <v>37</v>
      </c>
      <c r="S184" s="5">
        <v>40</v>
      </c>
      <c r="T184" s="5" t="s">
        <v>38</v>
      </c>
      <c r="U184" s="8" t="str">
        <f t="shared" si="4"/>
        <v/>
      </c>
      <c r="V184" s="8" t="str">
        <f t="shared" si="5"/>
        <v/>
      </c>
      <c r="W184" s="8" t="str">
        <f>_xlfn.XLOOKUP(X184,ShiftCodes[Code],ShiftCodes[Work Schedule],"Unknown code")</f>
        <v>Standard (Mon–Fri 9:00–17:30)</v>
      </c>
      <c r="X184" s="9" t="s">
        <v>39</v>
      </c>
      <c r="Y184" s="5"/>
    </row>
    <row r="185" spans="1:25" ht="16" x14ac:dyDescent="0.2">
      <c r="A185" s="5" t="s">
        <v>309</v>
      </c>
      <c r="B185" s="5" t="s">
        <v>112</v>
      </c>
      <c r="C185" s="5" t="s">
        <v>100</v>
      </c>
      <c r="D185" s="5" t="s">
        <v>28</v>
      </c>
      <c r="E185" s="5" t="s">
        <v>29</v>
      </c>
      <c r="F185" s="5" t="s">
        <v>156</v>
      </c>
      <c r="G185" s="5" t="s">
        <v>31</v>
      </c>
      <c r="H185" s="5" t="s">
        <v>8</v>
      </c>
      <c r="I185" s="10">
        <v>201000</v>
      </c>
      <c r="J185" s="12"/>
      <c r="K185" s="5" t="s">
        <v>33</v>
      </c>
      <c r="L185" s="5" t="s">
        <v>34</v>
      </c>
      <c r="M185" s="6">
        <v>45749</v>
      </c>
      <c r="N185" s="6"/>
      <c r="O185" s="6"/>
      <c r="P185" s="5" t="s">
        <v>229</v>
      </c>
      <c r="Q185" s="5" t="s">
        <v>36</v>
      </c>
      <c r="R185" s="8" t="s">
        <v>37</v>
      </c>
      <c r="S185" s="5">
        <v>40</v>
      </c>
      <c r="T185" s="5" t="s">
        <v>38</v>
      </c>
      <c r="U185" s="8" t="str">
        <f t="shared" si="4"/>
        <v/>
      </c>
      <c r="V185" s="8" t="str">
        <f t="shared" si="5"/>
        <v/>
      </c>
      <c r="W185" s="8" t="str">
        <f>_xlfn.XLOOKUP(X185,ShiftCodes[Code],ShiftCodes[Work Schedule],"Unknown code")</f>
        <v>Standard (Mon–Fri 9:00–17:30)</v>
      </c>
      <c r="X185" s="9" t="s">
        <v>39</v>
      </c>
      <c r="Y185" s="5"/>
    </row>
    <row r="186" spans="1:25" ht="16" x14ac:dyDescent="0.2">
      <c r="A186" s="5" t="s">
        <v>310</v>
      </c>
      <c r="B186" s="5" t="s">
        <v>112</v>
      </c>
      <c r="C186" s="5" t="s">
        <v>106</v>
      </c>
      <c r="D186" s="5" t="s">
        <v>42</v>
      </c>
      <c r="E186" s="5" t="s">
        <v>29</v>
      </c>
      <c r="F186" s="5" t="s">
        <v>165</v>
      </c>
      <c r="G186" s="5" t="s">
        <v>31</v>
      </c>
      <c r="H186" s="5" t="s">
        <v>8</v>
      </c>
      <c r="I186" s="10">
        <v>192000</v>
      </c>
      <c r="J186" s="12"/>
      <c r="K186" s="5" t="s">
        <v>33</v>
      </c>
      <c r="L186" s="5" t="s">
        <v>34</v>
      </c>
      <c r="M186" s="6">
        <v>45750</v>
      </c>
      <c r="N186" s="6"/>
      <c r="O186" s="6"/>
      <c r="P186" s="5" t="s">
        <v>182</v>
      </c>
      <c r="Q186" s="5" t="s">
        <v>36</v>
      </c>
      <c r="R186" s="8" t="s">
        <v>37</v>
      </c>
      <c r="S186" s="5">
        <v>40</v>
      </c>
      <c r="T186" s="5" t="s">
        <v>38</v>
      </c>
      <c r="U186" s="8" t="str">
        <f t="shared" si="4"/>
        <v/>
      </c>
      <c r="V186" s="8" t="str">
        <f t="shared" si="5"/>
        <v/>
      </c>
      <c r="W186" s="8" t="str">
        <f>_xlfn.XLOOKUP(X186,ShiftCodes[Code],ShiftCodes[Work Schedule],"Unknown code")</f>
        <v>Standard (Mon–Fri 9:00–17:30)</v>
      </c>
      <c r="X186" s="9" t="s">
        <v>39</v>
      </c>
      <c r="Y186" s="5"/>
    </row>
    <row r="187" spans="1:25" ht="16" x14ac:dyDescent="0.2">
      <c r="A187" s="5" t="s">
        <v>311</v>
      </c>
      <c r="B187" s="5" t="s">
        <v>99</v>
      </c>
      <c r="C187" s="5" t="s">
        <v>100</v>
      </c>
      <c r="D187" s="5" t="s">
        <v>28</v>
      </c>
      <c r="E187" s="5" t="s">
        <v>29</v>
      </c>
      <c r="F187" s="5" t="s">
        <v>124</v>
      </c>
      <c r="G187" s="5" t="s">
        <v>31</v>
      </c>
      <c r="H187" s="5" t="s">
        <v>8</v>
      </c>
      <c r="I187" s="10">
        <v>105000</v>
      </c>
      <c r="J187" s="12"/>
      <c r="K187" s="5" t="s">
        <v>33</v>
      </c>
      <c r="L187" s="5" t="s">
        <v>34</v>
      </c>
      <c r="M187" s="6">
        <v>45750</v>
      </c>
      <c r="N187" s="6"/>
      <c r="O187" s="6"/>
      <c r="P187" s="5" t="s">
        <v>186</v>
      </c>
      <c r="Q187" s="5" t="s">
        <v>36</v>
      </c>
      <c r="R187" s="8" t="s">
        <v>37</v>
      </c>
      <c r="S187" s="5">
        <v>40</v>
      </c>
      <c r="T187" s="5" t="s">
        <v>38</v>
      </c>
      <c r="U187" s="8" t="str">
        <f t="shared" si="4"/>
        <v/>
      </c>
      <c r="V187" s="8" t="str">
        <f t="shared" si="5"/>
        <v/>
      </c>
      <c r="W187" s="8" t="str">
        <f>_xlfn.XLOOKUP(X187,ShiftCodes[Code],ShiftCodes[Work Schedule],"Unknown code")</f>
        <v>Standard (Mon–Fri 9:00–17:30)</v>
      </c>
      <c r="X187" s="9" t="s">
        <v>39</v>
      </c>
      <c r="Y187" s="5"/>
    </row>
    <row r="188" spans="1:25" ht="16" x14ac:dyDescent="0.2">
      <c r="A188" s="5" t="s">
        <v>312</v>
      </c>
      <c r="B188" s="5" t="s">
        <v>103</v>
      </c>
      <c r="C188" s="5" t="s">
        <v>100</v>
      </c>
      <c r="D188" s="5" t="s">
        <v>28</v>
      </c>
      <c r="E188" s="5" t="s">
        <v>29</v>
      </c>
      <c r="F188" s="5" t="s">
        <v>163</v>
      </c>
      <c r="G188" s="5" t="s">
        <v>31</v>
      </c>
      <c r="H188" s="5" t="s">
        <v>8</v>
      </c>
      <c r="I188" s="10">
        <v>143000</v>
      </c>
      <c r="J188" s="12"/>
      <c r="K188" s="5" t="s">
        <v>33</v>
      </c>
      <c r="L188" s="5" t="s">
        <v>34</v>
      </c>
      <c r="M188" s="6">
        <v>45753</v>
      </c>
      <c r="N188" s="6"/>
      <c r="O188" s="6"/>
      <c r="P188" s="5" t="s">
        <v>274</v>
      </c>
      <c r="Q188" s="5" t="s">
        <v>36</v>
      </c>
      <c r="R188" s="8" t="s">
        <v>37</v>
      </c>
      <c r="S188" s="5">
        <v>40</v>
      </c>
      <c r="T188" s="5" t="s">
        <v>38</v>
      </c>
      <c r="U188" s="8" t="str">
        <f t="shared" si="4"/>
        <v/>
      </c>
      <c r="V188" s="8" t="str">
        <f t="shared" si="5"/>
        <v/>
      </c>
      <c r="W188" s="8" t="str">
        <f>_xlfn.XLOOKUP(X188,ShiftCodes[Code],ShiftCodes[Work Schedule],"Unknown code")</f>
        <v>Standard (Mon–Fri 9:00–17:30)</v>
      </c>
      <c r="X188" s="9" t="s">
        <v>39</v>
      </c>
      <c r="Y188" s="5"/>
    </row>
    <row r="189" spans="1:25" ht="16" x14ac:dyDescent="0.2">
      <c r="A189" s="5" t="s">
        <v>313</v>
      </c>
      <c r="B189" s="5" t="s">
        <v>109</v>
      </c>
      <c r="C189" s="5" t="s">
        <v>76</v>
      </c>
      <c r="D189" s="5" t="s">
        <v>28</v>
      </c>
      <c r="E189" s="5" t="s">
        <v>29</v>
      </c>
      <c r="F189" s="5" t="s">
        <v>149</v>
      </c>
      <c r="G189" s="5" t="s">
        <v>31</v>
      </c>
      <c r="H189" s="5" t="s">
        <v>8</v>
      </c>
      <c r="I189" s="10">
        <v>111000</v>
      </c>
      <c r="J189" s="12"/>
      <c r="K189" s="5" t="s">
        <v>33</v>
      </c>
      <c r="L189" s="5" t="s">
        <v>34</v>
      </c>
      <c r="M189" s="6">
        <v>45757</v>
      </c>
      <c r="N189" s="6"/>
      <c r="O189" s="6"/>
      <c r="P189" s="5" t="s">
        <v>200</v>
      </c>
      <c r="Q189" s="5" t="s">
        <v>36</v>
      </c>
      <c r="R189" s="8" t="s">
        <v>37</v>
      </c>
      <c r="S189" s="5">
        <v>40</v>
      </c>
      <c r="T189" s="5" t="s">
        <v>38</v>
      </c>
      <c r="U189" s="8" t="str">
        <f t="shared" si="4"/>
        <v/>
      </c>
      <c r="V189" s="8" t="str">
        <f t="shared" si="5"/>
        <v/>
      </c>
      <c r="W189" s="8" t="str">
        <f>_xlfn.XLOOKUP(X189,ShiftCodes[Code],ShiftCodes[Work Schedule],"Unknown code")</f>
        <v>Standard (Mon–Fri 9:00–17:30)</v>
      </c>
      <c r="X189" s="9" t="s">
        <v>39</v>
      </c>
      <c r="Y189" s="5"/>
    </row>
    <row r="190" spans="1:25" ht="16" x14ac:dyDescent="0.2">
      <c r="A190" s="5" t="s">
        <v>314</v>
      </c>
      <c r="B190" s="5" t="s">
        <v>99</v>
      </c>
      <c r="C190" s="5" t="s">
        <v>41</v>
      </c>
      <c r="D190" s="5" t="s">
        <v>266</v>
      </c>
      <c r="E190" s="5" t="s">
        <v>29</v>
      </c>
      <c r="F190" s="5" t="s">
        <v>163</v>
      </c>
      <c r="G190" s="5" t="s">
        <v>31</v>
      </c>
      <c r="H190" s="5" t="s">
        <v>8</v>
      </c>
      <c r="I190" s="10">
        <v>122000</v>
      </c>
      <c r="J190" s="12"/>
      <c r="K190" s="5" t="s">
        <v>33</v>
      </c>
      <c r="L190" s="5" t="s">
        <v>34</v>
      </c>
      <c r="M190" s="6">
        <v>45760</v>
      </c>
      <c r="N190" s="6"/>
      <c r="O190" s="6"/>
      <c r="P190" s="5" t="s">
        <v>186</v>
      </c>
      <c r="Q190" s="5" t="s">
        <v>36</v>
      </c>
      <c r="R190" s="8" t="s">
        <v>37</v>
      </c>
      <c r="S190" s="5">
        <v>40</v>
      </c>
      <c r="T190" s="5" t="s">
        <v>38</v>
      </c>
      <c r="U190" s="8" t="str">
        <f t="shared" si="4"/>
        <v/>
      </c>
      <c r="V190" s="8" t="str">
        <f t="shared" si="5"/>
        <v/>
      </c>
      <c r="W190" s="8" t="str">
        <f>_xlfn.XLOOKUP(X190,ShiftCodes[Code],ShiftCodes[Work Schedule],"Unknown code")</f>
        <v>Standard (Mon–Fri 9:00–17:30)</v>
      </c>
      <c r="X190" s="9" t="s">
        <v>39</v>
      </c>
      <c r="Y190" s="5"/>
    </row>
    <row r="191" spans="1:25" ht="16" x14ac:dyDescent="0.2">
      <c r="A191" s="5" t="s">
        <v>315</v>
      </c>
      <c r="B191" s="5" t="s">
        <v>99</v>
      </c>
      <c r="C191" s="5" t="s">
        <v>41</v>
      </c>
      <c r="D191" s="5" t="s">
        <v>189</v>
      </c>
      <c r="E191" s="5" t="s">
        <v>29</v>
      </c>
      <c r="F191" s="5" t="s">
        <v>163</v>
      </c>
      <c r="G191" s="5" t="s">
        <v>31</v>
      </c>
      <c r="H191" s="5" t="s">
        <v>8</v>
      </c>
      <c r="I191" s="10">
        <v>122000</v>
      </c>
      <c r="J191" s="12"/>
      <c r="K191" s="5" t="s">
        <v>33</v>
      </c>
      <c r="L191" s="5" t="s">
        <v>34</v>
      </c>
      <c r="M191" s="6">
        <v>45761</v>
      </c>
      <c r="N191" s="6"/>
      <c r="O191" s="6"/>
      <c r="P191" s="5" t="s">
        <v>231</v>
      </c>
      <c r="Q191" s="5" t="s">
        <v>36</v>
      </c>
      <c r="R191" s="8" t="s">
        <v>37</v>
      </c>
      <c r="S191" s="5">
        <v>40</v>
      </c>
      <c r="T191" s="5" t="s">
        <v>38</v>
      </c>
      <c r="U191" s="8" t="str">
        <f t="shared" si="4"/>
        <v/>
      </c>
      <c r="V191" s="8" t="str">
        <f t="shared" si="5"/>
        <v/>
      </c>
      <c r="W191" s="8" t="str">
        <f>_xlfn.XLOOKUP(X191,ShiftCodes[Code],ShiftCodes[Work Schedule],"Unknown code")</f>
        <v>Standard (Mon–Fri 9:00–17:30)</v>
      </c>
      <c r="X191" s="9" t="s">
        <v>39</v>
      </c>
      <c r="Y191" s="5"/>
    </row>
    <row r="192" spans="1:25" ht="16" x14ac:dyDescent="0.2">
      <c r="A192" s="5" t="s">
        <v>316</v>
      </c>
      <c r="B192" s="5" t="s">
        <v>103</v>
      </c>
      <c r="C192" s="5" t="s">
        <v>106</v>
      </c>
      <c r="D192" s="5" t="s">
        <v>42</v>
      </c>
      <c r="E192" s="5" t="s">
        <v>29</v>
      </c>
      <c r="F192" s="5" t="s">
        <v>163</v>
      </c>
      <c r="G192" s="5" t="s">
        <v>31</v>
      </c>
      <c r="H192" s="5" t="s">
        <v>8</v>
      </c>
      <c r="I192" s="10">
        <v>171000</v>
      </c>
      <c r="J192" s="12"/>
      <c r="K192" s="5" t="s">
        <v>33</v>
      </c>
      <c r="L192" s="5" t="s">
        <v>34</v>
      </c>
      <c r="M192" s="6">
        <v>45762</v>
      </c>
      <c r="N192" s="6"/>
      <c r="O192" s="6"/>
      <c r="P192" s="5" t="s">
        <v>122</v>
      </c>
      <c r="Q192" s="5" t="s">
        <v>36</v>
      </c>
      <c r="R192" s="8" t="s">
        <v>37</v>
      </c>
      <c r="S192" s="5">
        <v>40</v>
      </c>
      <c r="T192" s="5" t="s">
        <v>38</v>
      </c>
      <c r="U192" s="8" t="str">
        <f t="shared" si="4"/>
        <v/>
      </c>
      <c r="V192" s="8" t="str">
        <f t="shared" si="5"/>
        <v/>
      </c>
      <c r="W192" s="8" t="str">
        <f>_xlfn.XLOOKUP(X192,ShiftCodes[Code],ShiftCodes[Work Schedule],"Unknown code")</f>
        <v>Standard (Mon–Fri 9:00–17:30)</v>
      </c>
      <c r="X192" s="9" t="s">
        <v>39</v>
      </c>
      <c r="Y192" s="5"/>
    </row>
    <row r="193" spans="1:25" ht="16" x14ac:dyDescent="0.2">
      <c r="A193" s="5" t="s">
        <v>317</v>
      </c>
      <c r="B193" s="5" t="s">
        <v>103</v>
      </c>
      <c r="C193" s="5" t="s">
        <v>41</v>
      </c>
      <c r="D193" s="5" t="s">
        <v>28</v>
      </c>
      <c r="E193" s="5" t="s">
        <v>29</v>
      </c>
      <c r="F193" s="5" t="s">
        <v>165</v>
      </c>
      <c r="G193" s="5" t="s">
        <v>31</v>
      </c>
      <c r="H193" s="5" t="s">
        <v>8</v>
      </c>
      <c r="I193" s="10">
        <v>197000</v>
      </c>
      <c r="J193" s="12"/>
      <c r="K193" s="5" t="s">
        <v>33</v>
      </c>
      <c r="L193" s="5" t="s">
        <v>34</v>
      </c>
      <c r="M193" s="6">
        <v>45772</v>
      </c>
      <c r="N193" s="6"/>
      <c r="O193" s="6"/>
      <c r="P193" s="5" t="s">
        <v>226</v>
      </c>
      <c r="Q193" s="5" t="s">
        <v>36</v>
      </c>
      <c r="R193" s="8" t="s">
        <v>37</v>
      </c>
      <c r="S193" s="5">
        <v>40</v>
      </c>
      <c r="T193" s="5" t="s">
        <v>38</v>
      </c>
      <c r="U193" s="8" t="str">
        <f t="shared" si="4"/>
        <v/>
      </c>
      <c r="V193" s="8" t="str">
        <f t="shared" si="5"/>
        <v/>
      </c>
      <c r="W193" s="8" t="str">
        <f>_xlfn.XLOOKUP(X193,ShiftCodes[Code],ShiftCodes[Work Schedule],"Unknown code")</f>
        <v>Standard (Mon–Fri 9:00–17:30)</v>
      </c>
      <c r="X193" s="9" t="s">
        <v>39</v>
      </c>
      <c r="Y193" s="5"/>
    </row>
    <row r="194" spans="1:25" ht="16" x14ac:dyDescent="0.2">
      <c r="A194" s="5" t="s">
        <v>318</v>
      </c>
      <c r="B194" s="5" t="s">
        <v>109</v>
      </c>
      <c r="C194" s="5" t="s">
        <v>76</v>
      </c>
      <c r="D194" s="5" t="s">
        <v>28</v>
      </c>
      <c r="E194" s="5" t="s">
        <v>29</v>
      </c>
      <c r="F194" s="5" t="s">
        <v>132</v>
      </c>
      <c r="G194" s="5" t="s">
        <v>78</v>
      </c>
      <c r="H194" s="5" t="s">
        <v>79</v>
      </c>
      <c r="I194" s="10"/>
      <c r="J194" s="12">
        <v>43</v>
      </c>
      <c r="K194" s="5" t="s">
        <v>33</v>
      </c>
      <c r="L194" s="5" t="s">
        <v>80</v>
      </c>
      <c r="M194" s="6">
        <v>45775</v>
      </c>
      <c r="N194" s="6"/>
      <c r="O194" s="6"/>
      <c r="P194" s="5" t="s">
        <v>161</v>
      </c>
      <c r="Q194" s="5" t="s">
        <v>36</v>
      </c>
      <c r="R194" s="8" t="s">
        <v>37</v>
      </c>
      <c r="S194" s="5">
        <v>36</v>
      </c>
      <c r="T194" s="5" t="s">
        <v>38</v>
      </c>
      <c r="U194" s="8" t="str">
        <f t="shared" ref="U194:U257" si="6">IF(AND(TRIM(E194)="US",TRIM(G194)="Non-Exempt"),"US Non-Exempt EEs","")</f>
        <v>US Non-Exempt EEs</v>
      </c>
      <c r="V194" s="8" t="str">
        <f t="shared" ref="V194:V257" si="7">IF(AND(TRIM(E194)="US",TRIM(G194)="Non-Exempt"),IF(TRIM(D194)="CA","US California Non-Exempt","US Non-California Non-Exempt"),"")</f>
        <v>US California Non-Exempt</v>
      </c>
      <c r="W194" s="8" t="str">
        <f>_xlfn.XLOOKUP(X194,ShiftCodes[Code],ShiftCodes[Work Schedule],"Unknown code")</f>
        <v>Shift D – Weekend (Fri–Sun 06:00–18:30)</v>
      </c>
      <c r="X194" s="9" t="s">
        <v>151</v>
      </c>
      <c r="Y194" s="5"/>
    </row>
    <row r="195" spans="1:25" ht="16" x14ac:dyDescent="0.2">
      <c r="A195" s="5" t="s">
        <v>319</v>
      </c>
      <c r="B195" s="5" t="s">
        <v>112</v>
      </c>
      <c r="C195" s="5" t="s">
        <v>180</v>
      </c>
      <c r="D195" s="5" t="s">
        <v>52</v>
      </c>
      <c r="E195" s="5" t="s">
        <v>52</v>
      </c>
      <c r="F195" s="5" t="s">
        <v>163</v>
      </c>
      <c r="G195" s="5" t="s">
        <v>31</v>
      </c>
      <c r="H195" s="5" t="s">
        <v>8</v>
      </c>
      <c r="I195" s="10">
        <v>96000</v>
      </c>
      <c r="J195" s="17"/>
      <c r="K195" s="5" t="s">
        <v>55</v>
      </c>
      <c r="L195" s="5" t="s">
        <v>56</v>
      </c>
      <c r="M195" s="6">
        <v>45776</v>
      </c>
      <c r="N195" s="6"/>
      <c r="O195" s="6"/>
      <c r="P195" s="5" t="s">
        <v>179</v>
      </c>
      <c r="Q195" s="5" t="s">
        <v>36</v>
      </c>
      <c r="R195" s="8" t="s">
        <v>37</v>
      </c>
      <c r="S195" s="5">
        <v>37.5</v>
      </c>
      <c r="T195" s="5" t="s">
        <v>38</v>
      </c>
      <c r="U195" s="8" t="str">
        <f t="shared" si="6"/>
        <v/>
      </c>
      <c r="V195" s="8" t="str">
        <f t="shared" si="7"/>
        <v/>
      </c>
      <c r="W195" s="8" t="str">
        <f>_xlfn.XLOOKUP(X195,ShiftCodes[Code],ShiftCodes[Work Schedule],"Unknown code")</f>
        <v>Standard (Mon–Fri 9:00–17:30)</v>
      </c>
      <c r="X195" s="9" t="s">
        <v>39</v>
      </c>
      <c r="Y195" s="5"/>
    </row>
    <row r="196" spans="1:25" ht="16" x14ac:dyDescent="0.2">
      <c r="A196" s="5" t="s">
        <v>320</v>
      </c>
      <c r="B196" s="5" t="s">
        <v>103</v>
      </c>
      <c r="C196" s="5" t="s">
        <v>41</v>
      </c>
      <c r="D196" s="5" t="s">
        <v>84</v>
      </c>
      <c r="E196" s="5" t="s">
        <v>29</v>
      </c>
      <c r="F196" s="5" t="s">
        <v>163</v>
      </c>
      <c r="G196" s="5" t="s">
        <v>31</v>
      </c>
      <c r="H196" s="5" t="s">
        <v>8</v>
      </c>
      <c r="I196" s="10">
        <v>143000</v>
      </c>
      <c r="J196" s="12"/>
      <c r="K196" s="5" t="s">
        <v>33</v>
      </c>
      <c r="L196" s="5" t="s">
        <v>34</v>
      </c>
      <c r="M196" s="6">
        <v>45777</v>
      </c>
      <c r="N196" s="6"/>
      <c r="O196" s="6"/>
      <c r="P196" s="5" t="s">
        <v>145</v>
      </c>
      <c r="Q196" s="5" t="s">
        <v>36</v>
      </c>
      <c r="R196" s="8" t="s">
        <v>37</v>
      </c>
      <c r="S196" s="5">
        <v>40</v>
      </c>
      <c r="T196" s="5" t="s">
        <v>38</v>
      </c>
      <c r="U196" s="8" t="str">
        <f t="shared" si="6"/>
        <v/>
      </c>
      <c r="V196" s="8" t="str">
        <f t="shared" si="7"/>
        <v/>
      </c>
      <c r="W196" s="8" t="str">
        <f>_xlfn.XLOOKUP(X196,ShiftCodes[Code],ShiftCodes[Work Schedule],"Unknown code")</f>
        <v>Standard (Mon–Fri 9:00–17:30)</v>
      </c>
      <c r="X196" s="9" t="s">
        <v>39</v>
      </c>
      <c r="Y196" s="5"/>
    </row>
    <row r="197" spans="1:25" ht="16" x14ac:dyDescent="0.2">
      <c r="A197" s="5" t="s">
        <v>321</v>
      </c>
      <c r="B197" s="5" t="s">
        <v>112</v>
      </c>
      <c r="C197" s="5" t="s">
        <v>100</v>
      </c>
      <c r="D197" s="5" t="s">
        <v>28</v>
      </c>
      <c r="E197" s="5" t="s">
        <v>29</v>
      </c>
      <c r="F197" s="5" t="s">
        <v>165</v>
      </c>
      <c r="G197" s="5" t="s">
        <v>31</v>
      </c>
      <c r="H197" s="5" t="s">
        <v>8</v>
      </c>
      <c r="I197" s="10">
        <v>197000</v>
      </c>
      <c r="J197" s="12"/>
      <c r="K197" s="5" t="s">
        <v>33</v>
      </c>
      <c r="L197" s="5" t="s">
        <v>34</v>
      </c>
      <c r="M197" s="6">
        <v>45777</v>
      </c>
      <c r="N197" s="6"/>
      <c r="O197" s="6"/>
      <c r="P197" s="5" t="s">
        <v>204</v>
      </c>
      <c r="Q197" s="5" t="s">
        <v>36</v>
      </c>
      <c r="R197" s="8" t="s">
        <v>37</v>
      </c>
      <c r="S197" s="5">
        <v>40</v>
      </c>
      <c r="T197" s="5" t="s">
        <v>38</v>
      </c>
      <c r="U197" s="8" t="str">
        <f t="shared" si="6"/>
        <v/>
      </c>
      <c r="V197" s="8" t="str">
        <f t="shared" si="7"/>
        <v/>
      </c>
      <c r="W197" s="8" t="str">
        <f>_xlfn.XLOOKUP(X197,ShiftCodes[Code],ShiftCodes[Work Schedule],"Unknown code")</f>
        <v>Standard (Mon–Fri 9:00–17:30)</v>
      </c>
      <c r="X197" s="9" t="s">
        <v>39</v>
      </c>
      <c r="Y197" s="5"/>
    </row>
    <row r="198" spans="1:25" ht="16" x14ac:dyDescent="0.2">
      <c r="A198" s="5" t="s">
        <v>322</v>
      </c>
      <c r="B198" s="5" t="s">
        <v>99</v>
      </c>
      <c r="C198" s="5" t="s">
        <v>100</v>
      </c>
      <c r="D198" s="5" t="s">
        <v>28</v>
      </c>
      <c r="E198" s="5" t="s">
        <v>29</v>
      </c>
      <c r="F198" s="5" t="s">
        <v>165</v>
      </c>
      <c r="G198" s="5" t="s">
        <v>31</v>
      </c>
      <c r="H198" s="5" t="s">
        <v>8</v>
      </c>
      <c r="I198" s="10">
        <v>174000</v>
      </c>
      <c r="J198" s="12"/>
      <c r="K198" s="5" t="s">
        <v>33</v>
      </c>
      <c r="L198" s="5" t="s">
        <v>34</v>
      </c>
      <c r="M198" s="6">
        <v>45779</v>
      </c>
      <c r="N198" s="6"/>
      <c r="O198" s="6"/>
      <c r="P198" s="5" t="s">
        <v>308</v>
      </c>
      <c r="Q198" s="5" t="s">
        <v>36</v>
      </c>
      <c r="R198" s="8" t="s">
        <v>37</v>
      </c>
      <c r="S198" s="5">
        <v>40</v>
      </c>
      <c r="T198" s="5" t="s">
        <v>38</v>
      </c>
      <c r="U198" s="8" t="str">
        <f t="shared" si="6"/>
        <v/>
      </c>
      <c r="V198" s="8" t="str">
        <f t="shared" si="7"/>
        <v/>
      </c>
      <c r="W198" s="8" t="str">
        <f>_xlfn.XLOOKUP(X198,ShiftCodes[Code],ShiftCodes[Work Schedule],"Unknown code")</f>
        <v>Standard (Mon–Fri 9:00–17:30)</v>
      </c>
      <c r="X198" s="9" t="s">
        <v>39</v>
      </c>
      <c r="Y198" s="5"/>
    </row>
    <row r="199" spans="1:25" ht="16" x14ac:dyDescent="0.2">
      <c r="A199" s="5" t="s">
        <v>323</v>
      </c>
      <c r="B199" s="5" t="s">
        <v>103</v>
      </c>
      <c r="C199" s="5" t="s">
        <v>100</v>
      </c>
      <c r="D199" s="5" t="s">
        <v>28</v>
      </c>
      <c r="E199" s="5" t="s">
        <v>29</v>
      </c>
      <c r="F199" s="5" t="s">
        <v>156</v>
      </c>
      <c r="G199" s="5" t="s">
        <v>31</v>
      </c>
      <c r="H199" s="5" t="s">
        <v>8</v>
      </c>
      <c r="I199" s="10">
        <v>227000</v>
      </c>
      <c r="J199" s="12"/>
      <c r="K199" s="5" t="s">
        <v>33</v>
      </c>
      <c r="L199" s="5" t="s">
        <v>34</v>
      </c>
      <c r="M199" s="6">
        <v>45784</v>
      </c>
      <c r="N199" s="6"/>
      <c r="O199" s="6"/>
      <c r="P199" s="5" t="s">
        <v>255</v>
      </c>
      <c r="Q199" s="5" t="s">
        <v>36</v>
      </c>
      <c r="R199" s="8" t="s">
        <v>37</v>
      </c>
      <c r="S199" s="5">
        <v>40</v>
      </c>
      <c r="T199" s="5" t="s">
        <v>38</v>
      </c>
      <c r="U199" s="8" t="str">
        <f t="shared" si="6"/>
        <v/>
      </c>
      <c r="V199" s="8" t="str">
        <f t="shared" si="7"/>
        <v/>
      </c>
      <c r="W199" s="8" t="str">
        <f>_xlfn.XLOOKUP(X199,ShiftCodes[Code],ShiftCodes[Work Schedule],"Unknown code")</f>
        <v>Standard (Mon–Fri 9:00–17:30)</v>
      </c>
      <c r="X199" s="9" t="s">
        <v>39</v>
      </c>
      <c r="Y199" s="5"/>
    </row>
    <row r="200" spans="1:25" ht="16" x14ac:dyDescent="0.2">
      <c r="A200" s="5" t="s">
        <v>324</v>
      </c>
      <c r="B200" s="5" t="s">
        <v>109</v>
      </c>
      <c r="C200" s="5" t="s">
        <v>76</v>
      </c>
      <c r="D200" s="5" t="s">
        <v>28</v>
      </c>
      <c r="E200" s="5" t="s">
        <v>29</v>
      </c>
      <c r="F200" s="5" t="s">
        <v>130</v>
      </c>
      <c r="G200" s="5" t="s">
        <v>78</v>
      </c>
      <c r="H200" s="5" t="s">
        <v>79</v>
      </c>
      <c r="I200" s="10"/>
      <c r="J200" s="12">
        <v>30.25</v>
      </c>
      <c r="K200" s="5" t="s">
        <v>33</v>
      </c>
      <c r="L200" s="5" t="s">
        <v>80</v>
      </c>
      <c r="M200" s="6">
        <v>45785</v>
      </c>
      <c r="N200" s="6"/>
      <c r="O200" s="6"/>
      <c r="P200" s="5" t="s">
        <v>128</v>
      </c>
      <c r="Q200" s="5" t="s">
        <v>36</v>
      </c>
      <c r="R200" s="8" t="s">
        <v>37</v>
      </c>
      <c r="S200" s="5">
        <v>36</v>
      </c>
      <c r="T200" s="5" t="s">
        <v>38</v>
      </c>
      <c r="U200" s="8" t="str">
        <f t="shared" si="6"/>
        <v>US Non-Exempt EEs</v>
      </c>
      <c r="V200" s="8" t="str">
        <f t="shared" si="7"/>
        <v>US California Non-Exempt</v>
      </c>
      <c r="W200" s="8" t="str">
        <f>_xlfn.XLOOKUP(X200,ShiftCodes[Code],ShiftCodes[Work Schedule],"Unknown code")</f>
        <v>Shift D – Weekend (Fri–Sun 06:00–18:30)</v>
      </c>
      <c r="X200" s="9" t="s">
        <v>151</v>
      </c>
      <c r="Y200" s="5"/>
    </row>
    <row r="201" spans="1:25" ht="16" x14ac:dyDescent="0.2">
      <c r="A201" s="5" t="s">
        <v>325</v>
      </c>
      <c r="B201" s="5" t="s">
        <v>103</v>
      </c>
      <c r="C201" s="5" t="s">
        <v>180</v>
      </c>
      <c r="D201" s="5" t="s">
        <v>52</v>
      </c>
      <c r="E201" s="5" t="s">
        <v>52</v>
      </c>
      <c r="F201" s="5" t="s">
        <v>124</v>
      </c>
      <c r="G201" s="5" t="s">
        <v>31</v>
      </c>
      <c r="H201" s="5" t="s">
        <v>8</v>
      </c>
      <c r="I201" s="10">
        <v>68000</v>
      </c>
      <c r="J201" s="17"/>
      <c r="K201" s="5" t="s">
        <v>55</v>
      </c>
      <c r="L201" s="5" t="s">
        <v>56</v>
      </c>
      <c r="M201" s="6">
        <v>45786</v>
      </c>
      <c r="N201" s="6"/>
      <c r="O201" s="6"/>
      <c r="P201" s="5" t="s">
        <v>218</v>
      </c>
      <c r="Q201" s="5" t="s">
        <v>36</v>
      </c>
      <c r="R201" s="8" t="s">
        <v>37</v>
      </c>
      <c r="S201" s="5">
        <v>37.5</v>
      </c>
      <c r="T201" s="5" t="s">
        <v>38</v>
      </c>
      <c r="U201" s="8" t="str">
        <f t="shared" si="6"/>
        <v/>
      </c>
      <c r="V201" s="8" t="str">
        <f t="shared" si="7"/>
        <v/>
      </c>
      <c r="W201" s="8" t="str">
        <f>_xlfn.XLOOKUP(X201,ShiftCodes[Code],ShiftCodes[Work Schedule],"Unknown code")</f>
        <v>Standard (Mon–Fri 9:00–17:30)</v>
      </c>
      <c r="X201" s="9" t="s">
        <v>39</v>
      </c>
      <c r="Y201" s="5"/>
    </row>
    <row r="202" spans="1:25" ht="16" x14ac:dyDescent="0.2">
      <c r="A202" s="5" t="s">
        <v>326</v>
      </c>
      <c r="B202" s="5" t="s">
        <v>112</v>
      </c>
      <c r="C202" s="5" t="s">
        <v>100</v>
      </c>
      <c r="D202" s="5" t="s">
        <v>28</v>
      </c>
      <c r="E202" s="5" t="s">
        <v>29</v>
      </c>
      <c r="F202" s="5" t="s">
        <v>124</v>
      </c>
      <c r="G202" s="5" t="s">
        <v>31</v>
      </c>
      <c r="H202" s="5" t="s">
        <v>8</v>
      </c>
      <c r="I202" s="10">
        <v>145000</v>
      </c>
      <c r="J202" s="12"/>
      <c r="K202" s="5" t="s">
        <v>33</v>
      </c>
      <c r="L202" s="5" t="s">
        <v>34</v>
      </c>
      <c r="M202" s="6">
        <v>45794</v>
      </c>
      <c r="N202" s="6"/>
      <c r="O202" s="6"/>
      <c r="P202" s="5" t="s">
        <v>143</v>
      </c>
      <c r="Q202" s="5" t="s">
        <v>36</v>
      </c>
      <c r="R202" s="8" t="s">
        <v>37</v>
      </c>
      <c r="S202" s="5">
        <v>40</v>
      </c>
      <c r="T202" s="5" t="s">
        <v>38</v>
      </c>
      <c r="U202" s="8" t="str">
        <f t="shared" si="6"/>
        <v/>
      </c>
      <c r="V202" s="8" t="str">
        <f t="shared" si="7"/>
        <v/>
      </c>
      <c r="W202" s="8" t="str">
        <f>_xlfn.XLOOKUP(X202,ShiftCodes[Code],ShiftCodes[Work Schedule],"Unknown code")</f>
        <v>Standard (Mon–Fri 9:00–17:30)</v>
      </c>
      <c r="X202" s="9" t="s">
        <v>39</v>
      </c>
      <c r="Y202" s="5"/>
    </row>
    <row r="203" spans="1:25" ht="16" x14ac:dyDescent="0.2">
      <c r="A203" s="5" t="s">
        <v>327</v>
      </c>
      <c r="B203" s="5" t="s">
        <v>109</v>
      </c>
      <c r="C203" s="5" t="s">
        <v>113</v>
      </c>
      <c r="D203" s="5" t="s">
        <v>84</v>
      </c>
      <c r="E203" s="5" t="s">
        <v>29</v>
      </c>
      <c r="F203" s="5" t="s">
        <v>124</v>
      </c>
      <c r="G203" s="5" t="s">
        <v>31</v>
      </c>
      <c r="H203" s="5" t="s">
        <v>8</v>
      </c>
      <c r="I203" s="10">
        <v>139000</v>
      </c>
      <c r="J203" s="12"/>
      <c r="K203" s="5" t="s">
        <v>33</v>
      </c>
      <c r="L203" s="5" t="s">
        <v>34</v>
      </c>
      <c r="M203" s="6">
        <v>45796</v>
      </c>
      <c r="N203" s="6"/>
      <c r="O203" s="6"/>
      <c r="P203" s="5" t="s">
        <v>178</v>
      </c>
      <c r="Q203" s="5" t="s">
        <v>36</v>
      </c>
      <c r="R203" s="8" t="s">
        <v>37</v>
      </c>
      <c r="S203" s="5">
        <v>40</v>
      </c>
      <c r="T203" s="5" t="s">
        <v>38</v>
      </c>
      <c r="U203" s="8" t="str">
        <f t="shared" si="6"/>
        <v/>
      </c>
      <c r="V203" s="8" t="str">
        <f t="shared" si="7"/>
        <v/>
      </c>
      <c r="W203" s="8" t="str">
        <f>_xlfn.XLOOKUP(X203,ShiftCodes[Code],ShiftCodes[Work Schedule],"Unknown code")</f>
        <v>Standard (Mon–Fri 9:00–17:30)</v>
      </c>
      <c r="X203" s="9" t="s">
        <v>39</v>
      </c>
      <c r="Y203" s="5"/>
    </row>
    <row r="204" spans="1:25" ht="16" x14ac:dyDescent="0.2">
      <c r="A204" s="5" t="s">
        <v>328</v>
      </c>
      <c r="B204" s="5" t="s">
        <v>103</v>
      </c>
      <c r="C204" s="5" t="s">
        <v>180</v>
      </c>
      <c r="D204" s="5" t="s">
        <v>52</v>
      </c>
      <c r="E204" s="5" t="s">
        <v>52</v>
      </c>
      <c r="F204" s="5" t="s">
        <v>165</v>
      </c>
      <c r="G204" s="5" t="s">
        <v>31</v>
      </c>
      <c r="H204" s="5" t="s">
        <v>8</v>
      </c>
      <c r="I204" s="10">
        <v>94000</v>
      </c>
      <c r="J204" s="17"/>
      <c r="K204" s="5" t="s">
        <v>55</v>
      </c>
      <c r="L204" s="5" t="s">
        <v>56</v>
      </c>
      <c r="M204" s="6">
        <v>45800</v>
      </c>
      <c r="N204" s="6"/>
      <c r="O204" s="6"/>
      <c r="P204" s="5" t="s">
        <v>218</v>
      </c>
      <c r="Q204" s="5" t="s">
        <v>36</v>
      </c>
      <c r="R204" s="8" t="s">
        <v>37</v>
      </c>
      <c r="S204" s="5">
        <v>37.5</v>
      </c>
      <c r="T204" s="5" t="s">
        <v>38</v>
      </c>
      <c r="U204" s="8" t="str">
        <f t="shared" si="6"/>
        <v/>
      </c>
      <c r="V204" s="8" t="str">
        <f t="shared" si="7"/>
        <v/>
      </c>
      <c r="W204" s="8" t="str">
        <f>_xlfn.XLOOKUP(X204,ShiftCodes[Code],ShiftCodes[Work Schedule],"Unknown code")</f>
        <v>Standard (Mon–Fri 9:00–17:30)</v>
      </c>
      <c r="X204" s="9" t="s">
        <v>39</v>
      </c>
      <c r="Y204" s="5"/>
    </row>
    <row r="205" spans="1:25" ht="16" x14ac:dyDescent="0.2">
      <c r="A205" s="5" t="s">
        <v>329</v>
      </c>
      <c r="B205" s="5" t="s">
        <v>99</v>
      </c>
      <c r="C205" s="5" t="s">
        <v>41</v>
      </c>
      <c r="D205" s="5" t="s">
        <v>28</v>
      </c>
      <c r="E205" s="5" t="s">
        <v>29</v>
      </c>
      <c r="F205" s="5" t="s">
        <v>124</v>
      </c>
      <c r="G205" s="5" t="s">
        <v>31</v>
      </c>
      <c r="H205" s="5" t="s">
        <v>8</v>
      </c>
      <c r="I205" s="10">
        <v>101000</v>
      </c>
      <c r="J205" s="12"/>
      <c r="K205" s="5" t="s">
        <v>33</v>
      </c>
      <c r="L205" s="5" t="s">
        <v>34</v>
      </c>
      <c r="M205" s="6">
        <v>45800</v>
      </c>
      <c r="N205" s="6"/>
      <c r="O205" s="6"/>
      <c r="P205" s="5" t="s">
        <v>159</v>
      </c>
      <c r="Q205" s="5" t="s">
        <v>36</v>
      </c>
      <c r="R205" s="8" t="s">
        <v>37</v>
      </c>
      <c r="S205" s="5">
        <v>40</v>
      </c>
      <c r="T205" s="5" t="s">
        <v>38</v>
      </c>
      <c r="U205" s="8" t="str">
        <f t="shared" si="6"/>
        <v/>
      </c>
      <c r="V205" s="8" t="str">
        <f t="shared" si="7"/>
        <v/>
      </c>
      <c r="W205" s="8" t="str">
        <f>_xlfn.XLOOKUP(X205,ShiftCodes[Code],ShiftCodes[Work Schedule],"Unknown code")</f>
        <v>Standard (Mon–Fri 9:00–17:30)</v>
      </c>
      <c r="X205" s="9" t="s">
        <v>39</v>
      </c>
      <c r="Y205" s="5"/>
    </row>
    <row r="206" spans="1:25" ht="16" x14ac:dyDescent="0.2">
      <c r="A206" s="5" t="s">
        <v>330</v>
      </c>
      <c r="B206" s="5" t="s">
        <v>99</v>
      </c>
      <c r="C206" s="5" t="s">
        <v>180</v>
      </c>
      <c r="D206" s="5" t="s">
        <v>52</v>
      </c>
      <c r="E206" s="5" t="s">
        <v>52</v>
      </c>
      <c r="F206" s="5" t="s">
        <v>156</v>
      </c>
      <c r="G206" s="5" t="s">
        <v>31</v>
      </c>
      <c r="H206" s="5" t="s">
        <v>8</v>
      </c>
      <c r="I206" s="10">
        <v>111000</v>
      </c>
      <c r="J206" s="17"/>
      <c r="K206" s="5" t="s">
        <v>55</v>
      </c>
      <c r="L206" s="5" t="s">
        <v>56</v>
      </c>
      <c r="M206" s="6">
        <v>45802</v>
      </c>
      <c r="N206" s="6"/>
      <c r="O206" s="6"/>
      <c r="P206" s="5" t="s">
        <v>191</v>
      </c>
      <c r="Q206" s="5" t="s">
        <v>36</v>
      </c>
      <c r="R206" s="8" t="s">
        <v>37</v>
      </c>
      <c r="S206" s="5">
        <v>37.5</v>
      </c>
      <c r="T206" s="5" t="s">
        <v>38</v>
      </c>
      <c r="U206" s="8" t="str">
        <f t="shared" si="6"/>
        <v/>
      </c>
      <c r="V206" s="8" t="str">
        <f t="shared" si="7"/>
        <v/>
      </c>
      <c r="W206" s="8" t="str">
        <f>_xlfn.XLOOKUP(X206,ShiftCodes[Code],ShiftCodes[Work Schedule],"Unknown code")</f>
        <v>Standard (Mon–Fri 9:00–17:30)</v>
      </c>
      <c r="X206" s="9" t="s">
        <v>39</v>
      </c>
      <c r="Y206" s="5"/>
    </row>
    <row r="207" spans="1:25" ht="16" x14ac:dyDescent="0.2">
      <c r="A207" s="5" t="s">
        <v>331</v>
      </c>
      <c r="B207" s="5" t="s">
        <v>112</v>
      </c>
      <c r="C207" s="5" t="s">
        <v>106</v>
      </c>
      <c r="D207" s="5" t="s">
        <v>42</v>
      </c>
      <c r="E207" s="5" t="s">
        <v>29</v>
      </c>
      <c r="F207" s="5" t="s">
        <v>163</v>
      </c>
      <c r="G207" s="5" t="s">
        <v>31</v>
      </c>
      <c r="H207" s="5" t="s">
        <v>8</v>
      </c>
      <c r="I207" s="10">
        <v>148000</v>
      </c>
      <c r="J207" s="12"/>
      <c r="K207" s="5" t="s">
        <v>33</v>
      </c>
      <c r="L207" s="5" t="s">
        <v>34</v>
      </c>
      <c r="M207" s="6">
        <v>45805</v>
      </c>
      <c r="N207" s="6"/>
      <c r="O207" s="6"/>
      <c r="P207" s="5" t="s">
        <v>182</v>
      </c>
      <c r="Q207" s="5" t="s">
        <v>36</v>
      </c>
      <c r="R207" s="8" t="s">
        <v>37</v>
      </c>
      <c r="S207" s="5">
        <v>40</v>
      </c>
      <c r="T207" s="5" t="s">
        <v>38</v>
      </c>
      <c r="U207" s="8" t="str">
        <f t="shared" si="6"/>
        <v/>
      </c>
      <c r="V207" s="8" t="str">
        <f t="shared" si="7"/>
        <v/>
      </c>
      <c r="W207" s="8" t="str">
        <f>_xlfn.XLOOKUP(X207,ShiftCodes[Code],ShiftCodes[Work Schedule],"Unknown code")</f>
        <v>Standard (Mon–Fri 9:00–17:30)</v>
      </c>
      <c r="X207" s="9" t="s">
        <v>39</v>
      </c>
      <c r="Y207" s="5"/>
    </row>
    <row r="208" spans="1:25" ht="16" x14ac:dyDescent="0.2">
      <c r="A208" s="5" t="s">
        <v>332</v>
      </c>
      <c r="B208" s="5" t="s">
        <v>103</v>
      </c>
      <c r="C208" s="5" t="s">
        <v>100</v>
      </c>
      <c r="D208" s="5" t="s">
        <v>28</v>
      </c>
      <c r="E208" s="5" t="s">
        <v>29</v>
      </c>
      <c r="F208" s="5" t="s">
        <v>124</v>
      </c>
      <c r="G208" s="5" t="s">
        <v>31</v>
      </c>
      <c r="H208" s="5" t="s">
        <v>8</v>
      </c>
      <c r="I208" s="10">
        <v>138000</v>
      </c>
      <c r="J208" s="12"/>
      <c r="K208" s="5" t="s">
        <v>33</v>
      </c>
      <c r="L208" s="5" t="s">
        <v>34</v>
      </c>
      <c r="M208" s="6">
        <v>45809</v>
      </c>
      <c r="N208" s="6"/>
      <c r="O208" s="6"/>
      <c r="P208" s="5" t="s">
        <v>255</v>
      </c>
      <c r="Q208" s="5" t="s">
        <v>36</v>
      </c>
      <c r="R208" s="8" t="s">
        <v>37</v>
      </c>
      <c r="S208" s="5">
        <v>40</v>
      </c>
      <c r="T208" s="5" t="s">
        <v>38</v>
      </c>
      <c r="U208" s="8" t="str">
        <f t="shared" si="6"/>
        <v/>
      </c>
      <c r="V208" s="8" t="str">
        <f t="shared" si="7"/>
        <v/>
      </c>
      <c r="W208" s="8" t="str">
        <f>_xlfn.XLOOKUP(X208,ShiftCodes[Code],ShiftCodes[Work Schedule],"Unknown code")</f>
        <v>Standard (Mon–Fri 9:00–17:30)</v>
      </c>
      <c r="X208" s="9" t="s">
        <v>39</v>
      </c>
      <c r="Y208" s="5"/>
    </row>
    <row r="209" spans="1:25" ht="16" x14ac:dyDescent="0.2">
      <c r="A209" s="5" t="s">
        <v>333</v>
      </c>
      <c r="B209" s="5" t="s">
        <v>112</v>
      </c>
      <c r="C209" s="5" t="s">
        <v>106</v>
      </c>
      <c r="D209" s="5" t="s">
        <v>42</v>
      </c>
      <c r="E209" s="5" t="s">
        <v>29</v>
      </c>
      <c r="F209" s="5" t="s">
        <v>163</v>
      </c>
      <c r="G209" s="5" t="s">
        <v>31</v>
      </c>
      <c r="H209" s="5" t="s">
        <v>8</v>
      </c>
      <c r="I209" s="10">
        <v>152000</v>
      </c>
      <c r="J209" s="12"/>
      <c r="K209" s="5" t="s">
        <v>33</v>
      </c>
      <c r="L209" s="5" t="s">
        <v>34</v>
      </c>
      <c r="M209" s="6">
        <v>45811</v>
      </c>
      <c r="N209" s="6"/>
      <c r="O209" s="6"/>
      <c r="P209" s="5" t="s">
        <v>187</v>
      </c>
      <c r="Q209" s="5" t="s">
        <v>36</v>
      </c>
      <c r="R209" s="8" t="s">
        <v>37</v>
      </c>
      <c r="S209" s="5">
        <v>40</v>
      </c>
      <c r="T209" s="5" t="s">
        <v>38</v>
      </c>
      <c r="U209" s="8" t="str">
        <f t="shared" si="6"/>
        <v/>
      </c>
      <c r="V209" s="8" t="str">
        <f t="shared" si="7"/>
        <v/>
      </c>
      <c r="W209" s="8" t="str">
        <f>_xlfn.XLOOKUP(X209,ShiftCodes[Code],ShiftCodes[Work Schedule],"Unknown code")</f>
        <v>Standard (Mon–Fri 9:00–17:30)</v>
      </c>
      <c r="X209" s="9" t="s">
        <v>39</v>
      </c>
      <c r="Y209" s="5"/>
    </row>
    <row r="210" spans="1:25" ht="16" x14ac:dyDescent="0.2">
      <c r="A210" s="5" t="s">
        <v>334</v>
      </c>
      <c r="B210" s="5" t="s">
        <v>112</v>
      </c>
      <c r="C210" s="5" t="s">
        <v>224</v>
      </c>
      <c r="D210" s="5" t="s">
        <v>225</v>
      </c>
      <c r="E210" s="5" t="s">
        <v>70</v>
      </c>
      <c r="F210" s="5" t="s">
        <v>163</v>
      </c>
      <c r="G210" s="5" t="s">
        <v>31</v>
      </c>
      <c r="H210" s="5" t="s">
        <v>8</v>
      </c>
      <c r="I210" s="15">
        <v>3800000</v>
      </c>
      <c r="J210" s="16"/>
      <c r="K210" s="5" t="s">
        <v>72</v>
      </c>
      <c r="L210" s="5" t="s">
        <v>73</v>
      </c>
      <c r="M210" s="6">
        <v>45818</v>
      </c>
      <c r="N210" s="6"/>
      <c r="O210" s="6"/>
      <c r="P210" s="5" t="s">
        <v>223</v>
      </c>
      <c r="Q210" s="5" t="s">
        <v>36</v>
      </c>
      <c r="R210" s="8" t="s">
        <v>37</v>
      </c>
      <c r="S210" s="5">
        <v>40</v>
      </c>
      <c r="T210" s="5" t="s">
        <v>38</v>
      </c>
      <c r="U210" s="8" t="str">
        <f t="shared" si="6"/>
        <v/>
      </c>
      <c r="V210" s="8" t="str">
        <f t="shared" si="7"/>
        <v/>
      </c>
      <c r="W210" s="8" t="str">
        <f>_xlfn.XLOOKUP(X210,ShiftCodes[Code],ShiftCodes[Work Schedule],"Unknown code")</f>
        <v>Standard (Mon–Fri 9:00–17:30)</v>
      </c>
      <c r="X210" s="9" t="s">
        <v>39</v>
      </c>
      <c r="Y210" s="5"/>
    </row>
    <row r="211" spans="1:25" ht="16" x14ac:dyDescent="0.2">
      <c r="A211" s="5" t="s">
        <v>335</v>
      </c>
      <c r="B211" s="5" t="s">
        <v>103</v>
      </c>
      <c r="C211" s="5" t="s">
        <v>41</v>
      </c>
      <c r="D211" s="5" t="s">
        <v>28</v>
      </c>
      <c r="E211" s="5" t="s">
        <v>29</v>
      </c>
      <c r="F211" s="5" t="s">
        <v>165</v>
      </c>
      <c r="G211" s="5" t="s">
        <v>31</v>
      </c>
      <c r="H211" s="5" t="s">
        <v>8</v>
      </c>
      <c r="I211" s="10">
        <v>188000</v>
      </c>
      <c r="J211" s="12"/>
      <c r="K211" s="5" t="s">
        <v>33</v>
      </c>
      <c r="L211" s="5" t="s">
        <v>34</v>
      </c>
      <c r="M211" s="6">
        <v>45830</v>
      </c>
      <c r="N211" s="6"/>
      <c r="O211" s="6"/>
      <c r="P211" s="5" t="s">
        <v>181</v>
      </c>
      <c r="Q211" s="5" t="s">
        <v>36</v>
      </c>
      <c r="R211" s="8" t="s">
        <v>37</v>
      </c>
      <c r="S211" s="5">
        <v>40</v>
      </c>
      <c r="T211" s="5" t="s">
        <v>38</v>
      </c>
      <c r="U211" s="8" t="str">
        <f t="shared" si="6"/>
        <v/>
      </c>
      <c r="V211" s="8" t="str">
        <f t="shared" si="7"/>
        <v/>
      </c>
      <c r="W211" s="8" t="str">
        <f>_xlfn.XLOOKUP(X211,ShiftCodes[Code],ShiftCodes[Work Schedule],"Unknown code")</f>
        <v>Standard (Mon–Fri 9:00–17:30)</v>
      </c>
      <c r="X211" s="9" t="s">
        <v>39</v>
      </c>
      <c r="Y211" s="5"/>
    </row>
    <row r="212" spans="1:25" ht="16" x14ac:dyDescent="0.2">
      <c r="A212" s="5" t="s">
        <v>336</v>
      </c>
      <c r="B212" s="5" t="s">
        <v>99</v>
      </c>
      <c r="C212" s="5" t="s">
        <v>68</v>
      </c>
      <c r="D212" s="5" t="s">
        <v>69</v>
      </c>
      <c r="E212" s="5" t="s">
        <v>70</v>
      </c>
      <c r="F212" s="5" t="s">
        <v>165</v>
      </c>
      <c r="G212" s="5" t="s">
        <v>31</v>
      </c>
      <c r="H212" s="5" t="s">
        <v>8</v>
      </c>
      <c r="I212" s="15">
        <v>5360000</v>
      </c>
      <c r="J212" s="16"/>
      <c r="K212" s="5" t="s">
        <v>72</v>
      </c>
      <c r="L212" s="5" t="s">
        <v>73</v>
      </c>
      <c r="M212" s="6">
        <v>45833</v>
      </c>
      <c r="N212" s="6"/>
      <c r="O212" s="6">
        <v>46200</v>
      </c>
      <c r="P212" s="5" t="s">
        <v>171</v>
      </c>
      <c r="Q212" s="5" t="s">
        <v>287</v>
      </c>
      <c r="R212" s="8" t="s">
        <v>37</v>
      </c>
      <c r="S212" s="5">
        <v>40</v>
      </c>
      <c r="T212" s="5" t="s">
        <v>38</v>
      </c>
      <c r="U212" s="8" t="str">
        <f t="shared" si="6"/>
        <v/>
      </c>
      <c r="V212" s="8" t="str">
        <f t="shared" si="7"/>
        <v/>
      </c>
      <c r="W212" s="8" t="str">
        <f>_xlfn.XLOOKUP(X212,ShiftCodes[Code],ShiftCodes[Work Schedule],"Unknown code")</f>
        <v>Standard (Mon–Fri 9:00–17:30)</v>
      </c>
      <c r="X212" s="9" t="s">
        <v>39</v>
      </c>
      <c r="Y212" s="5"/>
    </row>
    <row r="213" spans="1:25" ht="16" x14ac:dyDescent="0.2">
      <c r="A213" s="5" t="s">
        <v>337</v>
      </c>
      <c r="B213" s="5" t="s">
        <v>109</v>
      </c>
      <c r="C213" s="5" t="s">
        <v>76</v>
      </c>
      <c r="D213" s="5" t="s">
        <v>28</v>
      </c>
      <c r="E213" s="5" t="s">
        <v>29</v>
      </c>
      <c r="F213" s="5" t="s">
        <v>121</v>
      </c>
      <c r="G213" s="5" t="s">
        <v>78</v>
      </c>
      <c r="H213" s="5" t="s">
        <v>79</v>
      </c>
      <c r="I213" s="10"/>
      <c r="J213" s="12">
        <v>35.75</v>
      </c>
      <c r="K213" s="5" t="s">
        <v>33</v>
      </c>
      <c r="L213" s="5" t="s">
        <v>80</v>
      </c>
      <c r="M213" s="6">
        <v>45838</v>
      </c>
      <c r="N213" s="6"/>
      <c r="O213" s="6">
        <v>46187</v>
      </c>
      <c r="P213" s="5" t="s">
        <v>161</v>
      </c>
      <c r="Q213" s="5" t="s">
        <v>287</v>
      </c>
      <c r="R213" s="8" t="s">
        <v>37</v>
      </c>
      <c r="S213" s="5">
        <v>36</v>
      </c>
      <c r="T213" s="5" t="s">
        <v>38</v>
      </c>
      <c r="U213" s="8" t="str">
        <f t="shared" si="6"/>
        <v>US Non-Exempt EEs</v>
      </c>
      <c r="V213" s="8" t="str">
        <f t="shared" si="7"/>
        <v>US California Non-Exempt</v>
      </c>
      <c r="W213" s="8" t="str">
        <f>_xlfn.XLOOKUP(X213,ShiftCodes[Code],ShiftCodes[Work Schedule],"Unknown code")</f>
        <v>Shift D – Weekend (Fri–Sun 06:00–18:30)</v>
      </c>
      <c r="X213" s="9" t="s">
        <v>151</v>
      </c>
      <c r="Y213" s="5"/>
    </row>
    <row r="214" spans="1:25" ht="16" x14ac:dyDescent="0.2">
      <c r="A214" s="5" t="s">
        <v>338</v>
      </c>
      <c r="B214" s="5" t="s">
        <v>109</v>
      </c>
      <c r="C214" s="5" t="s">
        <v>113</v>
      </c>
      <c r="D214" s="5" t="s">
        <v>84</v>
      </c>
      <c r="E214" s="5" t="s">
        <v>29</v>
      </c>
      <c r="F214" s="5" t="s">
        <v>130</v>
      </c>
      <c r="G214" s="5" t="s">
        <v>78</v>
      </c>
      <c r="H214" s="5" t="s">
        <v>79</v>
      </c>
      <c r="I214" s="10"/>
      <c r="J214" s="12">
        <v>29</v>
      </c>
      <c r="K214" s="5" t="s">
        <v>33</v>
      </c>
      <c r="L214" s="5" t="s">
        <v>80</v>
      </c>
      <c r="M214" s="6">
        <v>45842</v>
      </c>
      <c r="N214" s="6"/>
      <c r="O214" s="6"/>
      <c r="P214" s="5" t="s">
        <v>118</v>
      </c>
      <c r="Q214" s="5" t="s">
        <v>36</v>
      </c>
      <c r="R214" s="8" t="s">
        <v>37</v>
      </c>
      <c r="S214" s="5">
        <v>40</v>
      </c>
      <c r="T214" s="5" t="s">
        <v>38</v>
      </c>
      <c r="U214" s="8" t="str">
        <f t="shared" si="6"/>
        <v>US Non-Exempt EEs</v>
      </c>
      <c r="V214" s="8" t="str">
        <f t="shared" si="7"/>
        <v>US Non-California Non-Exempt</v>
      </c>
      <c r="W214" s="8" t="str">
        <f>_xlfn.XLOOKUP(X214,ShiftCodes[Code],ShiftCodes[Work Schedule],"Unknown code")</f>
        <v>Shift B – Swing (Mon–Fri 14:00–22:30)</v>
      </c>
      <c r="X214" s="9" t="s">
        <v>85</v>
      </c>
      <c r="Y214" s="5"/>
    </row>
    <row r="215" spans="1:25" ht="16" x14ac:dyDescent="0.2">
      <c r="A215" s="5" t="s">
        <v>339</v>
      </c>
      <c r="B215" s="5" t="s">
        <v>99</v>
      </c>
      <c r="C215" s="5" t="s">
        <v>41</v>
      </c>
      <c r="D215" s="5" t="s">
        <v>185</v>
      </c>
      <c r="E215" s="5" t="s">
        <v>29</v>
      </c>
      <c r="F215" s="5" t="s">
        <v>165</v>
      </c>
      <c r="G215" s="5" t="s">
        <v>31</v>
      </c>
      <c r="H215" s="5" t="s">
        <v>8</v>
      </c>
      <c r="I215" s="10">
        <v>142000</v>
      </c>
      <c r="J215" s="12"/>
      <c r="K215" s="5" t="s">
        <v>33</v>
      </c>
      <c r="L215" s="5" t="s">
        <v>34</v>
      </c>
      <c r="M215" s="6">
        <v>45850</v>
      </c>
      <c r="N215" s="6"/>
      <c r="O215" s="6"/>
      <c r="P215" s="5" t="s">
        <v>159</v>
      </c>
      <c r="Q215" s="5" t="s">
        <v>36</v>
      </c>
      <c r="R215" s="8" t="s">
        <v>37</v>
      </c>
      <c r="S215" s="5">
        <v>40</v>
      </c>
      <c r="T215" s="5" t="s">
        <v>38</v>
      </c>
      <c r="U215" s="8" t="str">
        <f t="shared" si="6"/>
        <v/>
      </c>
      <c r="V215" s="8" t="str">
        <f t="shared" si="7"/>
        <v/>
      </c>
      <c r="W215" s="8" t="str">
        <f>_xlfn.XLOOKUP(X215,ShiftCodes[Code],ShiftCodes[Work Schedule],"Unknown code")</f>
        <v>Standard (Mon–Fri 9:00–17:30)</v>
      </c>
      <c r="X215" s="9" t="s">
        <v>39</v>
      </c>
      <c r="Y215" s="5"/>
    </row>
    <row r="216" spans="1:25" ht="16" x14ac:dyDescent="0.2">
      <c r="A216" s="5" t="s">
        <v>340</v>
      </c>
      <c r="B216" s="5" t="s">
        <v>103</v>
      </c>
      <c r="C216" s="5" t="s">
        <v>100</v>
      </c>
      <c r="D216" s="5" t="s">
        <v>28</v>
      </c>
      <c r="E216" s="5" t="s">
        <v>29</v>
      </c>
      <c r="F216" s="5" t="s">
        <v>124</v>
      </c>
      <c r="G216" s="5" t="s">
        <v>31</v>
      </c>
      <c r="H216" s="5" t="s">
        <v>8</v>
      </c>
      <c r="I216" s="10">
        <v>140000</v>
      </c>
      <c r="J216" s="12"/>
      <c r="K216" s="5" t="s">
        <v>33</v>
      </c>
      <c r="L216" s="5" t="s">
        <v>34</v>
      </c>
      <c r="M216" s="6">
        <v>45853</v>
      </c>
      <c r="N216" s="6"/>
      <c r="O216" s="6"/>
      <c r="P216" s="5" t="s">
        <v>274</v>
      </c>
      <c r="Q216" s="5" t="s">
        <v>36</v>
      </c>
      <c r="R216" s="8" t="s">
        <v>37</v>
      </c>
      <c r="S216" s="5">
        <v>40</v>
      </c>
      <c r="T216" s="5" t="s">
        <v>38</v>
      </c>
      <c r="U216" s="8" t="str">
        <f t="shared" si="6"/>
        <v/>
      </c>
      <c r="V216" s="8" t="str">
        <f t="shared" si="7"/>
        <v/>
      </c>
      <c r="W216" s="8" t="str">
        <f>_xlfn.XLOOKUP(X216,ShiftCodes[Code],ShiftCodes[Work Schedule],"Unknown code")</f>
        <v>Standard (Mon–Fri 9:00–17:30)</v>
      </c>
      <c r="X216" s="9" t="s">
        <v>39</v>
      </c>
      <c r="Y216" s="5"/>
    </row>
    <row r="217" spans="1:25" ht="16" x14ac:dyDescent="0.2">
      <c r="A217" s="5" t="s">
        <v>341</v>
      </c>
      <c r="B217" s="5" t="s">
        <v>99</v>
      </c>
      <c r="C217" s="5" t="s">
        <v>41</v>
      </c>
      <c r="D217" s="5" t="s">
        <v>189</v>
      </c>
      <c r="E217" s="5" t="s">
        <v>29</v>
      </c>
      <c r="F217" s="5" t="s">
        <v>156</v>
      </c>
      <c r="G217" s="5" t="s">
        <v>31</v>
      </c>
      <c r="H217" s="5" t="s">
        <v>8</v>
      </c>
      <c r="I217" s="10">
        <v>207000</v>
      </c>
      <c r="J217" s="12"/>
      <c r="K217" s="5" t="s">
        <v>33</v>
      </c>
      <c r="L217" s="5" t="s">
        <v>34</v>
      </c>
      <c r="M217" s="6">
        <v>45854</v>
      </c>
      <c r="N217" s="6"/>
      <c r="O217" s="6"/>
      <c r="P217" s="5" t="s">
        <v>231</v>
      </c>
      <c r="Q217" s="5" t="s">
        <v>36</v>
      </c>
      <c r="R217" s="8" t="s">
        <v>37</v>
      </c>
      <c r="S217" s="5">
        <v>40</v>
      </c>
      <c r="T217" s="5" t="s">
        <v>38</v>
      </c>
      <c r="U217" s="8" t="str">
        <f t="shared" si="6"/>
        <v/>
      </c>
      <c r="V217" s="8" t="str">
        <f t="shared" si="7"/>
        <v/>
      </c>
      <c r="W217" s="8" t="str">
        <f>_xlfn.XLOOKUP(X217,ShiftCodes[Code],ShiftCodes[Work Schedule],"Unknown code")</f>
        <v>Standard (Mon–Fri 9:00–17:30)</v>
      </c>
      <c r="X217" s="9" t="s">
        <v>39</v>
      </c>
      <c r="Y217" s="5"/>
    </row>
    <row r="218" spans="1:25" ht="16" x14ac:dyDescent="0.2">
      <c r="A218" s="5" t="s">
        <v>342</v>
      </c>
      <c r="B218" s="5" t="s">
        <v>112</v>
      </c>
      <c r="C218" s="5" t="s">
        <v>180</v>
      </c>
      <c r="D218" s="5" t="s">
        <v>52</v>
      </c>
      <c r="E218" s="5" t="s">
        <v>52</v>
      </c>
      <c r="F218" s="5" t="s">
        <v>149</v>
      </c>
      <c r="G218" s="5" t="s">
        <v>31</v>
      </c>
      <c r="H218" s="5" t="s">
        <v>8</v>
      </c>
      <c r="I218" s="10">
        <v>56000</v>
      </c>
      <c r="J218" s="17"/>
      <c r="K218" s="5" t="s">
        <v>55</v>
      </c>
      <c r="L218" s="5" t="s">
        <v>56</v>
      </c>
      <c r="M218" s="6">
        <v>45857</v>
      </c>
      <c r="N218" s="6"/>
      <c r="O218" s="6"/>
      <c r="P218" s="5" t="s">
        <v>179</v>
      </c>
      <c r="Q218" s="5" t="s">
        <v>36</v>
      </c>
      <c r="R218" s="8" t="s">
        <v>37</v>
      </c>
      <c r="S218" s="5">
        <v>37.5</v>
      </c>
      <c r="T218" s="5" t="s">
        <v>38</v>
      </c>
      <c r="U218" s="8" t="str">
        <f t="shared" si="6"/>
        <v/>
      </c>
      <c r="V218" s="8" t="str">
        <f t="shared" si="7"/>
        <v/>
      </c>
      <c r="W218" s="8" t="str">
        <f>_xlfn.XLOOKUP(X218,ShiftCodes[Code],ShiftCodes[Work Schedule],"Unknown code")</f>
        <v>Standard (Mon–Fri 9:00–17:30)</v>
      </c>
      <c r="X218" s="9" t="s">
        <v>39</v>
      </c>
      <c r="Y218" s="5"/>
    </row>
    <row r="219" spans="1:25" ht="16" x14ac:dyDescent="0.2">
      <c r="A219" s="5" t="s">
        <v>343</v>
      </c>
      <c r="B219" s="5" t="s">
        <v>112</v>
      </c>
      <c r="C219" s="5" t="s">
        <v>100</v>
      </c>
      <c r="D219" s="5" t="s">
        <v>28</v>
      </c>
      <c r="E219" s="5" t="s">
        <v>29</v>
      </c>
      <c r="F219" s="5" t="s">
        <v>165</v>
      </c>
      <c r="G219" s="5" t="s">
        <v>31</v>
      </c>
      <c r="H219" s="5" t="s">
        <v>8</v>
      </c>
      <c r="I219" s="10">
        <v>184000</v>
      </c>
      <c r="J219" s="12"/>
      <c r="K219" s="5" t="s">
        <v>33</v>
      </c>
      <c r="L219" s="5" t="s">
        <v>34</v>
      </c>
      <c r="M219" s="6">
        <v>45857</v>
      </c>
      <c r="N219" s="6"/>
      <c r="O219" s="6"/>
      <c r="P219" s="5" t="s">
        <v>204</v>
      </c>
      <c r="Q219" s="5" t="s">
        <v>36</v>
      </c>
      <c r="R219" s="8" t="s">
        <v>37</v>
      </c>
      <c r="S219" s="5">
        <v>40</v>
      </c>
      <c r="T219" s="5" t="s">
        <v>38</v>
      </c>
      <c r="U219" s="8" t="str">
        <f t="shared" si="6"/>
        <v/>
      </c>
      <c r="V219" s="8" t="str">
        <f t="shared" si="7"/>
        <v/>
      </c>
      <c r="W219" s="8" t="str">
        <f>_xlfn.XLOOKUP(X219,ShiftCodes[Code],ShiftCodes[Work Schedule],"Unknown code")</f>
        <v>Standard (Mon–Fri 9:00–17:30)</v>
      </c>
      <c r="X219" s="9" t="s">
        <v>39</v>
      </c>
      <c r="Y219" s="5"/>
    </row>
    <row r="220" spans="1:25" ht="16" x14ac:dyDescent="0.2">
      <c r="A220" s="5" t="s">
        <v>344</v>
      </c>
      <c r="B220" s="5" t="s">
        <v>99</v>
      </c>
      <c r="C220" s="5" t="s">
        <v>127</v>
      </c>
      <c r="D220" s="5" t="s">
        <v>90</v>
      </c>
      <c r="E220" s="5" t="s">
        <v>29</v>
      </c>
      <c r="F220" s="5" t="s">
        <v>124</v>
      </c>
      <c r="G220" s="5" t="s">
        <v>31</v>
      </c>
      <c r="H220" s="5" t="s">
        <v>8</v>
      </c>
      <c r="I220" s="10">
        <v>112000</v>
      </c>
      <c r="J220" s="12"/>
      <c r="K220" s="5" t="s">
        <v>33</v>
      </c>
      <c r="L220" s="5" t="s">
        <v>34</v>
      </c>
      <c r="M220" s="6">
        <v>45867</v>
      </c>
      <c r="N220" s="6"/>
      <c r="O220" s="6"/>
      <c r="P220" s="5" t="s">
        <v>231</v>
      </c>
      <c r="Q220" s="5" t="s">
        <v>36</v>
      </c>
      <c r="R220" s="8" t="s">
        <v>37</v>
      </c>
      <c r="S220" s="5">
        <v>40</v>
      </c>
      <c r="T220" s="5" t="s">
        <v>38</v>
      </c>
      <c r="U220" s="8" t="str">
        <f t="shared" si="6"/>
        <v/>
      </c>
      <c r="V220" s="8" t="str">
        <f t="shared" si="7"/>
        <v/>
      </c>
      <c r="W220" s="8" t="str">
        <f>_xlfn.XLOOKUP(X220,ShiftCodes[Code],ShiftCodes[Work Schedule],"Unknown code")</f>
        <v>Standard (Mon–Fri 9:00–17:30)</v>
      </c>
      <c r="X220" s="9" t="s">
        <v>39</v>
      </c>
      <c r="Y220" s="5"/>
    </row>
    <row r="221" spans="1:25" ht="16" x14ac:dyDescent="0.2">
      <c r="A221" s="5" t="s">
        <v>345</v>
      </c>
      <c r="B221" s="5" t="s">
        <v>112</v>
      </c>
      <c r="C221" s="5" t="s">
        <v>106</v>
      </c>
      <c r="D221" s="5" t="s">
        <v>42</v>
      </c>
      <c r="E221" s="5" t="s">
        <v>29</v>
      </c>
      <c r="F221" s="5" t="s">
        <v>124</v>
      </c>
      <c r="G221" s="5" t="s">
        <v>31</v>
      </c>
      <c r="H221" s="5" t="s">
        <v>8</v>
      </c>
      <c r="I221" s="10">
        <v>127000</v>
      </c>
      <c r="J221" s="12"/>
      <c r="K221" s="5" t="s">
        <v>33</v>
      </c>
      <c r="L221" s="5" t="s">
        <v>34</v>
      </c>
      <c r="M221" s="6">
        <v>45874</v>
      </c>
      <c r="N221" s="6"/>
      <c r="O221" s="6"/>
      <c r="P221" s="5" t="s">
        <v>182</v>
      </c>
      <c r="Q221" s="5" t="s">
        <v>36</v>
      </c>
      <c r="R221" s="8" t="s">
        <v>37</v>
      </c>
      <c r="S221" s="5">
        <v>40</v>
      </c>
      <c r="T221" s="5" t="s">
        <v>38</v>
      </c>
      <c r="U221" s="8" t="str">
        <f t="shared" si="6"/>
        <v/>
      </c>
      <c r="V221" s="8" t="str">
        <f t="shared" si="7"/>
        <v/>
      </c>
      <c r="W221" s="8" t="str">
        <f>_xlfn.XLOOKUP(X221,ShiftCodes[Code],ShiftCodes[Work Schedule],"Unknown code")</f>
        <v>Standard (Mon–Fri 9:00–17:30)</v>
      </c>
      <c r="X221" s="9" t="s">
        <v>39</v>
      </c>
      <c r="Y221" s="5"/>
    </row>
    <row r="222" spans="1:25" ht="16" x14ac:dyDescent="0.2">
      <c r="A222" s="5" t="s">
        <v>346</v>
      </c>
      <c r="B222" s="5" t="s">
        <v>103</v>
      </c>
      <c r="C222" s="5" t="s">
        <v>106</v>
      </c>
      <c r="D222" s="5" t="s">
        <v>42</v>
      </c>
      <c r="E222" s="5" t="s">
        <v>29</v>
      </c>
      <c r="F222" s="5" t="s">
        <v>124</v>
      </c>
      <c r="G222" s="5" t="s">
        <v>31</v>
      </c>
      <c r="H222" s="5" t="s">
        <v>8</v>
      </c>
      <c r="I222" s="10">
        <v>131000</v>
      </c>
      <c r="J222" s="12"/>
      <c r="K222" s="5" t="s">
        <v>33</v>
      </c>
      <c r="L222" s="5" t="s">
        <v>34</v>
      </c>
      <c r="M222" s="6">
        <v>45880</v>
      </c>
      <c r="N222" s="6"/>
      <c r="O222" s="6"/>
      <c r="P222" s="5" t="s">
        <v>226</v>
      </c>
      <c r="Q222" s="5" t="s">
        <v>36</v>
      </c>
      <c r="R222" s="8" t="s">
        <v>37</v>
      </c>
      <c r="S222" s="5">
        <v>40</v>
      </c>
      <c r="T222" s="5" t="s">
        <v>38</v>
      </c>
      <c r="U222" s="8" t="str">
        <f t="shared" si="6"/>
        <v/>
      </c>
      <c r="V222" s="8" t="str">
        <f t="shared" si="7"/>
        <v/>
      </c>
      <c r="W222" s="8" t="str">
        <f>_xlfn.XLOOKUP(X222,ShiftCodes[Code],ShiftCodes[Work Schedule],"Unknown code")</f>
        <v>Standard (Mon–Fri 9:00–17:30)</v>
      </c>
      <c r="X222" s="9" t="s">
        <v>39</v>
      </c>
      <c r="Y222" s="5"/>
    </row>
    <row r="223" spans="1:25" ht="16" x14ac:dyDescent="0.2">
      <c r="A223" s="5" t="s">
        <v>347</v>
      </c>
      <c r="B223" s="5" t="s">
        <v>109</v>
      </c>
      <c r="C223" s="5" t="s">
        <v>41</v>
      </c>
      <c r="D223" s="5" t="s">
        <v>189</v>
      </c>
      <c r="E223" s="5" t="s">
        <v>29</v>
      </c>
      <c r="F223" s="5" t="s">
        <v>156</v>
      </c>
      <c r="G223" s="5" t="s">
        <v>31</v>
      </c>
      <c r="H223" s="5" t="s">
        <v>8</v>
      </c>
      <c r="I223" s="10">
        <v>225000</v>
      </c>
      <c r="J223" s="12"/>
      <c r="K223" s="5" t="s">
        <v>33</v>
      </c>
      <c r="L223" s="5" t="s">
        <v>34</v>
      </c>
      <c r="M223" s="6">
        <v>45881</v>
      </c>
      <c r="N223" s="6"/>
      <c r="O223" s="6"/>
      <c r="P223" s="5" t="s">
        <v>213</v>
      </c>
      <c r="Q223" s="5" t="s">
        <v>36</v>
      </c>
      <c r="R223" s="8" t="s">
        <v>37</v>
      </c>
      <c r="S223" s="5">
        <v>40</v>
      </c>
      <c r="T223" s="5" t="s">
        <v>38</v>
      </c>
      <c r="U223" s="8" t="str">
        <f t="shared" si="6"/>
        <v/>
      </c>
      <c r="V223" s="8" t="str">
        <f t="shared" si="7"/>
        <v/>
      </c>
      <c r="W223" s="8" t="str">
        <f>_xlfn.XLOOKUP(X223,ShiftCodes[Code],ShiftCodes[Work Schedule],"Unknown code")</f>
        <v>Standard (Mon–Fri 9:00–17:30)</v>
      </c>
      <c r="X223" s="9" t="s">
        <v>39</v>
      </c>
      <c r="Y223" s="5"/>
    </row>
    <row r="224" spans="1:25" ht="16" x14ac:dyDescent="0.2">
      <c r="A224" s="5" t="s">
        <v>348</v>
      </c>
      <c r="B224" s="5" t="s">
        <v>112</v>
      </c>
      <c r="C224" s="5" t="s">
        <v>100</v>
      </c>
      <c r="D224" s="5" t="s">
        <v>28</v>
      </c>
      <c r="E224" s="5" t="s">
        <v>29</v>
      </c>
      <c r="F224" s="5" t="s">
        <v>165</v>
      </c>
      <c r="G224" s="5" t="s">
        <v>31</v>
      </c>
      <c r="H224" s="5" t="s">
        <v>8</v>
      </c>
      <c r="I224" s="10">
        <v>170000</v>
      </c>
      <c r="J224" s="12"/>
      <c r="K224" s="5" t="s">
        <v>33</v>
      </c>
      <c r="L224" s="5" t="s">
        <v>34</v>
      </c>
      <c r="M224" s="6">
        <v>45890</v>
      </c>
      <c r="N224" s="6"/>
      <c r="O224" s="6"/>
      <c r="P224" s="5" t="s">
        <v>204</v>
      </c>
      <c r="Q224" s="5" t="s">
        <v>36</v>
      </c>
      <c r="R224" s="8" t="s">
        <v>37</v>
      </c>
      <c r="S224" s="5">
        <v>40</v>
      </c>
      <c r="T224" s="5" t="s">
        <v>38</v>
      </c>
      <c r="U224" s="8" t="str">
        <f t="shared" si="6"/>
        <v/>
      </c>
      <c r="V224" s="8" t="str">
        <f t="shared" si="7"/>
        <v/>
      </c>
      <c r="W224" s="8" t="str">
        <f>_xlfn.XLOOKUP(X224,ShiftCodes[Code],ShiftCodes[Work Schedule],"Unknown code")</f>
        <v>Standard (Mon–Fri 9:00–17:30)</v>
      </c>
      <c r="X224" s="9" t="s">
        <v>39</v>
      </c>
      <c r="Y224" s="5"/>
    </row>
    <row r="225" spans="1:25" ht="16" x14ac:dyDescent="0.2">
      <c r="A225" s="5" t="s">
        <v>349</v>
      </c>
      <c r="B225" s="5" t="s">
        <v>109</v>
      </c>
      <c r="C225" s="5" t="s">
        <v>76</v>
      </c>
      <c r="D225" s="5" t="s">
        <v>28</v>
      </c>
      <c r="E225" s="5" t="s">
        <v>29</v>
      </c>
      <c r="F225" s="5" t="s">
        <v>130</v>
      </c>
      <c r="G225" s="5" t="s">
        <v>78</v>
      </c>
      <c r="H225" s="5" t="s">
        <v>79</v>
      </c>
      <c r="I225" s="10"/>
      <c r="J225" s="12">
        <v>32</v>
      </c>
      <c r="K225" s="5" t="s">
        <v>33</v>
      </c>
      <c r="L225" s="5" t="s">
        <v>80</v>
      </c>
      <c r="M225" s="6">
        <v>45892</v>
      </c>
      <c r="N225" s="6"/>
      <c r="O225" s="6"/>
      <c r="P225" s="5" t="s">
        <v>161</v>
      </c>
      <c r="Q225" s="5" t="s">
        <v>36</v>
      </c>
      <c r="R225" s="8" t="s">
        <v>37</v>
      </c>
      <c r="S225" s="5">
        <v>36</v>
      </c>
      <c r="T225" s="5" t="s">
        <v>38</v>
      </c>
      <c r="U225" s="8" t="str">
        <f t="shared" si="6"/>
        <v>US Non-Exempt EEs</v>
      </c>
      <c r="V225" s="8" t="str">
        <f t="shared" si="7"/>
        <v>US California Non-Exempt</v>
      </c>
      <c r="W225" s="8" t="str">
        <f>_xlfn.XLOOKUP(X225,ShiftCodes[Code],ShiftCodes[Work Schedule],"Unknown code")</f>
        <v>Shift D – Weekend (Fri–Sun 06:00–18:30)</v>
      </c>
      <c r="X225" s="9" t="s">
        <v>151</v>
      </c>
      <c r="Y225" s="5"/>
    </row>
    <row r="226" spans="1:25" ht="16" x14ac:dyDescent="0.2">
      <c r="A226" s="5" t="s">
        <v>350</v>
      </c>
      <c r="B226" s="5" t="s">
        <v>103</v>
      </c>
      <c r="C226" s="5" t="s">
        <v>180</v>
      </c>
      <c r="D226" s="5" t="s">
        <v>52</v>
      </c>
      <c r="E226" s="5" t="s">
        <v>52</v>
      </c>
      <c r="F226" s="5" t="s">
        <v>165</v>
      </c>
      <c r="G226" s="5" t="s">
        <v>31</v>
      </c>
      <c r="H226" s="5" t="s">
        <v>8</v>
      </c>
      <c r="I226" s="10">
        <v>106000</v>
      </c>
      <c r="J226" s="17"/>
      <c r="K226" s="5" t="s">
        <v>55</v>
      </c>
      <c r="L226" s="5" t="s">
        <v>56</v>
      </c>
      <c r="M226" s="6">
        <v>45897</v>
      </c>
      <c r="N226" s="6"/>
      <c r="O226" s="6"/>
      <c r="P226" s="5" t="s">
        <v>218</v>
      </c>
      <c r="Q226" s="5" t="s">
        <v>36</v>
      </c>
      <c r="R226" s="8" t="s">
        <v>37</v>
      </c>
      <c r="S226" s="5">
        <v>37.5</v>
      </c>
      <c r="T226" s="5" t="s">
        <v>38</v>
      </c>
      <c r="U226" s="8" t="str">
        <f t="shared" si="6"/>
        <v/>
      </c>
      <c r="V226" s="8" t="str">
        <f t="shared" si="7"/>
        <v/>
      </c>
      <c r="W226" s="8" t="str">
        <f>_xlfn.XLOOKUP(X226,ShiftCodes[Code],ShiftCodes[Work Schedule],"Unknown code")</f>
        <v>Standard (Mon–Fri 9:00–17:30)</v>
      </c>
      <c r="X226" s="9" t="s">
        <v>39</v>
      </c>
      <c r="Y226" s="5"/>
    </row>
    <row r="227" spans="1:25" ht="16" x14ac:dyDescent="0.2">
      <c r="A227" s="5" t="s">
        <v>351</v>
      </c>
      <c r="B227" s="5" t="s">
        <v>109</v>
      </c>
      <c r="C227" s="5" t="s">
        <v>76</v>
      </c>
      <c r="D227" s="5" t="s">
        <v>28</v>
      </c>
      <c r="E227" s="5" t="s">
        <v>29</v>
      </c>
      <c r="F227" s="5" t="s">
        <v>121</v>
      </c>
      <c r="G227" s="5" t="s">
        <v>78</v>
      </c>
      <c r="H227" s="5" t="s">
        <v>79</v>
      </c>
      <c r="I227" s="10"/>
      <c r="J227" s="12">
        <v>38.25</v>
      </c>
      <c r="K227" s="5" t="s">
        <v>33</v>
      </c>
      <c r="L227" s="5" t="s">
        <v>80</v>
      </c>
      <c r="M227" s="6">
        <v>45901</v>
      </c>
      <c r="N227" s="6"/>
      <c r="O227" s="6"/>
      <c r="P227" s="5" t="s">
        <v>161</v>
      </c>
      <c r="Q227" s="5" t="s">
        <v>36</v>
      </c>
      <c r="R227" s="8" t="s">
        <v>37</v>
      </c>
      <c r="S227" s="5">
        <v>40</v>
      </c>
      <c r="T227" s="5" t="s">
        <v>38</v>
      </c>
      <c r="U227" s="8" t="str">
        <f t="shared" si="6"/>
        <v>US Non-Exempt EEs</v>
      </c>
      <c r="V227" s="8" t="str">
        <f t="shared" si="7"/>
        <v>US California Non-Exempt</v>
      </c>
      <c r="W227" s="8" t="str">
        <f>_xlfn.XLOOKUP(X227,ShiftCodes[Code],ShiftCodes[Work Schedule],"Unknown code")</f>
        <v>Shift A – Day (Mon–Fri 06:00–14:30)</v>
      </c>
      <c r="X227" s="9" t="s">
        <v>81</v>
      </c>
      <c r="Y227" s="5"/>
    </row>
    <row r="228" spans="1:25" ht="16" x14ac:dyDescent="0.2">
      <c r="A228" s="5" t="s">
        <v>352</v>
      </c>
      <c r="B228" s="5" t="s">
        <v>103</v>
      </c>
      <c r="C228" s="5" t="s">
        <v>100</v>
      </c>
      <c r="D228" s="5" t="s">
        <v>28</v>
      </c>
      <c r="E228" s="5" t="s">
        <v>29</v>
      </c>
      <c r="F228" s="5" t="s">
        <v>163</v>
      </c>
      <c r="G228" s="5" t="s">
        <v>31</v>
      </c>
      <c r="H228" s="5" t="s">
        <v>8</v>
      </c>
      <c r="I228" s="10">
        <v>166000</v>
      </c>
      <c r="J228" s="12"/>
      <c r="K228" s="5" t="s">
        <v>33</v>
      </c>
      <c r="L228" s="5" t="s">
        <v>34</v>
      </c>
      <c r="M228" s="6">
        <v>45903</v>
      </c>
      <c r="N228" s="6"/>
      <c r="O228" s="6"/>
      <c r="P228" s="5" t="s">
        <v>255</v>
      </c>
      <c r="Q228" s="5" t="s">
        <v>36</v>
      </c>
      <c r="R228" s="8" t="s">
        <v>37</v>
      </c>
      <c r="S228" s="5">
        <v>40</v>
      </c>
      <c r="T228" s="5" t="s">
        <v>38</v>
      </c>
      <c r="U228" s="8" t="str">
        <f t="shared" si="6"/>
        <v/>
      </c>
      <c r="V228" s="8" t="str">
        <f t="shared" si="7"/>
        <v/>
      </c>
      <c r="W228" s="8" t="str">
        <f>_xlfn.XLOOKUP(X228,ShiftCodes[Code],ShiftCodes[Work Schedule],"Unknown code")</f>
        <v>Standard (Mon–Fri 9:00–17:30)</v>
      </c>
      <c r="X228" s="9" t="s">
        <v>39</v>
      </c>
      <c r="Y228" s="5"/>
    </row>
    <row r="229" spans="1:25" ht="16" x14ac:dyDescent="0.2">
      <c r="A229" s="5" t="s">
        <v>353</v>
      </c>
      <c r="B229" s="5" t="s">
        <v>103</v>
      </c>
      <c r="C229" s="5" t="s">
        <v>106</v>
      </c>
      <c r="D229" s="5" t="s">
        <v>42</v>
      </c>
      <c r="E229" s="5" t="s">
        <v>29</v>
      </c>
      <c r="F229" s="5" t="s">
        <v>163</v>
      </c>
      <c r="G229" s="5" t="s">
        <v>31</v>
      </c>
      <c r="H229" s="5" t="s">
        <v>8</v>
      </c>
      <c r="I229" s="10">
        <v>147000</v>
      </c>
      <c r="J229" s="12"/>
      <c r="K229" s="5" t="s">
        <v>33</v>
      </c>
      <c r="L229" s="5" t="s">
        <v>34</v>
      </c>
      <c r="M229" s="6">
        <v>45903</v>
      </c>
      <c r="N229" s="6"/>
      <c r="O229" s="6"/>
      <c r="P229" s="5" t="s">
        <v>145</v>
      </c>
      <c r="Q229" s="5" t="s">
        <v>36</v>
      </c>
      <c r="R229" s="8" t="s">
        <v>37</v>
      </c>
      <c r="S229" s="5">
        <v>40</v>
      </c>
      <c r="T229" s="5" t="s">
        <v>38</v>
      </c>
      <c r="U229" s="8" t="str">
        <f t="shared" si="6"/>
        <v/>
      </c>
      <c r="V229" s="8" t="str">
        <f t="shared" si="7"/>
        <v/>
      </c>
      <c r="W229" s="8" t="str">
        <f>_xlfn.XLOOKUP(X229,ShiftCodes[Code],ShiftCodes[Work Schedule],"Unknown code")</f>
        <v>Standard (Mon–Fri 9:00–17:30)</v>
      </c>
      <c r="X229" s="9" t="s">
        <v>39</v>
      </c>
      <c r="Y229" s="5"/>
    </row>
    <row r="230" spans="1:25" ht="16" x14ac:dyDescent="0.2">
      <c r="A230" s="5" t="s">
        <v>354</v>
      </c>
      <c r="B230" s="5" t="s">
        <v>109</v>
      </c>
      <c r="C230" s="5" t="s">
        <v>76</v>
      </c>
      <c r="D230" s="5" t="s">
        <v>28</v>
      </c>
      <c r="E230" s="5" t="s">
        <v>29</v>
      </c>
      <c r="F230" s="5" t="s">
        <v>121</v>
      </c>
      <c r="G230" s="5" t="s">
        <v>78</v>
      </c>
      <c r="H230" s="5" t="s">
        <v>79</v>
      </c>
      <c r="I230" s="10"/>
      <c r="J230" s="12">
        <v>38.5</v>
      </c>
      <c r="K230" s="5" t="s">
        <v>33</v>
      </c>
      <c r="L230" s="5" t="s">
        <v>80</v>
      </c>
      <c r="M230" s="6">
        <v>45909</v>
      </c>
      <c r="N230" s="6"/>
      <c r="O230" s="6"/>
      <c r="P230" s="5" t="s">
        <v>161</v>
      </c>
      <c r="Q230" s="5" t="s">
        <v>36</v>
      </c>
      <c r="R230" s="8" t="s">
        <v>37</v>
      </c>
      <c r="S230" s="5">
        <v>40</v>
      </c>
      <c r="T230" s="5" t="s">
        <v>38</v>
      </c>
      <c r="U230" s="8" t="str">
        <f t="shared" si="6"/>
        <v>US Non-Exempt EEs</v>
      </c>
      <c r="V230" s="8" t="str">
        <f t="shared" si="7"/>
        <v>US California Non-Exempt</v>
      </c>
      <c r="W230" s="8" t="str">
        <f>_xlfn.XLOOKUP(X230,ShiftCodes[Code],ShiftCodes[Work Schedule],"Unknown code")</f>
        <v>Shift B – Swing (Mon–Fri 14:00–22:30)</v>
      </c>
      <c r="X230" s="9" t="s">
        <v>85</v>
      </c>
      <c r="Y230" s="5"/>
    </row>
    <row r="231" spans="1:25" ht="16" x14ac:dyDescent="0.2">
      <c r="A231" s="5" t="s">
        <v>355</v>
      </c>
      <c r="B231" s="5" t="s">
        <v>103</v>
      </c>
      <c r="C231" s="5" t="s">
        <v>41</v>
      </c>
      <c r="D231" s="5" t="s">
        <v>185</v>
      </c>
      <c r="E231" s="5" t="s">
        <v>29</v>
      </c>
      <c r="F231" s="5" t="s">
        <v>163</v>
      </c>
      <c r="G231" s="5" t="s">
        <v>31</v>
      </c>
      <c r="H231" s="5" t="s">
        <v>8</v>
      </c>
      <c r="I231" s="10">
        <v>155000</v>
      </c>
      <c r="J231" s="12"/>
      <c r="K231" s="5" t="s">
        <v>33</v>
      </c>
      <c r="L231" s="5" t="s">
        <v>34</v>
      </c>
      <c r="M231" s="6">
        <v>45910</v>
      </c>
      <c r="N231" s="6"/>
      <c r="O231" s="6"/>
      <c r="P231" s="5" t="s">
        <v>181</v>
      </c>
      <c r="Q231" s="5" t="s">
        <v>36</v>
      </c>
      <c r="R231" s="8" t="s">
        <v>37</v>
      </c>
      <c r="S231" s="5">
        <v>40</v>
      </c>
      <c r="T231" s="5" t="s">
        <v>38</v>
      </c>
      <c r="U231" s="8" t="str">
        <f t="shared" si="6"/>
        <v/>
      </c>
      <c r="V231" s="8" t="str">
        <f t="shared" si="7"/>
        <v/>
      </c>
      <c r="W231" s="8" t="str">
        <f>_xlfn.XLOOKUP(X231,ShiftCodes[Code],ShiftCodes[Work Schedule],"Unknown code")</f>
        <v>Standard (Mon–Fri 9:00–17:30)</v>
      </c>
      <c r="X231" s="9" t="s">
        <v>39</v>
      </c>
      <c r="Y231" s="5"/>
    </row>
    <row r="232" spans="1:25" ht="16" x14ac:dyDescent="0.2">
      <c r="A232" s="5" t="s">
        <v>356</v>
      </c>
      <c r="B232" s="5" t="s">
        <v>112</v>
      </c>
      <c r="C232" s="5" t="s">
        <v>106</v>
      </c>
      <c r="D232" s="5" t="s">
        <v>42</v>
      </c>
      <c r="E232" s="5" t="s">
        <v>29</v>
      </c>
      <c r="F232" s="5" t="s">
        <v>149</v>
      </c>
      <c r="G232" s="5" t="s">
        <v>31</v>
      </c>
      <c r="H232" s="5" t="s">
        <v>8</v>
      </c>
      <c r="I232" s="10">
        <v>110000</v>
      </c>
      <c r="J232" s="12"/>
      <c r="K232" s="5" t="s">
        <v>33</v>
      </c>
      <c r="L232" s="5" t="s">
        <v>34</v>
      </c>
      <c r="M232" s="6">
        <v>45910</v>
      </c>
      <c r="N232" s="6"/>
      <c r="O232" s="6"/>
      <c r="P232" s="5" t="s">
        <v>182</v>
      </c>
      <c r="Q232" s="5" t="s">
        <v>36</v>
      </c>
      <c r="R232" s="8" t="s">
        <v>37</v>
      </c>
      <c r="S232" s="5">
        <v>40</v>
      </c>
      <c r="T232" s="5" t="s">
        <v>38</v>
      </c>
      <c r="U232" s="8" t="str">
        <f t="shared" si="6"/>
        <v/>
      </c>
      <c r="V232" s="8" t="str">
        <f t="shared" si="7"/>
        <v/>
      </c>
      <c r="W232" s="8" t="str">
        <f>_xlfn.XLOOKUP(X232,ShiftCodes[Code],ShiftCodes[Work Schedule],"Unknown code")</f>
        <v>Standard (Mon–Fri 9:00–17:30)</v>
      </c>
      <c r="X232" s="9" t="s">
        <v>39</v>
      </c>
      <c r="Y232" s="5"/>
    </row>
    <row r="233" spans="1:25" ht="16" x14ac:dyDescent="0.2">
      <c r="A233" s="5" t="s">
        <v>357</v>
      </c>
      <c r="B233" s="5" t="s">
        <v>103</v>
      </c>
      <c r="C233" s="5" t="s">
        <v>100</v>
      </c>
      <c r="D233" s="5" t="s">
        <v>28</v>
      </c>
      <c r="E233" s="5" t="s">
        <v>29</v>
      </c>
      <c r="F233" s="5" t="s">
        <v>163</v>
      </c>
      <c r="G233" s="5" t="s">
        <v>31</v>
      </c>
      <c r="H233" s="5" t="s">
        <v>8</v>
      </c>
      <c r="I233" s="10">
        <v>159000</v>
      </c>
      <c r="J233" s="12"/>
      <c r="K233" s="5" t="s">
        <v>33</v>
      </c>
      <c r="L233" s="5" t="s">
        <v>34</v>
      </c>
      <c r="M233" s="6">
        <v>45911</v>
      </c>
      <c r="N233" s="6"/>
      <c r="O233" s="6"/>
      <c r="P233" s="5" t="s">
        <v>255</v>
      </c>
      <c r="Q233" s="5" t="s">
        <v>36</v>
      </c>
      <c r="R233" s="8" t="s">
        <v>37</v>
      </c>
      <c r="S233" s="5">
        <v>40</v>
      </c>
      <c r="T233" s="5" t="s">
        <v>38</v>
      </c>
      <c r="U233" s="8" t="str">
        <f t="shared" si="6"/>
        <v/>
      </c>
      <c r="V233" s="8" t="str">
        <f t="shared" si="7"/>
        <v/>
      </c>
      <c r="W233" s="8" t="str">
        <f>_xlfn.XLOOKUP(X233,ShiftCodes[Code],ShiftCodes[Work Schedule],"Unknown code")</f>
        <v>Standard (Mon–Fri 9:00–17:30)</v>
      </c>
      <c r="X233" s="9" t="s">
        <v>39</v>
      </c>
      <c r="Y233" s="5"/>
    </row>
    <row r="234" spans="1:25" ht="16" x14ac:dyDescent="0.2">
      <c r="A234" s="5" t="s">
        <v>358</v>
      </c>
      <c r="B234" s="5" t="s">
        <v>109</v>
      </c>
      <c r="C234" s="5" t="s">
        <v>113</v>
      </c>
      <c r="D234" s="5" t="s">
        <v>84</v>
      </c>
      <c r="E234" s="5" t="s">
        <v>29</v>
      </c>
      <c r="F234" s="5" t="s">
        <v>132</v>
      </c>
      <c r="G234" s="5" t="s">
        <v>78</v>
      </c>
      <c r="H234" s="5" t="s">
        <v>79</v>
      </c>
      <c r="I234" s="10"/>
      <c r="J234" s="12">
        <v>39.5</v>
      </c>
      <c r="K234" s="5" t="s">
        <v>33</v>
      </c>
      <c r="L234" s="5" t="s">
        <v>80</v>
      </c>
      <c r="M234" s="6">
        <v>45913</v>
      </c>
      <c r="N234" s="6"/>
      <c r="O234" s="6"/>
      <c r="P234" s="5" t="s">
        <v>118</v>
      </c>
      <c r="Q234" s="5" t="s">
        <v>36</v>
      </c>
      <c r="R234" s="8" t="s">
        <v>37</v>
      </c>
      <c r="S234" s="5">
        <v>40</v>
      </c>
      <c r="T234" s="5" t="s">
        <v>38</v>
      </c>
      <c r="U234" s="8" t="str">
        <f t="shared" si="6"/>
        <v>US Non-Exempt EEs</v>
      </c>
      <c r="V234" s="8" t="str">
        <f t="shared" si="7"/>
        <v>US Non-California Non-Exempt</v>
      </c>
      <c r="W234" s="8" t="str">
        <f>_xlfn.XLOOKUP(X234,ShiftCodes[Code],ShiftCodes[Work Schedule],"Unknown code")</f>
        <v>Shift B – Swing (Mon–Fri 14:00–22:30)</v>
      </c>
      <c r="X234" s="9" t="s">
        <v>85</v>
      </c>
      <c r="Y234" s="5"/>
    </row>
    <row r="235" spans="1:25" ht="16" x14ac:dyDescent="0.2">
      <c r="A235" s="5" t="s">
        <v>359</v>
      </c>
      <c r="B235" s="5" t="s">
        <v>103</v>
      </c>
      <c r="C235" s="5" t="s">
        <v>100</v>
      </c>
      <c r="D235" s="5" t="s">
        <v>28</v>
      </c>
      <c r="E235" s="5" t="s">
        <v>29</v>
      </c>
      <c r="F235" s="5" t="s">
        <v>165</v>
      </c>
      <c r="G235" s="5" t="s">
        <v>31</v>
      </c>
      <c r="H235" s="5" t="s">
        <v>8</v>
      </c>
      <c r="I235" s="10">
        <v>192000</v>
      </c>
      <c r="J235" s="12"/>
      <c r="K235" s="5" t="s">
        <v>33</v>
      </c>
      <c r="L235" s="5" t="s">
        <v>34</v>
      </c>
      <c r="M235" s="6">
        <v>45914</v>
      </c>
      <c r="N235" s="6"/>
      <c r="O235" s="6"/>
      <c r="P235" s="5" t="s">
        <v>175</v>
      </c>
      <c r="Q235" s="5" t="s">
        <v>36</v>
      </c>
      <c r="R235" s="8" t="s">
        <v>37</v>
      </c>
      <c r="S235" s="5">
        <v>40</v>
      </c>
      <c r="T235" s="5" t="s">
        <v>38</v>
      </c>
      <c r="U235" s="8" t="str">
        <f t="shared" si="6"/>
        <v/>
      </c>
      <c r="V235" s="8" t="str">
        <f t="shared" si="7"/>
        <v/>
      </c>
      <c r="W235" s="8" t="str">
        <f>_xlfn.XLOOKUP(X235,ShiftCodes[Code],ShiftCodes[Work Schedule],"Unknown code")</f>
        <v>Standard (Mon–Fri 9:00–17:30)</v>
      </c>
      <c r="X235" s="9" t="s">
        <v>39</v>
      </c>
      <c r="Y235" s="5"/>
    </row>
    <row r="236" spans="1:25" ht="16" x14ac:dyDescent="0.2">
      <c r="A236" s="5" t="s">
        <v>360</v>
      </c>
      <c r="B236" s="5" t="s">
        <v>103</v>
      </c>
      <c r="C236" s="5" t="s">
        <v>180</v>
      </c>
      <c r="D236" s="5" t="s">
        <v>52</v>
      </c>
      <c r="E236" s="5" t="s">
        <v>52</v>
      </c>
      <c r="F236" s="5" t="s">
        <v>163</v>
      </c>
      <c r="G236" s="5" t="s">
        <v>31</v>
      </c>
      <c r="H236" s="5" t="s">
        <v>8</v>
      </c>
      <c r="I236" s="10">
        <v>89000</v>
      </c>
      <c r="J236" s="17"/>
      <c r="K236" s="5" t="s">
        <v>55</v>
      </c>
      <c r="L236" s="5" t="s">
        <v>56</v>
      </c>
      <c r="M236" s="6">
        <v>45917</v>
      </c>
      <c r="N236" s="6"/>
      <c r="O236" s="6"/>
      <c r="P236" s="5" t="s">
        <v>218</v>
      </c>
      <c r="Q236" s="5" t="s">
        <v>36</v>
      </c>
      <c r="R236" s="8" t="s">
        <v>37</v>
      </c>
      <c r="S236" s="5">
        <v>37.5</v>
      </c>
      <c r="T236" s="5" t="s">
        <v>38</v>
      </c>
      <c r="U236" s="8" t="str">
        <f t="shared" si="6"/>
        <v/>
      </c>
      <c r="V236" s="8" t="str">
        <f t="shared" si="7"/>
        <v/>
      </c>
      <c r="W236" s="8" t="str">
        <f>_xlfn.XLOOKUP(X236,ShiftCodes[Code],ShiftCodes[Work Schedule],"Unknown code")</f>
        <v>Standard (Mon–Fri 9:00–17:30)</v>
      </c>
      <c r="X236" s="9" t="s">
        <v>39</v>
      </c>
      <c r="Y236" s="5"/>
    </row>
    <row r="237" spans="1:25" ht="16" x14ac:dyDescent="0.2">
      <c r="A237" s="5" t="s">
        <v>361</v>
      </c>
      <c r="B237" s="5" t="s">
        <v>112</v>
      </c>
      <c r="C237" s="5" t="s">
        <v>100</v>
      </c>
      <c r="D237" s="5" t="s">
        <v>28</v>
      </c>
      <c r="E237" s="5" t="s">
        <v>29</v>
      </c>
      <c r="F237" s="5" t="s">
        <v>163</v>
      </c>
      <c r="G237" s="5" t="s">
        <v>31</v>
      </c>
      <c r="H237" s="5" t="s">
        <v>8</v>
      </c>
      <c r="I237" s="10">
        <v>171000</v>
      </c>
      <c r="J237" s="12"/>
      <c r="K237" s="5" t="s">
        <v>33</v>
      </c>
      <c r="L237" s="5" t="s">
        <v>34</v>
      </c>
      <c r="M237" s="6">
        <v>45919</v>
      </c>
      <c r="N237" s="6"/>
      <c r="O237" s="6">
        <v>46199</v>
      </c>
      <c r="P237" s="5" t="s">
        <v>208</v>
      </c>
      <c r="Q237" s="5" t="s">
        <v>93</v>
      </c>
      <c r="R237" s="8" t="s">
        <v>37</v>
      </c>
      <c r="S237" s="5">
        <v>40</v>
      </c>
      <c r="T237" s="5" t="s">
        <v>38</v>
      </c>
      <c r="U237" s="8" t="str">
        <f t="shared" si="6"/>
        <v/>
      </c>
      <c r="V237" s="8" t="str">
        <f t="shared" si="7"/>
        <v/>
      </c>
      <c r="W237" s="8" t="str">
        <f>_xlfn.XLOOKUP(X237,ShiftCodes[Code],ShiftCodes[Work Schedule],"Unknown code")</f>
        <v>Standard (Mon–Fri 9:00–17:30)</v>
      </c>
      <c r="X237" s="9" t="s">
        <v>39</v>
      </c>
      <c r="Y237" s="5"/>
    </row>
    <row r="238" spans="1:25" ht="16" x14ac:dyDescent="0.2">
      <c r="A238" s="5" t="s">
        <v>362</v>
      </c>
      <c r="B238" s="5" t="s">
        <v>103</v>
      </c>
      <c r="C238" s="5" t="s">
        <v>100</v>
      </c>
      <c r="D238" s="5" t="s">
        <v>28</v>
      </c>
      <c r="E238" s="5" t="s">
        <v>29</v>
      </c>
      <c r="F238" s="5" t="s">
        <v>165</v>
      </c>
      <c r="G238" s="5" t="s">
        <v>31</v>
      </c>
      <c r="H238" s="5" t="s">
        <v>8</v>
      </c>
      <c r="I238" s="10">
        <v>183000</v>
      </c>
      <c r="J238" s="12"/>
      <c r="K238" s="5" t="s">
        <v>33</v>
      </c>
      <c r="L238" s="5" t="s">
        <v>34</v>
      </c>
      <c r="M238" s="6">
        <v>45920</v>
      </c>
      <c r="N238" s="6"/>
      <c r="O238" s="6"/>
      <c r="P238" s="5" t="s">
        <v>136</v>
      </c>
      <c r="Q238" s="5" t="s">
        <v>36</v>
      </c>
      <c r="R238" s="8" t="s">
        <v>37</v>
      </c>
      <c r="S238" s="5">
        <v>40</v>
      </c>
      <c r="T238" s="5" t="s">
        <v>38</v>
      </c>
      <c r="U238" s="8" t="str">
        <f t="shared" si="6"/>
        <v/>
      </c>
      <c r="V238" s="8" t="str">
        <f t="shared" si="7"/>
        <v/>
      </c>
      <c r="W238" s="8" t="str">
        <f>_xlfn.XLOOKUP(X238,ShiftCodes[Code],ShiftCodes[Work Schedule],"Unknown code")</f>
        <v>Standard (Mon–Fri 9:00–17:30)</v>
      </c>
      <c r="X238" s="9" t="s">
        <v>39</v>
      </c>
      <c r="Y238" s="5"/>
    </row>
    <row r="239" spans="1:25" ht="16" x14ac:dyDescent="0.2">
      <c r="A239" s="5" t="s">
        <v>363</v>
      </c>
      <c r="B239" s="5" t="s">
        <v>109</v>
      </c>
      <c r="C239" s="5" t="s">
        <v>113</v>
      </c>
      <c r="D239" s="5" t="s">
        <v>84</v>
      </c>
      <c r="E239" s="5" t="s">
        <v>29</v>
      </c>
      <c r="F239" s="5" t="s">
        <v>130</v>
      </c>
      <c r="G239" s="5" t="s">
        <v>78</v>
      </c>
      <c r="H239" s="5" t="s">
        <v>79</v>
      </c>
      <c r="I239" s="10"/>
      <c r="J239" s="12">
        <v>27.25</v>
      </c>
      <c r="K239" s="5" t="s">
        <v>33</v>
      </c>
      <c r="L239" s="5" t="s">
        <v>80</v>
      </c>
      <c r="M239" s="6">
        <v>45921</v>
      </c>
      <c r="N239" s="6"/>
      <c r="O239" s="6"/>
      <c r="P239" s="5" t="s">
        <v>202</v>
      </c>
      <c r="Q239" s="5" t="s">
        <v>36</v>
      </c>
      <c r="R239" s="8" t="s">
        <v>37</v>
      </c>
      <c r="S239" s="5">
        <v>40</v>
      </c>
      <c r="T239" s="5" t="s">
        <v>38</v>
      </c>
      <c r="U239" s="8" t="str">
        <f t="shared" si="6"/>
        <v>US Non-Exempt EEs</v>
      </c>
      <c r="V239" s="8" t="str">
        <f t="shared" si="7"/>
        <v>US Non-California Non-Exempt</v>
      </c>
      <c r="W239" s="8" t="str">
        <f>_xlfn.XLOOKUP(X239,ShiftCodes[Code],ShiftCodes[Work Schedule],"Unknown code")</f>
        <v>Shift A – Day (Mon–Fri 06:00–14:30)</v>
      </c>
      <c r="X239" s="9" t="s">
        <v>81</v>
      </c>
      <c r="Y239" s="5"/>
    </row>
    <row r="240" spans="1:25" ht="16" x14ac:dyDescent="0.2">
      <c r="A240" s="5" t="s">
        <v>364</v>
      </c>
      <c r="B240" s="5" t="s">
        <v>103</v>
      </c>
      <c r="C240" s="5" t="s">
        <v>41</v>
      </c>
      <c r="D240" s="5" t="s">
        <v>189</v>
      </c>
      <c r="E240" s="5" t="s">
        <v>29</v>
      </c>
      <c r="F240" s="5" t="s">
        <v>149</v>
      </c>
      <c r="G240" s="5" t="s">
        <v>31</v>
      </c>
      <c r="H240" s="5" t="s">
        <v>8</v>
      </c>
      <c r="I240" s="10">
        <v>104000</v>
      </c>
      <c r="J240" s="12"/>
      <c r="K240" s="5" t="s">
        <v>33</v>
      </c>
      <c r="L240" s="5" t="s">
        <v>34</v>
      </c>
      <c r="M240" s="6">
        <v>45924</v>
      </c>
      <c r="N240" s="6"/>
      <c r="O240" s="6"/>
      <c r="P240" s="5" t="s">
        <v>136</v>
      </c>
      <c r="Q240" s="5" t="s">
        <v>36</v>
      </c>
      <c r="R240" s="8" t="s">
        <v>37</v>
      </c>
      <c r="S240" s="5">
        <v>40</v>
      </c>
      <c r="T240" s="5" t="s">
        <v>38</v>
      </c>
      <c r="U240" s="8" t="str">
        <f t="shared" si="6"/>
        <v/>
      </c>
      <c r="V240" s="8" t="str">
        <f t="shared" si="7"/>
        <v/>
      </c>
      <c r="W240" s="8" t="str">
        <f>_xlfn.XLOOKUP(X240,ShiftCodes[Code],ShiftCodes[Work Schedule],"Unknown code")</f>
        <v>Standard (Mon–Fri 9:00–17:30)</v>
      </c>
      <c r="X240" s="9" t="s">
        <v>39</v>
      </c>
      <c r="Y240" s="5"/>
    </row>
    <row r="241" spans="1:25" ht="16" x14ac:dyDescent="0.2">
      <c r="A241" s="5" t="s">
        <v>365</v>
      </c>
      <c r="B241" s="5" t="s">
        <v>112</v>
      </c>
      <c r="C241" s="5" t="s">
        <v>224</v>
      </c>
      <c r="D241" s="5" t="s">
        <v>225</v>
      </c>
      <c r="E241" s="5" t="s">
        <v>70</v>
      </c>
      <c r="F241" s="5" t="s">
        <v>236</v>
      </c>
      <c r="G241" s="5" t="s">
        <v>31</v>
      </c>
      <c r="H241" s="5" t="s">
        <v>8</v>
      </c>
      <c r="I241" s="15">
        <v>9200000</v>
      </c>
      <c r="J241" s="16"/>
      <c r="K241" s="5" t="s">
        <v>72</v>
      </c>
      <c r="L241" s="5" t="s">
        <v>73</v>
      </c>
      <c r="M241" s="6">
        <v>45924</v>
      </c>
      <c r="N241" s="6"/>
      <c r="O241" s="6"/>
      <c r="P241" s="5" t="s">
        <v>223</v>
      </c>
      <c r="Q241" s="5" t="s">
        <v>36</v>
      </c>
      <c r="R241" s="8" t="s">
        <v>37</v>
      </c>
      <c r="S241" s="5">
        <v>40</v>
      </c>
      <c r="T241" s="5" t="s">
        <v>38</v>
      </c>
      <c r="U241" s="8" t="str">
        <f t="shared" si="6"/>
        <v/>
      </c>
      <c r="V241" s="8" t="str">
        <f t="shared" si="7"/>
        <v/>
      </c>
      <c r="W241" s="8" t="str">
        <f>_xlfn.XLOOKUP(X241,ShiftCodes[Code],ShiftCodes[Work Schedule],"Unknown code")</f>
        <v>Standard (Mon–Fri 9:00–17:30)</v>
      </c>
      <c r="X241" s="9" t="s">
        <v>39</v>
      </c>
      <c r="Y241" s="5"/>
    </row>
    <row r="242" spans="1:25" ht="16" x14ac:dyDescent="0.2">
      <c r="A242" s="5" t="s">
        <v>366</v>
      </c>
      <c r="B242" s="5" t="s">
        <v>112</v>
      </c>
      <c r="C242" s="5" t="s">
        <v>224</v>
      </c>
      <c r="D242" s="5" t="s">
        <v>225</v>
      </c>
      <c r="E242" s="5" t="s">
        <v>70</v>
      </c>
      <c r="F242" s="5" t="s">
        <v>163</v>
      </c>
      <c r="G242" s="5" t="s">
        <v>31</v>
      </c>
      <c r="H242" s="5" t="s">
        <v>8</v>
      </c>
      <c r="I242" s="15">
        <v>3530000</v>
      </c>
      <c r="J242" s="16"/>
      <c r="K242" s="5" t="s">
        <v>72</v>
      </c>
      <c r="L242" s="5" t="s">
        <v>73</v>
      </c>
      <c r="M242" s="6">
        <v>45924</v>
      </c>
      <c r="N242" s="6"/>
      <c r="O242" s="6"/>
      <c r="P242" s="5" t="s">
        <v>223</v>
      </c>
      <c r="Q242" s="5" t="s">
        <v>36</v>
      </c>
      <c r="R242" s="8" t="s">
        <v>37</v>
      </c>
      <c r="S242" s="5">
        <v>40</v>
      </c>
      <c r="T242" s="5" t="s">
        <v>38</v>
      </c>
      <c r="U242" s="8" t="str">
        <f t="shared" si="6"/>
        <v/>
      </c>
      <c r="V242" s="8" t="str">
        <f t="shared" si="7"/>
        <v/>
      </c>
      <c r="W242" s="8" t="str">
        <f>_xlfn.XLOOKUP(X242,ShiftCodes[Code],ShiftCodes[Work Schedule],"Unknown code")</f>
        <v>Standard (Mon–Fri 9:00–17:30)</v>
      </c>
      <c r="X242" s="9" t="s">
        <v>39</v>
      </c>
      <c r="Y242" s="5"/>
    </row>
    <row r="243" spans="1:25" ht="16" x14ac:dyDescent="0.2">
      <c r="A243" s="5" t="s">
        <v>367</v>
      </c>
      <c r="B243" s="5" t="s">
        <v>103</v>
      </c>
      <c r="C243" s="5" t="s">
        <v>100</v>
      </c>
      <c r="D243" s="5" t="s">
        <v>28</v>
      </c>
      <c r="E243" s="5" t="s">
        <v>29</v>
      </c>
      <c r="F243" s="5" t="s">
        <v>149</v>
      </c>
      <c r="G243" s="5" t="s">
        <v>31</v>
      </c>
      <c r="H243" s="5" t="s">
        <v>8</v>
      </c>
      <c r="I243" s="10">
        <v>116000</v>
      </c>
      <c r="J243" s="12"/>
      <c r="K243" s="5" t="s">
        <v>33</v>
      </c>
      <c r="L243" s="5" t="s">
        <v>34</v>
      </c>
      <c r="M243" s="6">
        <v>45927</v>
      </c>
      <c r="N243" s="6"/>
      <c r="O243" s="6"/>
      <c r="P243" s="5" t="s">
        <v>255</v>
      </c>
      <c r="Q243" s="5" t="s">
        <v>36</v>
      </c>
      <c r="R243" s="8" t="s">
        <v>37</v>
      </c>
      <c r="S243" s="5">
        <v>40</v>
      </c>
      <c r="T243" s="5" t="s">
        <v>38</v>
      </c>
      <c r="U243" s="8" t="str">
        <f t="shared" si="6"/>
        <v/>
      </c>
      <c r="V243" s="8" t="str">
        <f t="shared" si="7"/>
        <v/>
      </c>
      <c r="W243" s="8" t="str">
        <f>_xlfn.XLOOKUP(X243,ShiftCodes[Code],ShiftCodes[Work Schedule],"Unknown code")</f>
        <v>Standard (Mon–Fri 9:00–17:30)</v>
      </c>
      <c r="X243" s="9" t="s">
        <v>39</v>
      </c>
      <c r="Y243" s="5"/>
    </row>
    <row r="244" spans="1:25" ht="16" x14ac:dyDescent="0.2">
      <c r="A244" s="5" t="s">
        <v>368</v>
      </c>
      <c r="B244" s="5" t="s">
        <v>112</v>
      </c>
      <c r="C244" s="5" t="s">
        <v>100</v>
      </c>
      <c r="D244" s="5" t="s">
        <v>28</v>
      </c>
      <c r="E244" s="5" t="s">
        <v>29</v>
      </c>
      <c r="F244" s="5" t="s">
        <v>124</v>
      </c>
      <c r="G244" s="5" t="s">
        <v>31</v>
      </c>
      <c r="H244" s="5" t="s">
        <v>8</v>
      </c>
      <c r="I244" s="10">
        <v>130000</v>
      </c>
      <c r="J244" s="12"/>
      <c r="K244" s="5" t="s">
        <v>33</v>
      </c>
      <c r="L244" s="5" t="s">
        <v>34</v>
      </c>
      <c r="M244" s="6">
        <v>45934</v>
      </c>
      <c r="N244" s="6"/>
      <c r="O244" s="6"/>
      <c r="P244" s="5" t="s">
        <v>208</v>
      </c>
      <c r="Q244" s="5" t="s">
        <v>36</v>
      </c>
      <c r="R244" s="8" t="s">
        <v>37</v>
      </c>
      <c r="S244" s="5">
        <v>40</v>
      </c>
      <c r="T244" s="5" t="s">
        <v>38</v>
      </c>
      <c r="U244" s="8" t="str">
        <f t="shared" si="6"/>
        <v/>
      </c>
      <c r="V244" s="8" t="str">
        <f t="shared" si="7"/>
        <v/>
      </c>
      <c r="W244" s="8" t="str">
        <f>_xlfn.XLOOKUP(X244,ShiftCodes[Code],ShiftCodes[Work Schedule],"Unknown code")</f>
        <v>Standard (Mon–Fri 9:00–17:30)</v>
      </c>
      <c r="X244" s="9" t="s">
        <v>39</v>
      </c>
      <c r="Y244" s="5"/>
    </row>
    <row r="245" spans="1:25" ht="16" x14ac:dyDescent="0.2">
      <c r="A245" s="5" t="s">
        <v>369</v>
      </c>
      <c r="B245" s="5" t="s">
        <v>99</v>
      </c>
      <c r="C245" s="5" t="s">
        <v>180</v>
      </c>
      <c r="D245" s="5" t="s">
        <v>52</v>
      </c>
      <c r="E245" s="5" t="s">
        <v>52</v>
      </c>
      <c r="F245" s="5" t="s">
        <v>156</v>
      </c>
      <c r="G245" s="5" t="s">
        <v>31</v>
      </c>
      <c r="H245" s="5" t="s">
        <v>8</v>
      </c>
      <c r="I245" s="10">
        <v>115000</v>
      </c>
      <c r="J245" s="17"/>
      <c r="K245" s="5" t="s">
        <v>55</v>
      </c>
      <c r="L245" s="5" t="s">
        <v>56</v>
      </c>
      <c r="M245" s="6">
        <v>45934</v>
      </c>
      <c r="N245" s="6"/>
      <c r="O245" s="6"/>
      <c r="P245" s="5" t="s">
        <v>191</v>
      </c>
      <c r="Q245" s="5" t="s">
        <v>36</v>
      </c>
      <c r="R245" s="8" t="s">
        <v>37</v>
      </c>
      <c r="S245" s="5">
        <v>37.5</v>
      </c>
      <c r="T245" s="5" t="s">
        <v>38</v>
      </c>
      <c r="U245" s="8" t="str">
        <f t="shared" si="6"/>
        <v/>
      </c>
      <c r="V245" s="8" t="str">
        <f t="shared" si="7"/>
        <v/>
      </c>
      <c r="W245" s="8" t="str">
        <f>_xlfn.XLOOKUP(X245,ShiftCodes[Code],ShiftCodes[Work Schedule],"Unknown code")</f>
        <v>Standard (Mon–Fri 9:00–17:30)</v>
      </c>
      <c r="X245" s="9" t="s">
        <v>39</v>
      </c>
      <c r="Y245" s="5"/>
    </row>
    <row r="246" spans="1:25" ht="16" x14ac:dyDescent="0.2">
      <c r="A246" s="5" t="s">
        <v>370</v>
      </c>
      <c r="B246" s="5" t="s">
        <v>112</v>
      </c>
      <c r="C246" s="5" t="s">
        <v>106</v>
      </c>
      <c r="D246" s="5" t="s">
        <v>42</v>
      </c>
      <c r="E246" s="5" t="s">
        <v>29</v>
      </c>
      <c r="F246" s="5" t="s">
        <v>156</v>
      </c>
      <c r="G246" s="5" t="s">
        <v>31</v>
      </c>
      <c r="H246" s="5" t="s">
        <v>8</v>
      </c>
      <c r="I246" s="10">
        <v>241000</v>
      </c>
      <c r="J246" s="12"/>
      <c r="K246" s="5" t="s">
        <v>33</v>
      </c>
      <c r="L246" s="5" t="s">
        <v>34</v>
      </c>
      <c r="M246" s="6">
        <v>45947</v>
      </c>
      <c r="N246" s="6"/>
      <c r="O246" s="6"/>
      <c r="P246" s="5" t="s">
        <v>187</v>
      </c>
      <c r="Q246" s="5" t="s">
        <v>36</v>
      </c>
      <c r="R246" s="8" t="s">
        <v>37</v>
      </c>
      <c r="S246" s="5">
        <v>40</v>
      </c>
      <c r="T246" s="5" t="s">
        <v>38</v>
      </c>
      <c r="U246" s="8" t="str">
        <f t="shared" si="6"/>
        <v/>
      </c>
      <c r="V246" s="8" t="str">
        <f t="shared" si="7"/>
        <v/>
      </c>
      <c r="W246" s="8" t="str">
        <f>_xlfn.XLOOKUP(X246,ShiftCodes[Code],ShiftCodes[Work Schedule],"Unknown code")</f>
        <v>Standard (Mon–Fri 9:00–17:30)</v>
      </c>
      <c r="X246" s="9" t="s">
        <v>39</v>
      </c>
      <c r="Y246" s="5"/>
    </row>
    <row r="247" spans="1:25" ht="16" x14ac:dyDescent="0.2">
      <c r="A247" s="5" t="s">
        <v>371</v>
      </c>
      <c r="B247" s="5" t="s">
        <v>112</v>
      </c>
      <c r="C247" s="5" t="s">
        <v>106</v>
      </c>
      <c r="D247" s="5" t="s">
        <v>42</v>
      </c>
      <c r="E247" s="5" t="s">
        <v>29</v>
      </c>
      <c r="F247" s="5" t="s">
        <v>156</v>
      </c>
      <c r="G247" s="5" t="s">
        <v>31</v>
      </c>
      <c r="H247" s="5" t="s">
        <v>8</v>
      </c>
      <c r="I247" s="10">
        <v>240000</v>
      </c>
      <c r="J247" s="12"/>
      <c r="K247" s="5" t="s">
        <v>33</v>
      </c>
      <c r="L247" s="5" t="s">
        <v>34</v>
      </c>
      <c r="M247" s="6">
        <v>45950</v>
      </c>
      <c r="N247" s="6"/>
      <c r="O247" s="6"/>
      <c r="P247" s="5" t="s">
        <v>182</v>
      </c>
      <c r="Q247" s="5" t="s">
        <v>36</v>
      </c>
      <c r="R247" s="8" t="s">
        <v>37</v>
      </c>
      <c r="S247" s="5">
        <v>40</v>
      </c>
      <c r="T247" s="5" t="s">
        <v>38</v>
      </c>
      <c r="U247" s="8" t="str">
        <f t="shared" si="6"/>
        <v/>
      </c>
      <c r="V247" s="8" t="str">
        <f t="shared" si="7"/>
        <v/>
      </c>
      <c r="W247" s="8" t="str">
        <f>_xlfn.XLOOKUP(X247,ShiftCodes[Code],ShiftCodes[Work Schedule],"Unknown code")</f>
        <v>Standard (Mon–Fri 9:00–17:30)</v>
      </c>
      <c r="X247" s="9" t="s">
        <v>39</v>
      </c>
      <c r="Y247" s="5"/>
    </row>
    <row r="248" spans="1:25" ht="16" x14ac:dyDescent="0.2">
      <c r="A248" s="5" t="s">
        <v>372</v>
      </c>
      <c r="B248" s="5" t="s">
        <v>112</v>
      </c>
      <c r="C248" s="5" t="s">
        <v>106</v>
      </c>
      <c r="D248" s="5" t="s">
        <v>42</v>
      </c>
      <c r="E248" s="5" t="s">
        <v>29</v>
      </c>
      <c r="F248" s="5" t="s">
        <v>163</v>
      </c>
      <c r="G248" s="5" t="s">
        <v>31</v>
      </c>
      <c r="H248" s="5" t="s">
        <v>8</v>
      </c>
      <c r="I248" s="10">
        <v>151000</v>
      </c>
      <c r="J248" s="12"/>
      <c r="K248" s="5" t="s">
        <v>33</v>
      </c>
      <c r="L248" s="5" t="s">
        <v>34</v>
      </c>
      <c r="M248" s="6">
        <v>45951</v>
      </c>
      <c r="N248" s="6"/>
      <c r="O248" s="6"/>
      <c r="P248" s="5" t="s">
        <v>187</v>
      </c>
      <c r="Q248" s="5" t="s">
        <v>36</v>
      </c>
      <c r="R248" s="8" t="s">
        <v>37</v>
      </c>
      <c r="S248" s="5">
        <v>40</v>
      </c>
      <c r="T248" s="5" t="s">
        <v>38</v>
      </c>
      <c r="U248" s="8" t="str">
        <f t="shared" si="6"/>
        <v/>
      </c>
      <c r="V248" s="8" t="str">
        <f t="shared" si="7"/>
        <v/>
      </c>
      <c r="W248" s="8" t="str">
        <f>_xlfn.XLOOKUP(X248,ShiftCodes[Code],ShiftCodes[Work Schedule],"Unknown code")</f>
        <v>Standard (Mon–Fri 9:00–17:30)</v>
      </c>
      <c r="X248" s="9" t="s">
        <v>39</v>
      </c>
      <c r="Y248" s="5"/>
    </row>
    <row r="249" spans="1:25" ht="16" x14ac:dyDescent="0.2">
      <c r="A249" s="5" t="s">
        <v>373</v>
      </c>
      <c r="B249" s="5" t="s">
        <v>109</v>
      </c>
      <c r="C249" s="5" t="s">
        <v>76</v>
      </c>
      <c r="D249" s="5" t="s">
        <v>28</v>
      </c>
      <c r="E249" s="5" t="s">
        <v>29</v>
      </c>
      <c r="F249" s="5" t="s">
        <v>165</v>
      </c>
      <c r="G249" s="5" t="s">
        <v>31</v>
      </c>
      <c r="H249" s="5" t="s">
        <v>8</v>
      </c>
      <c r="I249" s="10">
        <v>190000</v>
      </c>
      <c r="J249" s="12"/>
      <c r="K249" s="5" t="s">
        <v>33</v>
      </c>
      <c r="L249" s="5" t="s">
        <v>34</v>
      </c>
      <c r="M249" s="6">
        <v>45951</v>
      </c>
      <c r="N249" s="6"/>
      <c r="O249" s="6"/>
      <c r="P249" s="5" t="s">
        <v>200</v>
      </c>
      <c r="Q249" s="5" t="s">
        <v>36</v>
      </c>
      <c r="R249" s="8" t="s">
        <v>37</v>
      </c>
      <c r="S249" s="5">
        <v>40</v>
      </c>
      <c r="T249" s="5" t="s">
        <v>38</v>
      </c>
      <c r="U249" s="8" t="str">
        <f t="shared" si="6"/>
        <v/>
      </c>
      <c r="V249" s="8" t="str">
        <f t="shared" si="7"/>
        <v/>
      </c>
      <c r="W249" s="8" t="str">
        <f>_xlfn.XLOOKUP(X249,ShiftCodes[Code],ShiftCodes[Work Schedule],"Unknown code")</f>
        <v>Standard (Mon–Fri 9:00–17:30)</v>
      </c>
      <c r="X249" s="9" t="s">
        <v>39</v>
      </c>
      <c r="Y249" s="5"/>
    </row>
    <row r="250" spans="1:25" ht="16" x14ac:dyDescent="0.2">
      <c r="A250" s="5" t="s">
        <v>374</v>
      </c>
      <c r="B250" s="5" t="s">
        <v>103</v>
      </c>
      <c r="C250" s="5" t="s">
        <v>106</v>
      </c>
      <c r="D250" s="5" t="s">
        <v>42</v>
      </c>
      <c r="E250" s="5" t="s">
        <v>29</v>
      </c>
      <c r="F250" s="5" t="s">
        <v>156</v>
      </c>
      <c r="G250" s="5" t="s">
        <v>31</v>
      </c>
      <c r="H250" s="5" t="s">
        <v>8</v>
      </c>
      <c r="I250" s="10">
        <v>249000</v>
      </c>
      <c r="J250" s="12"/>
      <c r="K250" s="5" t="s">
        <v>33</v>
      </c>
      <c r="L250" s="5" t="s">
        <v>34</v>
      </c>
      <c r="M250" s="6">
        <v>45953</v>
      </c>
      <c r="N250" s="6"/>
      <c r="O250" s="6"/>
      <c r="P250" s="5" t="s">
        <v>145</v>
      </c>
      <c r="Q250" s="5" t="s">
        <v>36</v>
      </c>
      <c r="R250" s="8" t="s">
        <v>37</v>
      </c>
      <c r="S250" s="5">
        <v>40</v>
      </c>
      <c r="T250" s="5" t="s">
        <v>38</v>
      </c>
      <c r="U250" s="8" t="str">
        <f t="shared" si="6"/>
        <v/>
      </c>
      <c r="V250" s="8" t="str">
        <f t="shared" si="7"/>
        <v/>
      </c>
      <c r="W250" s="8" t="str">
        <f>_xlfn.XLOOKUP(X250,ShiftCodes[Code],ShiftCodes[Work Schedule],"Unknown code")</f>
        <v>Standard (Mon–Fri 9:00–17:30)</v>
      </c>
      <c r="X250" s="9" t="s">
        <v>39</v>
      </c>
      <c r="Y250" s="5"/>
    </row>
    <row r="251" spans="1:25" ht="16" x14ac:dyDescent="0.2">
      <c r="A251" s="5" t="s">
        <v>375</v>
      </c>
      <c r="B251" s="5" t="s">
        <v>112</v>
      </c>
      <c r="C251" s="5" t="s">
        <v>100</v>
      </c>
      <c r="D251" s="5" t="s">
        <v>28</v>
      </c>
      <c r="E251" s="5" t="s">
        <v>29</v>
      </c>
      <c r="F251" s="5" t="s">
        <v>163</v>
      </c>
      <c r="G251" s="5" t="s">
        <v>31</v>
      </c>
      <c r="H251" s="5" t="s">
        <v>8</v>
      </c>
      <c r="I251" s="10">
        <v>161000</v>
      </c>
      <c r="J251" s="12"/>
      <c r="K251" s="5" t="s">
        <v>33</v>
      </c>
      <c r="L251" s="5" t="s">
        <v>34</v>
      </c>
      <c r="M251" s="6">
        <v>45958</v>
      </c>
      <c r="N251" s="6"/>
      <c r="O251" s="6"/>
      <c r="P251" s="5" t="s">
        <v>208</v>
      </c>
      <c r="Q251" s="5" t="s">
        <v>36</v>
      </c>
      <c r="R251" s="8" t="s">
        <v>37</v>
      </c>
      <c r="S251" s="5">
        <v>40</v>
      </c>
      <c r="T251" s="5" t="s">
        <v>38</v>
      </c>
      <c r="U251" s="8" t="str">
        <f t="shared" si="6"/>
        <v/>
      </c>
      <c r="V251" s="8" t="str">
        <f t="shared" si="7"/>
        <v/>
      </c>
      <c r="W251" s="8" t="str">
        <f>_xlfn.XLOOKUP(X251,ShiftCodes[Code],ShiftCodes[Work Schedule],"Unknown code")</f>
        <v>Standard (Mon–Fri 9:00–17:30)</v>
      </c>
      <c r="X251" s="9" t="s">
        <v>39</v>
      </c>
      <c r="Y251" s="5"/>
    </row>
    <row r="252" spans="1:25" ht="16" x14ac:dyDescent="0.2">
      <c r="A252" s="5" t="s">
        <v>376</v>
      </c>
      <c r="B252" s="5" t="s">
        <v>109</v>
      </c>
      <c r="C252" s="5" t="s">
        <v>113</v>
      </c>
      <c r="D252" s="5" t="s">
        <v>84</v>
      </c>
      <c r="E252" s="5" t="s">
        <v>29</v>
      </c>
      <c r="F252" s="5" t="s">
        <v>130</v>
      </c>
      <c r="G252" s="5" t="s">
        <v>78</v>
      </c>
      <c r="H252" s="5" t="s">
        <v>79</v>
      </c>
      <c r="I252" s="10"/>
      <c r="J252" s="12">
        <v>25.5</v>
      </c>
      <c r="K252" s="5" t="s">
        <v>33</v>
      </c>
      <c r="L252" s="5" t="s">
        <v>80</v>
      </c>
      <c r="M252" s="6">
        <v>45961</v>
      </c>
      <c r="N252" s="6"/>
      <c r="O252" s="6"/>
      <c r="P252" s="5" t="s">
        <v>202</v>
      </c>
      <c r="Q252" s="5" t="s">
        <v>36</v>
      </c>
      <c r="R252" s="8" t="s">
        <v>37</v>
      </c>
      <c r="S252" s="5">
        <v>40</v>
      </c>
      <c r="T252" s="5" t="s">
        <v>38</v>
      </c>
      <c r="U252" s="8" t="str">
        <f t="shared" si="6"/>
        <v>US Non-Exempt EEs</v>
      </c>
      <c r="V252" s="8" t="str">
        <f t="shared" si="7"/>
        <v>US Non-California Non-Exempt</v>
      </c>
      <c r="W252" s="8" t="str">
        <f>_xlfn.XLOOKUP(X252,ShiftCodes[Code],ShiftCodes[Work Schedule],"Unknown code")</f>
        <v>Shift B – Swing (Mon–Fri 14:00–22:30)</v>
      </c>
      <c r="X252" s="9" t="s">
        <v>85</v>
      </c>
      <c r="Y252" s="5"/>
    </row>
    <row r="253" spans="1:25" ht="16" x14ac:dyDescent="0.2">
      <c r="A253" s="5" t="s">
        <v>377</v>
      </c>
      <c r="B253" s="5" t="s">
        <v>109</v>
      </c>
      <c r="C253" s="5" t="s">
        <v>113</v>
      </c>
      <c r="D253" s="5" t="s">
        <v>84</v>
      </c>
      <c r="E253" s="5" t="s">
        <v>29</v>
      </c>
      <c r="F253" s="5" t="s">
        <v>121</v>
      </c>
      <c r="G253" s="5" t="s">
        <v>78</v>
      </c>
      <c r="H253" s="5" t="s">
        <v>79</v>
      </c>
      <c r="I253" s="10"/>
      <c r="J253" s="12">
        <v>32.25</v>
      </c>
      <c r="K253" s="5" t="s">
        <v>33</v>
      </c>
      <c r="L253" s="5" t="s">
        <v>80</v>
      </c>
      <c r="M253" s="6">
        <v>45969</v>
      </c>
      <c r="N253" s="6"/>
      <c r="O253" s="6"/>
      <c r="P253" s="5" t="s">
        <v>202</v>
      </c>
      <c r="Q253" s="5" t="s">
        <v>36</v>
      </c>
      <c r="R253" s="8" t="s">
        <v>37</v>
      </c>
      <c r="S253" s="5">
        <v>40</v>
      </c>
      <c r="T253" s="5" t="s">
        <v>38</v>
      </c>
      <c r="U253" s="8" t="str">
        <f t="shared" si="6"/>
        <v>US Non-Exempt EEs</v>
      </c>
      <c r="V253" s="8" t="str">
        <f t="shared" si="7"/>
        <v>US Non-California Non-Exempt</v>
      </c>
      <c r="W253" s="8" t="str">
        <f>_xlfn.XLOOKUP(X253,ShiftCodes[Code],ShiftCodes[Work Schedule],"Unknown code")</f>
        <v>Shift C – Night (Sun–Thu 22:00–06:30)</v>
      </c>
      <c r="X253" s="9" t="s">
        <v>239</v>
      </c>
      <c r="Y253" s="5"/>
    </row>
    <row r="254" spans="1:25" ht="16" x14ac:dyDescent="0.2">
      <c r="A254" s="5" t="s">
        <v>378</v>
      </c>
      <c r="B254" s="5" t="s">
        <v>112</v>
      </c>
      <c r="C254" s="5" t="s">
        <v>100</v>
      </c>
      <c r="D254" s="5" t="s">
        <v>28</v>
      </c>
      <c r="E254" s="5" t="s">
        <v>29</v>
      </c>
      <c r="F254" s="5" t="s">
        <v>163</v>
      </c>
      <c r="G254" s="5" t="s">
        <v>31</v>
      </c>
      <c r="H254" s="5" t="s">
        <v>8</v>
      </c>
      <c r="I254" s="10">
        <v>145000</v>
      </c>
      <c r="J254" s="12"/>
      <c r="K254" s="5" t="s">
        <v>33</v>
      </c>
      <c r="L254" s="5" t="s">
        <v>34</v>
      </c>
      <c r="M254" s="6">
        <v>45973</v>
      </c>
      <c r="N254" s="6"/>
      <c r="O254" s="6"/>
      <c r="P254" s="5" t="s">
        <v>143</v>
      </c>
      <c r="Q254" s="5" t="s">
        <v>36</v>
      </c>
      <c r="R254" s="8" t="s">
        <v>37</v>
      </c>
      <c r="S254" s="5">
        <v>40</v>
      </c>
      <c r="T254" s="5" t="s">
        <v>38</v>
      </c>
      <c r="U254" s="8" t="str">
        <f t="shared" si="6"/>
        <v/>
      </c>
      <c r="V254" s="8" t="str">
        <f t="shared" si="7"/>
        <v/>
      </c>
      <c r="W254" s="8" t="str">
        <f>_xlfn.XLOOKUP(X254,ShiftCodes[Code],ShiftCodes[Work Schedule],"Unknown code")</f>
        <v>Standard (Mon–Fri 9:00–17:30)</v>
      </c>
      <c r="X254" s="9" t="s">
        <v>39</v>
      </c>
      <c r="Y254" s="5"/>
    </row>
    <row r="255" spans="1:25" ht="16" x14ac:dyDescent="0.2">
      <c r="A255" s="5" t="s">
        <v>379</v>
      </c>
      <c r="B255" s="5" t="s">
        <v>109</v>
      </c>
      <c r="C255" s="5" t="s">
        <v>113</v>
      </c>
      <c r="D255" s="5" t="s">
        <v>84</v>
      </c>
      <c r="E255" s="5" t="s">
        <v>29</v>
      </c>
      <c r="F255" s="5" t="s">
        <v>130</v>
      </c>
      <c r="G255" s="5" t="s">
        <v>78</v>
      </c>
      <c r="H255" s="5" t="s">
        <v>79</v>
      </c>
      <c r="I255" s="10"/>
      <c r="J255" s="12">
        <v>27.25</v>
      </c>
      <c r="K255" s="5" t="s">
        <v>33</v>
      </c>
      <c r="L255" s="5" t="s">
        <v>80</v>
      </c>
      <c r="M255" s="6">
        <v>45976</v>
      </c>
      <c r="N255" s="6"/>
      <c r="O255" s="6">
        <v>46212</v>
      </c>
      <c r="P255" s="5" t="s">
        <v>118</v>
      </c>
      <c r="Q255" s="5" t="s">
        <v>287</v>
      </c>
      <c r="R255" s="8" t="s">
        <v>37</v>
      </c>
      <c r="S255" s="5">
        <v>40</v>
      </c>
      <c r="T255" s="5" t="s">
        <v>38</v>
      </c>
      <c r="U255" s="8" t="str">
        <f t="shared" si="6"/>
        <v>US Non-Exempt EEs</v>
      </c>
      <c r="V255" s="8" t="str">
        <f t="shared" si="7"/>
        <v>US Non-California Non-Exempt</v>
      </c>
      <c r="W255" s="8" t="str">
        <f>_xlfn.XLOOKUP(X255,ShiftCodes[Code],ShiftCodes[Work Schedule],"Unknown code")</f>
        <v>Shift A – Day (Mon–Fri 06:00–14:30)</v>
      </c>
      <c r="X255" s="9" t="s">
        <v>81</v>
      </c>
      <c r="Y255" s="5"/>
    </row>
    <row r="256" spans="1:25" ht="16" x14ac:dyDescent="0.2">
      <c r="A256" s="5" t="s">
        <v>380</v>
      </c>
      <c r="B256" s="5" t="s">
        <v>112</v>
      </c>
      <c r="C256" s="5" t="s">
        <v>224</v>
      </c>
      <c r="D256" s="5" t="s">
        <v>225</v>
      </c>
      <c r="E256" s="5" t="s">
        <v>70</v>
      </c>
      <c r="F256" s="5" t="s">
        <v>165</v>
      </c>
      <c r="G256" s="5" t="s">
        <v>31</v>
      </c>
      <c r="H256" s="5" t="s">
        <v>8</v>
      </c>
      <c r="I256" s="15">
        <v>4010000</v>
      </c>
      <c r="J256" s="16"/>
      <c r="K256" s="5" t="s">
        <v>72</v>
      </c>
      <c r="L256" s="5" t="s">
        <v>73</v>
      </c>
      <c r="M256" s="6">
        <v>45982</v>
      </c>
      <c r="N256" s="6"/>
      <c r="O256" s="6"/>
      <c r="P256" s="5" t="s">
        <v>223</v>
      </c>
      <c r="Q256" s="5" t="s">
        <v>36</v>
      </c>
      <c r="R256" s="8" t="s">
        <v>37</v>
      </c>
      <c r="S256" s="5">
        <v>40</v>
      </c>
      <c r="T256" s="5" t="s">
        <v>38</v>
      </c>
      <c r="U256" s="8" t="str">
        <f t="shared" si="6"/>
        <v/>
      </c>
      <c r="V256" s="8" t="str">
        <f t="shared" si="7"/>
        <v/>
      </c>
      <c r="W256" s="8" t="str">
        <f>_xlfn.XLOOKUP(X256,ShiftCodes[Code],ShiftCodes[Work Schedule],"Unknown code")</f>
        <v>Standard (Mon–Fri 9:00–17:30)</v>
      </c>
      <c r="X256" s="9" t="s">
        <v>39</v>
      </c>
      <c r="Y256" s="5"/>
    </row>
    <row r="257" spans="1:25" ht="16" x14ac:dyDescent="0.2">
      <c r="A257" s="5" t="s">
        <v>381</v>
      </c>
      <c r="B257" s="5" t="s">
        <v>112</v>
      </c>
      <c r="C257" s="5" t="s">
        <v>180</v>
      </c>
      <c r="D257" s="5" t="s">
        <v>52</v>
      </c>
      <c r="E257" s="5" t="s">
        <v>52</v>
      </c>
      <c r="F257" s="5" t="s">
        <v>165</v>
      </c>
      <c r="G257" s="5" t="s">
        <v>31</v>
      </c>
      <c r="H257" s="5" t="s">
        <v>8</v>
      </c>
      <c r="I257" s="10">
        <v>92000</v>
      </c>
      <c r="J257" s="17"/>
      <c r="K257" s="5" t="s">
        <v>55</v>
      </c>
      <c r="L257" s="5" t="s">
        <v>56</v>
      </c>
      <c r="M257" s="6">
        <v>45984</v>
      </c>
      <c r="N257" s="6"/>
      <c r="O257" s="6"/>
      <c r="P257" s="5" t="s">
        <v>179</v>
      </c>
      <c r="Q257" s="5" t="s">
        <v>36</v>
      </c>
      <c r="R257" s="8" t="s">
        <v>37</v>
      </c>
      <c r="S257" s="5">
        <v>37.5</v>
      </c>
      <c r="T257" s="5" t="s">
        <v>38</v>
      </c>
      <c r="U257" s="8" t="str">
        <f t="shared" si="6"/>
        <v/>
      </c>
      <c r="V257" s="8" t="str">
        <f t="shared" si="7"/>
        <v/>
      </c>
      <c r="W257" s="8" t="str">
        <f>_xlfn.XLOOKUP(X257,ShiftCodes[Code],ShiftCodes[Work Schedule],"Unknown code")</f>
        <v>Standard (Mon–Fri 9:00–17:30)</v>
      </c>
      <c r="X257" s="9" t="s">
        <v>39</v>
      </c>
      <c r="Y257" s="5"/>
    </row>
    <row r="258" spans="1:25" ht="16" x14ac:dyDescent="0.2">
      <c r="A258" s="5" t="s">
        <v>382</v>
      </c>
      <c r="B258" s="5" t="s">
        <v>112</v>
      </c>
      <c r="C258" s="5" t="s">
        <v>41</v>
      </c>
      <c r="D258" s="5" t="s">
        <v>154</v>
      </c>
      <c r="E258" s="5" t="s">
        <v>29</v>
      </c>
      <c r="F258" s="5" t="s">
        <v>163</v>
      </c>
      <c r="G258" s="5" t="s">
        <v>31</v>
      </c>
      <c r="H258" s="5" t="s">
        <v>8</v>
      </c>
      <c r="I258" s="10">
        <v>171000</v>
      </c>
      <c r="J258" s="12"/>
      <c r="K258" s="5" t="s">
        <v>33</v>
      </c>
      <c r="L258" s="5" t="s">
        <v>34</v>
      </c>
      <c r="M258" s="6">
        <v>45987</v>
      </c>
      <c r="N258" s="6"/>
      <c r="O258" s="6"/>
      <c r="P258" s="5" t="s">
        <v>229</v>
      </c>
      <c r="Q258" s="5" t="s">
        <v>36</v>
      </c>
      <c r="R258" s="8" t="s">
        <v>37</v>
      </c>
      <c r="S258" s="5">
        <v>40</v>
      </c>
      <c r="T258" s="5" t="s">
        <v>38</v>
      </c>
      <c r="U258" s="8" t="str">
        <f t="shared" ref="U258:U321" si="8">IF(AND(TRIM(E258)="US",TRIM(G258)="Non-Exempt"),"US Non-Exempt EEs","")</f>
        <v/>
      </c>
      <c r="V258" s="8" t="str">
        <f t="shared" ref="V258:V321" si="9">IF(AND(TRIM(E258)="US",TRIM(G258)="Non-Exempt"),IF(TRIM(D258)="CA","US California Non-Exempt","US Non-California Non-Exempt"),"")</f>
        <v/>
      </c>
      <c r="W258" s="8" t="str">
        <f>_xlfn.XLOOKUP(X258,ShiftCodes[Code],ShiftCodes[Work Schedule],"Unknown code")</f>
        <v>Standard (Mon–Fri 9:00–17:30)</v>
      </c>
      <c r="X258" s="9" t="s">
        <v>39</v>
      </c>
      <c r="Y258" s="5"/>
    </row>
    <row r="259" spans="1:25" ht="16" x14ac:dyDescent="0.2">
      <c r="A259" s="5" t="s">
        <v>383</v>
      </c>
      <c r="B259" s="5" t="s">
        <v>112</v>
      </c>
      <c r="C259" s="5" t="s">
        <v>100</v>
      </c>
      <c r="D259" s="5" t="s">
        <v>28</v>
      </c>
      <c r="E259" s="5" t="s">
        <v>29</v>
      </c>
      <c r="F259" s="5" t="s">
        <v>163</v>
      </c>
      <c r="G259" s="5" t="s">
        <v>31</v>
      </c>
      <c r="H259" s="5" t="s">
        <v>8</v>
      </c>
      <c r="I259" s="10">
        <v>159000</v>
      </c>
      <c r="J259" s="12"/>
      <c r="K259" s="5" t="s">
        <v>33</v>
      </c>
      <c r="L259" s="5" t="s">
        <v>34</v>
      </c>
      <c r="M259" s="6">
        <v>45987</v>
      </c>
      <c r="N259" s="6"/>
      <c r="O259" s="6"/>
      <c r="P259" s="5" t="s">
        <v>229</v>
      </c>
      <c r="Q259" s="5" t="s">
        <v>36</v>
      </c>
      <c r="R259" s="8" t="s">
        <v>37</v>
      </c>
      <c r="S259" s="5">
        <v>40</v>
      </c>
      <c r="T259" s="5" t="s">
        <v>38</v>
      </c>
      <c r="U259" s="8" t="str">
        <f t="shared" si="8"/>
        <v/>
      </c>
      <c r="V259" s="8" t="str">
        <f t="shared" si="9"/>
        <v/>
      </c>
      <c r="W259" s="8" t="str">
        <f>_xlfn.XLOOKUP(X259,ShiftCodes[Code],ShiftCodes[Work Schedule],"Unknown code")</f>
        <v>Standard (Mon–Fri 9:00–17:30)</v>
      </c>
      <c r="X259" s="9" t="s">
        <v>39</v>
      </c>
      <c r="Y259" s="5"/>
    </row>
    <row r="260" spans="1:25" ht="16" x14ac:dyDescent="0.2">
      <c r="A260" s="5" t="s">
        <v>384</v>
      </c>
      <c r="B260" s="5" t="s">
        <v>112</v>
      </c>
      <c r="C260" s="5" t="s">
        <v>41</v>
      </c>
      <c r="D260" s="5" t="s">
        <v>90</v>
      </c>
      <c r="E260" s="5" t="s">
        <v>29</v>
      </c>
      <c r="F260" s="5" t="s">
        <v>163</v>
      </c>
      <c r="G260" s="5" t="s">
        <v>31</v>
      </c>
      <c r="H260" s="5" t="s">
        <v>8</v>
      </c>
      <c r="I260" s="10">
        <v>162000</v>
      </c>
      <c r="J260" s="12"/>
      <c r="K260" s="5" t="s">
        <v>33</v>
      </c>
      <c r="L260" s="5" t="s">
        <v>34</v>
      </c>
      <c r="M260" s="6">
        <v>45988</v>
      </c>
      <c r="N260" s="6"/>
      <c r="O260" s="6"/>
      <c r="P260" s="5" t="s">
        <v>143</v>
      </c>
      <c r="Q260" s="5" t="s">
        <v>36</v>
      </c>
      <c r="R260" s="8" t="s">
        <v>37</v>
      </c>
      <c r="S260" s="5">
        <v>40</v>
      </c>
      <c r="T260" s="5" t="s">
        <v>38</v>
      </c>
      <c r="U260" s="8" t="str">
        <f t="shared" si="8"/>
        <v/>
      </c>
      <c r="V260" s="8" t="str">
        <f t="shared" si="9"/>
        <v/>
      </c>
      <c r="W260" s="8" t="str">
        <f>_xlfn.XLOOKUP(X260,ShiftCodes[Code],ShiftCodes[Work Schedule],"Unknown code")</f>
        <v>Standard (Mon–Fri 9:00–17:30)</v>
      </c>
      <c r="X260" s="9" t="s">
        <v>39</v>
      </c>
      <c r="Y260" s="5"/>
    </row>
    <row r="261" spans="1:25" ht="16" x14ac:dyDescent="0.2">
      <c r="A261" s="5" t="s">
        <v>385</v>
      </c>
      <c r="B261" s="5" t="s">
        <v>103</v>
      </c>
      <c r="C261" s="5" t="s">
        <v>106</v>
      </c>
      <c r="D261" s="5" t="s">
        <v>42</v>
      </c>
      <c r="E261" s="5" t="s">
        <v>29</v>
      </c>
      <c r="F261" s="5" t="s">
        <v>124</v>
      </c>
      <c r="G261" s="5" t="s">
        <v>31</v>
      </c>
      <c r="H261" s="5" t="s">
        <v>8</v>
      </c>
      <c r="I261" s="10">
        <v>131000</v>
      </c>
      <c r="J261" s="12"/>
      <c r="K261" s="5" t="s">
        <v>33</v>
      </c>
      <c r="L261" s="5" t="s">
        <v>34</v>
      </c>
      <c r="M261" s="6">
        <v>45994</v>
      </c>
      <c r="N261" s="6"/>
      <c r="O261" s="6"/>
      <c r="P261" s="5" t="s">
        <v>145</v>
      </c>
      <c r="Q261" s="5" t="s">
        <v>36</v>
      </c>
      <c r="R261" s="8" t="s">
        <v>37</v>
      </c>
      <c r="S261" s="5">
        <v>40</v>
      </c>
      <c r="T261" s="5" t="s">
        <v>38</v>
      </c>
      <c r="U261" s="8" t="str">
        <f t="shared" si="8"/>
        <v/>
      </c>
      <c r="V261" s="8" t="str">
        <f t="shared" si="9"/>
        <v/>
      </c>
      <c r="W261" s="8" t="str">
        <f>_xlfn.XLOOKUP(X261,ShiftCodes[Code],ShiftCodes[Work Schedule],"Unknown code")</f>
        <v>Standard (Mon–Fri 9:00–17:30)</v>
      </c>
      <c r="X261" s="9" t="s">
        <v>39</v>
      </c>
      <c r="Y261" s="5"/>
    </row>
    <row r="262" spans="1:25" ht="16" x14ac:dyDescent="0.2">
      <c r="A262" s="5" t="s">
        <v>386</v>
      </c>
      <c r="B262" s="5" t="s">
        <v>112</v>
      </c>
      <c r="C262" s="5" t="s">
        <v>100</v>
      </c>
      <c r="D262" s="5" t="s">
        <v>28</v>
      </c>
      <c r="E262" s="5" t="s">
        <v>29</v>
      </c>
      <c r="F262" s="5" t="s">
        <v>163</v>
      </c>
      <c r="G262" s="5" t="s">
        <v>31</v>
      </c>
      <c r="H262" s="5" t="s">
        <v>8</v>
      </c>
      <c r="I262" s="10">
        <v>162000</v>
      </c>
      <c r="J262" s="12"/>
      <c r="K262" s="5" t="s">
        <v>33</v>
      </c>
      <c r="L262" s="5" t="s">
        <v>34</v>
      </c>
      <c r="M262" s="6">
        <v>45995</v>
      </c>
      <c r="N262" s="6"/>
      <c r="O262" s="6"/>
      <c r="P262" s="5" t="s">
        <v>229</v>
      </c>
      <c r="Q262" s="5" t="s">
        <v>36</v>
      </c>
      <c r="R262" s="8" t="s">
        <v>37</v>
      </c>
      <c r="S262" s="5">
        <v>40</v>
      </c>
      <c r="T262" s="5" t="s">
        <v>38</v>
      </c>
      <c r="U262" s="8" t="str">
        <f t="shared" si="8"/>
        <v/>
      </c>
      <c r="V262" s="8" t="str">
        <f t="shared" si="9"/>
        <v/>
      </c>
      <c r="W262" s="8" t="str">
        <f>_xlfn.XLOOKUP(X262,ShiftCodes[Code],ShiftCodes[Work Schedule],"Unknown code")</f>
        <v>Standard (Mon–Fri 9:00–17:30)</v>
      </c>
      <c r="X262" s="9" t="s">
        <v>39</v>
      </c>
      <c r="Y262" s="5"/>
    </row>
    <row r="263" spans="1:25" ht="16" x14ac:dyDescent="0.2">
      <c r="A263" s="5" t="s">
        <v>387</v>
      </c>
      <c r="B263" s="5" t="s">
        <v>103</v>
      </c>
      <c r="C263" s="5" t="s">
        <v>41</v>
      </c>
      <c r="D263" s="5" t="s">
        <v>84</v>
      </c>
      <c r="E263" s="5" t="s">
        <v>29</v>
      </c>
      <c r="F263" s="5" t="s">
        <v>165</v>
      </c>
      <c r="G263" s="5" t="s">
        <v>31</v>
      </c>
      <c r="H263" s="5" t="s">
        <v>8</v>
      </c>
      <c r="I263" s="10">
        <v>201000</v>
      </c>
      <c r="J263" s="12"/>
      <c r="K263" s="5" t="s">
        <v>33</v>
      </c>
      <c r="L263" s="5" t="s">
        <v>34</v>
      </c>
      <c r="M263" s="6">
        <v>45996</v>
      </c>
      <c r="N263" s="6"/>
      <c r="O263" s="6"/>
      <c r="P263" s="5" t="s">
        <v>136</v>
      </c>
      <c r="Q263" s="5" t="s">
        <v>36</v>
      </c>
      <c r="R263" s="8" t="s">
        <v>37</v>
      </c>
      <c r="S263" s="5">
        <v>40</v>
      </c>
      <c r="T263" s="5" t="s">
        <v>38</v>
      </c>
      <c r="U263" s="8" t="str">
        <f t="shared" si="8"/>
        <v/>
      </c>
      <c r="V263" s="8" t="str">
        <f t="shared" si="9"/>
        <v/>
      </c>
      <c r="W263" s="8" t="str">
        <f>_xlfn.XLOOKUP(X263,ShiftCodes[Code],ShiftCodes[Work Schedule],"Unknown code")</f>
        <v>Standard (Mon–Fri 9:00–17:30)</v>
      </c>
      <c r="X263" s="9" t="s">
        <v>39</v>
      </c>
      <c r="Y263" s="5"/>
    </row>
    <row r="264" spans="1:25" ht="16" x14ac:dyDescent="0.2">
      <c r="A264" s="5" t="s">
        <v>388</v>
      </c>
      <c r="B264" s="5" t="s">
        <v>112</v>
      </c>
      <c r="C264" s="5" t="s">
        <v>100</v>
      </c>
      <c r="D264" s="5" t="s">
        <v>28</v>
      </c>
      <c r="E264" s="5" t="s">
        <v>29</v>
      </c>
      <c r="F264" s="5" t="s">
        <v>163</v>
      </c>
      <c r="G264" s="5" t="s">
        <v>31</v>
      </c>
      <c r="H264" s="5" t="s">
        <v>8</v>
      </c>
      <c r="I264" s="10">
        <v>152000</v>
      </c>
      <c r="J264" s="12"/>
      <c r="K264" s="5" t="s">
        <v>33</v>
      </c>
      <c r="L264" s="5" t="s">
        <v>34</v>
      </c>
      <c r="M264" s="6">
        <v>45998</v>
      </c>
      <c r="N264" s="6"/>
      <c r="O264" s="6"/>
      <c r="P264" s="5" t="s">
        <v>208</v>
      </c>
      <c r="Q264" s="5" t="s">
        <v>36</v>
      </c>
      <c r="R264" s="8" t="s">
        <v>37</v>
      </c>
      <c r="S264" s="5">
        <v>40</v>
      </c>
      <c r="T264" s="5" t="s">
        <v>38</v>
      </c>
      <c r="U264" s="8" t="str">
        <f t="shared" si="8"/>
        <v/>
      </c>
      <c r="V264" s="8" t="str">
        <f t="shared" si="9"/>
        <v/>
      </c>
      <c r="W264" s="8" t="str">
        <f>_xlfn.XLOOKUP(X264,ShiftCodes[Code],ShiftCodes[Work Schedule],"Unknown code")</f>
        <v>Standard (Mon–Fri 9:00–17:30)</v>
      </c>
      <c r="X264" s="9" t="s">
        <v>39</v>
      </c>
      <c r="Y264" s="5"/>
    </row>
    <row r="265" spans="1:25" ht="16" x14ac:dyDescent="0.2">
      <c r="A265" s="5" t="s">
        <v>389</v>
      </c>
      <c r="B265" s="5" t="s">
        <v>99</v>
      </c>
      <c r="C265" s="5" t="s">
        <v>100</v>
      </c>
      <c r="D265" s="5" t="s">
        <v>28</v>
      </c>
      <c r="E265" s="5" t="s">
        <v>29</v>
      </c>
      <c r="F265" s="5" t="s">
        <v>163</v>
      </c>
      <c r="G265" s="5" t="s">
        <v>31</v>
      </c>
      <c r="H265" s="5" t="s">
        <v>8</v>
      </c>
      <c r="I265" s="10">
        <v>143000</v>
      </c>
      <c r="J265" s="12"/>
      <c r="K265" s="5" t="s">
        <v>33</v>
      </c>
      <c r="L265" s="5" t="s">
        <v>34</v>
      </c>
      <c r="M265" s="6">
        <v>45999</v>
      </c>
      <c r="N265" s="6"/>
      <c r="O265" s="6"/>
      <c r="P265" s="5" t="s">
        <v>308</v>
      </c>
      <c r="Q265" s="5" t="s">
        <v>36</v>
      </c>
      <c r="R265" s="8" t="s">
        <v>37</v>
      </c>
      <c r="S265" s="5">
        <v>40</v>
      </c>
      <c r="T265" s="5" t="s">
        <v>38</v>
      </c>
      <c r="U265" s="8" t="str">
        <f t="shared" si="8"/>
        <v/>
      </c>
      <c r="V265" s="8" t="str">
        <f t="shared" si="9"/>
        <v/>
      </c>
      <c r="W265" s="8" t="str">
        <f>_xlfn.XLOOKUP(X265,ShiftCodes[Code],ShiftCodes[Work Schedule],"Unknown code")</f>
        <v>Standard (Mon–Fri 9:00–17:30)</v>
      </c>
      <c r="X265" s="9" t="s">
        <v>39</v>
      </c>
      <c r="Y265" s="5"/>
    </row>
    <row r="266" spans="1:25" ht="16" x14ac:dyDescent="0.2">
      <c r="A266" s="5" t="s">
        <v>390</v>
      </c>
      <c r="B266" s="5" t="s">
        <v>112</v>
      </c>
      <c r="C266" s="5" t="s">
        <v>100</v>
      </c>
      <c r="D266" s="5" t="s">
        <v>28</v>
      </c>
      <c r="E266" s="5" t="s">
        <v>29</v>
      </c>
      <c r="F266" s="5" t="s">
        <v>156</v>
      </c>
      <c r="G266" s="5" t="s">
        <v>31</v>
      </c>
      <c r="H266" s="5" t="s">
        <v>8</v>
      </c>
      <c r="I266" s="10">
        <v>218000</v>
      </c>
      <c r="J266" s="12"/>
      <c r="K266" s="5" t="s">
        <v>33</v>
      </c>
      <c r="L266" s="5" t="s">
        <v>34</v>
      </c>
      <c r="M266" s="6">
        <v>46000</v>
      </c>
      <c r="N266" s="6"/>
      <c r="O266" s="6"/>
      <c r="P266" s="5" t="s">
        <v>204</v>
      </c>
      <c r="Q266" s="5" t="s">
        <v>36</v>
      </c>
      <c r="R266" s="8" t="s">
        <v>37</v>
      </c>
      <c r="S266" s="5">
        <v>40</v>
      </c>
      <c r="T266" s="5" t="s">
        <v>38</v>
      </c>
      <c r="U266" s="8" t="str">
        <f t="shared" si="8"/>
        <v/>
      </c>
      <c r="V266" s="8" t="str">
        <f t="shared" si="9"/>
        <v/>
      </c>
      <c r="W266" s="8" t="str">
        <f>_xlfn.XLOOKUP(X266,ShiftCodes[Code],ShiftCodes[Work Schedule],"Unknown code")</f>
        <v>Standard (Mon–Fri 9:00–17:30)</v>
      </c>
      <c r="X266" s="9" t="s">
        <v>39</v>
      </c>
      <c r="Y266" s="5"/>
    </row>
    <row r="267" spans="1:25" ht="16" x14ac:dyDescent="0.2">
      <c r="A267" s="5" t="s">
        <v>391</v>
      </c>
      <c r="B267" s="5" t="s">
        <v>103</v>
      </c>
      <c r="C267" s="5" t="s">
        <v>180</v>
      </c>
      <c r="D267" s="5" t="s">
        <v>52</v>
      </c>
      <c r="E267" s="5" t="s">
        <v>52</v>
      </c>
      <c r="F267" s="5" t="s">
        <v>124</v>
      </c>
      <c r="G267" s="5" t="s">
        <v>31</v>
      </c>
      <c r="H267" s="5" t="s">
        <v>8</v>
      </c>
      <c r="I267" s="10">
        <v>70000</v>
      </c>
      <c r="J267" s="17"/>
      <c r="K267" s="5" t="s">
        <v>55</v>
      </c>
      <c r="L267" s="5" t="s">
        <v>56</v>
      </c>
      <c r="M267" s="6">
        <v>46024</v>
      </c>
      <c r="N267" s="6"/>
      <c r="O267" s="6"/>
      <c r="P267" s="5" t="s">
        <v>218</v>
      </c>
      <c r="Q267" s="5" t="s">
        <v>36</v>
      </c>
      <c r="R267" s="8" t="s">
        <v>37</v>
      </c>
      <c r="S267" s="5">
        <v>37.5</v>
      </c>
      <c r="T267" s="5" t="s">
        <v>38</v>
      </c>
      <c r="U267" s="8" t="str">
        <f t="shared" si="8"/>
        <v/>
      </c>
      <c r="V267" s="8" t="str">
        <f t="shared" si="9"/>
        <v/>
      </c>
      <c r="W267" s="8" t="str">
        <f>_xlfn.XLOOKUP(X267,ShiftCodes[Code],ShiftCodes[Work Schedule],"Unknown code")</f>
        <v>Standard (Mon–Fri 9:00–17:30)</v>
      </c>
      <c r="X267" s="9" t="s">
        <v>39</v>
      </c>
      <c r="Y267" s="5"/>
    </row>
    <row r="268" spans="1:25" ht="16" x14ac:dyDescent="0.2">
      <c r="A268" s="5" t="s">
        <v>392</v>
      </c>
      <c r="B268" s="5" t="s">
        <v>103</v>
      </c>
      <c r="C268" s="5" t="s">
        <v>41</v>
      </c>
      <c r="D268" s="5" t="s">
        <v>84</v>
      </c>
      <c r="E268" s="5" t="s">
        <v>29</v>
      </c>
      <c r="F268" s="5" t="s">
        <v>124</v>
      </c>
      <c r="G268" s="5" t="s">
        <v>31</v>
      </c>
      <c r="H268" s="5" t="s">
        <v>8</v>
      </c>
      <c r="I268" s="10">
        <v>121000</v>
      </c>
      <c r="J268" s="12"/>
      <c r="K268" s="5" t="s">
        <v>33</v>
      </c>
      <c r="L268" s="5" t="s">
        <v>34</v>
      </c>
      <c r="M268" s="6">
        <v>46030</v>
      </c>
      <c r="N268" s="6"/>
      <c r="O268" s="6"/>
      <c r="P268" s="5" t="s">
        <v>136</v>
      </c>
      <c r="Q268" s="5" t="s">
        <v>36</v>
      </c>
      <c r="R268" s="8" t="s">
        <v>37</v>
      </c>
      <c r="S268" s="5">
        <v>40</v>
      </c>
      <c r="T268" s="5" t="s">
        <v>38</v>
      </c>
      <c r="U268" s="8" t="str">
        <f t="shared" si="8"/>
        <v/>
      </c>
      <c r="V268" s="8" t="str">
        <f t="shared" si="9"/>
        <v/>
      </c>
      <c r="W268" s="8" t="str">
        <f>_xlfn.XLOOKUP(X268,ShiftCodes[Code],ShiftCodes[Work Schedule],"Unknown code")</f>
        <v>Standard (Mon–Fri 9:00–17:30)</v>
      </c>
      <c r="X268" s="9" t="s">
        <v>39</v>
      </c>
      <c r="Y268" s="5"/>
    </row>
    <row r="269" spans="1:25" ht="16" x14ac:dyDescent="0.2">
      <c r="A269" s="5" t="s">
        <v>393</v>
      </c>
      <c r="B269" s="5" t="s">
        <v>112</v>
      </c>
      <c r="C269" s="5" t="s">
        <v>100</v>
      </c>
      <c r="D269" s="5" t="s">
        <v>28</v>
      </c>
      <c r="E269" s="5" t="s">
        <v>29</v>
      </c>
      <c r="F269" s="5" t="s">
        <v>165</v>
      </c>
      <c r="G269" s="5" t="s">
        <v>31</v>
      </c>
      <c r="H269" s="5" t="s">
        <v>8</v>
      </c>
      <c r="I269" s="10">
        <v>166000</v>
      </c>
      <c r="J269" s="12"/>
      <c r="K269" s="5" t="s">
        <v>33</v>
      </c>
      <c r="L269" s="5" t="s">
        <v>34</v>
      </c>
      <c r="M269" s="6">
        <v>46035</v>
      </c>
      <c r="N269" s="6"/>
      <c r="O269" s="6"/>
      <c r="P269" s="5" t="s">
        <v>229</v>
      </c>
      <c r="Q269" s="5" t="s">
        <v>36</v>
      </c>
      <c r="R269" s="8" t="s">
        <v>37</v>
      </c>
      <c r="S269" s="5">
        <v>40</v>
      </c>
      <c r="T269" s="5" t="s">
        <v>38</v>
      </c>
      <c r="U269" s="8" t="str">
        <f t="shared" si="8"/>
        <v/>
      </c>
      <c r="V269" s="8" t="str">
        <f t="shared" si="9"/>
        <v/>
      </c>
      <c r="W269" s="8" t="str">
        <f>_xlfn.XLOOKUP(X269,ShiftCodes[Code],ShiftCodes[Work Schedule],"Unknown code")</f>
        <v>Standard (Mon–Fri 9:00–17:30)</v>
      </c>
      <c r="X269" s="9" t="s">
        <v>39</v>
      </c>
      <c r="Y269" s="5"/>
    </row>
    <row r="270" spans="1:25" ht="16" x14ac:dyDescent="0.2">
      <c r="A270" s="5" t="s">
        <v>394</v>
      </c>
      <c r="B270" s="5" t="s">
        <v>99</v>
      </c>
      <c r="C270" s="5" t="s">
        <v>100</v>
      </c>
      <c r="D270" s="5" t="s">
        <v>28</v>
      </c>
      <c r="E270" s="5" t="s">
        <v>29</v>
      </c>
      <c r="F270" s="5" t="s">
        <v>149</v>
      </c>
      <c r="G270" s="5" t="s">
        <v>31</v>
      </c>
      <c r="H270" s="5" t="s">
        <v>8</v>
      </c>
      <c r="I270" s="10">
        <v>94000</v>
      </c>
      <c r="J270" s="12"/>
      <c r="K270" s="5" t="s">
        <v>33</v>
      </c>
      <c r="L270" s="5" t="s">
        <v>34</v>
      </c>
      <c r="M270" s="6">
        <v>46235</v>
      </c>
      <c r="N270" s="6"/>
      <c r="O270" s="6"/>
      <c r="P270" s="5" t="s">
        <v>308</v>
      </c>
      <c r="Q270" s="5" t="s">
        <v>36</v>
      </c>
      <c r="R270" s="8" t="s">
        <v>37</v>
      </c>
      <c r="S270" s="5">
        <v>40</v>
      </c>
      <c r="T270" s="5" t="s">
        <v>38</v>
      </c>
      <c r="U270" s="8" t="str">
        <f t="shared" si="8"/>
        <v/>
      </c>
      <c r="V270" s="8" t="str">
        <f t="shared" si="9"/>
        <v/>
      </c>
      <c r="W270" s="8" t="str">
        <f>_xlfn.XLOOKUP(X270,ShiftCodes[Code],ShiftCodes[Work Schedule],"Unknown code")</f>
        <v>Standard (Mon–Fri 9:00–17:30)</v>
      </c>
      <c r="X270" s="9" t="s">
        <v>39</v>
      </c>
      <c r="Y270" s="5" t="s">
        <v>395</v>
      </c>
    </row>
    <row r="271" spans="1:25" ht="16" x14ac:dyDescent="0.2">
      <c r="A271" s="5" t="s">
        <v>396</v>
      </c>
      <c r="B271" s="5" t="s">
        <v>103</v>
      </c>
      <c r="C271" s="5" t="s">
        <v>41</v>
      </c>
      <c r="D271" s="5" t="s">
        <v>42</v>
      </c>
      <c r="E271" s="5" t="s">
        <v>29</v>
      </c>
      <c r="F271" s="5" t="s">
        <v>165</v>
      </c>
      <c r="G271" s="5" t="s">
        <v>31</v>
      </c>
      <c r="H271" s="5" t="s">
        <v>8</v>
      </c>
      <c r="I271" s="10">
        <v>174000</v>
      </c>
      <c r="J271" s="12"/>
      <c r="K271" s="5" t="s">
        <v>33</v>
      </c>
      <c r="L271" s="5" t="s">
        <v>34</v>
      </c>
      <c r="M271" s="6">
        <v>46053</v>
      </c>
      <c r="N271" s="6"/>
      <c r="O271" s="6"/>
      <c r="P271" s="5" t="s">
        <v>122</v>
      </c>
      <c r="Q271" s="5" t="s">
        <v>36</v>
      </c>
      <c r="R271" s="8" t="s">
        <v>37</v>
      </c>
      <c r="S271" s="5">
        <v>40</v>
      </c>
      <c r="T271" s="5" t="s">
        <v>38</v>
      </c>
      <c r="U271" s="8" t="str">
        <f t="shared" si="8"/>
        <v/>
      </c>
      <c r="V271" s="8" t="str">
        <f t="shared" si="9"/>
        <v/>
      </c>
      <c r="W271" s="8" t="str">
        <f>_xlfn.XLOOKUP(X271,ShiftCodes[Code],ShiftCodes[Work Schedule],"Unknown code")</f>
        <v>Standard (Mon–Fri 9:00–17:30)</v>
      </c>
      <c r="X271" s="9" t="s">
        <v>39</v>
      </c>
      <c r="Y271" s="5"/>
    </row>
    <row r="272" spans="1:25" ht="16" x14ac:dyDescent="0.2">
      <c r="A272" s="5" t="s">
        <v>397</v>
      </c>
      <c r="B272" s="5" t="s">
        <v>112</v>
      </c>
      <c r="C272" s="5" t="s">
        <v>100</v>
      </c>
      <c r="D272" s="5" t="s">
        <v>28</v>
      </c>
      <c r="E272" s="5" t="s">
        <v>29</v>
      </c>
      <c r="F272" s="5" t="s">
        <v>124</v>
      </c>
      <c r="G272" s="5" t="s">
        <v>31</v>
      </c>
      <c r="H272" s="5" t="s">
        <v>8</v>
      </c>
      <c r="I272" s="10">
        <v>132000</v>
      </c>
      <c r="J272" s="12"/>
      <c r="K272" s="5" t="s">
        <v>33</v>
      </c>
      <c r="L272" s="5" t="s">
        <v>34</v>
      </c>
      <c r="M272" s="6">
        <v>46281</v>
      </c>
      <c r="N272" s="6"/>
      <c r="O272" s="6"/>
      <c r="P272" s="5" t="s">
        <v>229</v>
      </c>
      <c r="Q272" s="5" t="s">
        <v>36</v>
      </c>
      <c r="R272" s="8" t="s">
        <v>37</v>
      </c>
      <c r="S272" s="5">
        <v>40</v>
      </c>
      <c r="T272" s="5" t="s">
        <v>38</v>
      </c>
      <c r="U272" s="8" t="str">
        <f t="shared" si="8"/>
        <v/>
      </c>
      <c r="V272" s="8" t="str">
        <f t="shared" si="9"/>
        <v/>
      </c>
      <c r="W272" s="8" t="str">
        <f>_xlfn.XLOOKUP(X272,ShiftCodes[Code],ShiftCodes[Work Schedule],"Unknown code")</f>
        <v>Standard (Mon–Fri 9:00–17:30)</v>
      </c>
      <c r="X272" s="9" t="s">
        <v>39</v>
      </c>
      <c r="Y272" s="5" t="s">
        <v>398</v>
      </c>
    </row>
    <row r="273" spans="1:25" ht="16" x14ac:dyDescent="0.2">
      <c r="A273" s="5" t="s">
        <v>399</v>
      </c>
      <c r="B273" s="5" t="s">
        <v>99</v>
      </c>
      <c r="C273" s="5" t="s">
        <v>180</v>
      </c>
      <c r="D273" s="5" t="s">
        <v>52</v>
      </c>
      <c r="E273" s="5" t="s">
        <v>52</v>
      </c>
      <c r="F273" s="5" t="s">
        <v>156</v>
      </c>
      <c r="G273" s="5" t="s">
        <v>31</v>
      </c>
      <c r="H273" s="5" t="s">
        <v>8</v>
      </c>
      <c r="I273" s="10">
        <v>95000</v>
      </c>
      <c r="J273" s="17"/>
      <c r="K273" s="5" t="s">
        <v>55</v>
      </c>
      <c r="L273" s="5" t="s">
        <v>56</v>
      </c>
      <c r="M273" s="6">
        <v>46056</v>
      </c>
      <c r="N273" s="6"/>
      <c r="O273" s="6"/>
      <c r="P273" s="5" t="s">
        <v>191</v>
      </c>
      <c r="Q273" s="5" t="s">
        <v>36</v>
      </c>
      <c r="R273" s="8" t="s">
        <v>37</v>
      </c>
      <c r="S273" s="5">
        <v>37.5</v>
      </c>
      <c r="T273" s="5" t="s">
        <v>38</v>
      </c>
      <c r="U273" s="8" t="str">
        <f t="shared" si="8"/>
        <v/>
      </c>
      <c r="V273" s="8" t="str">
        <f t="shared" si="9"/>
        <v/>
      </c>
      <c r="W273" s="8" t="str">
        <f>_xlfn.XLOOKUP(X273,ShiftCodes[Code],ShiftCodes[Work Schedule],"Unknown code")</f>
        <v>Standard (Mon–Fri 9:00–17:30)</v>
      </c>
      <c r="X273" s="9" t="s">
        <v>39</v>
      </c>
      <c r="Y273" s="5"/>
    </row>
    <row r="274" spans="1:25" ht="16" x14ac:dyDescent="0.2">
      <c r="A274" s="5" t="s">
        <v>400</v>
      </c>
      <c r="B274" s="5" t="s">
        <v>103</v>
      </c>
      <c r="C274" s="5" t="s">
        <v>106</v>
      </c>
      <c r="D274" s="5" t="s">
        <v>42</v>
      </c>
      <c r="E274" s="5" t="s">
        <v>29</v>
      </c>
      <c r="F274" s="5" t="s">
        <v>163</v>
      </c>
      <c r="G274" s="5" t="s">
        <v>31</v>
      </c>
      <c r="H274" s="5" t="s">
        <v>8</v>
      </c>
      <c r="I274" s="10">
        <v>153000</v>
      </c>
      <c r="J274" s="12"/>
      <c r="K274" s="5" t="s">
        <v>33</v>
      </c>
      <c r="L274" s="5" t="s">
        <v>34</v>
      </c>
      <c r="M274" s="6">
        <v>46062</v>
      </c>
      <c r="N274" s="6"/>
      <c r="O274" s="6"/>
      <c r="P274" s="5" t="s">
        <v>122</v>
      </c>
      <c r="Q274" s="5" t="s">
        <v>36</v>
      </c>
      <c r="R274" s="8" t="s">
        <v>37</v>
      </c>
      <c r="S274" s="5">
        <v>40</v>
      </c>
      <c r="T274" s="5" t="s">
        <v>38</v>
      </c>
      <c r="U274" s="8" t="str">
        <f t="shared" si="8"/>
        <v/>
      </c>
      <c r="V274" s="8" t="str">
        <f t="shared" si="9"/>
        <v/>
      </c>
      <c r="W274" s="8" t="str">
        <f>_xlfn.XLOOKUP(X274,ShiftCodes[Code],ShiftCodes[Work Schedule],"Unknown code")</f>
        <v>Standard (Mon–Fri 9:00–17:30)</v>
      </c>
      <c r="X274" s="9" t="s">
        <v>39</v>
      </c>
      <c r="Y274" s="5"/>
    </row>
    <row r="275" spans="1:25" ht="16" x14ac:dyDescent="0.2">
      <c r="A275" s="5" t="s">
        <v>401</v>
      </c>
      <c r="B275" s="5" t="s">
        <v>112</v>
      </c>
      <c r="C275" s="5" t="s">
        <v>100</v>
      </c>
      <c r="D275" s="5" t="s">
        <v>28</v>
      </c>
      <c r="E275" s="5" t="s">
        <v>29</v>
      </c>
      <c r="F275" s="5" t="s">
        <v>149</v>
      </c>
      <c r="G275" s="5" t="s">
        <v>31</v>
      </c>
      <c r="H275" s="5" t="s">
        <v>8</v>
      </c>
      <c r="I275" s="10">
        <v>112000</v>
      </c>
      <c r="J275" s="12"/>
      <c r="K275" s="5" t="s">
        <v>33</v>
      </c>
      <c r="L275" s="5" t="s">
        <v>34</v>
      </c>
      <c r="M275" s="6">
        <v>46250</v>
      </c>
      <c r="N275" s="6"/>
      <c r="O275" s="6"/>
      <c r="P275" s="5" t="s">
        <v>208</v>
      </c>
      <c r="Q275" s="5" t="s">
        <v>36</v>
      </c>
      <c r="R275" s="8" t="s">
        <v>37</v>
      </c>
      <c r="S275" s="5">
        <v>40</v>
      </c>
      <c r="T275" s="5" t="s">
        <v>38</v>
      </c>
      <c r="U275" s="8" t="str">
        <f t="shared" si="8"/>
        <v/>
      </c>
      <c r="V275" s="8" t="str">
        <f t="shared" si="9"/>
        <v/>
      </c>
      <c r="W275" s="8" t="str">
        <f>_xlfn.XLOOKUP(X275,ShiftCodes[Code],ShiftCodes[Work Schedule],"Unknown code")</f>
        <v>Standard (Mon–Fri 9:00–17:30)</v>
      </c>
      <c r="X275" s="9" t="s">
        <v>39</v>
      </c>
      <c r="Y275" s="5" t="s">
        <v>402</v>
      </c>
    </row>
    <row r="276" spans="1:25" ht="16" x14ac:dyDescent="0.2">
      <c r="A276" s="5" t="s">
        <v>403</v>
      </c>
      <c r="B276" s="5" t="s">
        <v>109</v>
      </c>
      <c r="C276" s="5" t="s">
        <v>76</v>
      </c>
      <c r="D276" s="5" t="s">
        <v>28</v>
      </c>
      <c r="E276" s="5" t="s">
        <v>29</v>
      </c>
      <c r="F276" s="5" t="s">
        <v>121</v>
      </c>
      <c r="G276" s="5" t="s">
        <v>78</v>
      </c>
      <c r="H276" s="5" t="s">
        <v>79</v>
      </c>
      <c r="I276" s="10"/>
      <c r="J276" s="12">
        <v>36.5</v>
      </c>
      <c r="K276" s="5" t="s">
        <v>33</v>
      </c>
      <c r="L276" s="5" t="s">
        <v>80</v>
      </c>
      <c r="M276" s="6">
        <v>46063</v>
      </c>
      <c r="N276" s="6"/>
      <c r="O276" s="6"/>
      <c r="P276" s="5" t="s">
        <v>161</v>
      </c>
      <c r="Q276" s="5" t="s">
        <v>36</v>
      </c>
      <c r="R276" s="8" t="s">
        <v>37</v>
      </c>
      <c r="S276" s="5">
        <v>24</v>
      </c>
      <c r="T276" s="5" t="s">
        <v>140</v>
      </c>
      <c r="U276" s="8" t="str">
        <f t="shared" si="8"/>
        <v>US Non-Exempt EEs</v>
      </c>
      <c r="V276" s="8" t="str">
        <f t="shared" si="9"/>
        <v>US California Non-Exempt</v>
      </c>
      <c r="W276" s="8" t="str">
        <f>_xlfn.XLOOKUP(X276,ShiftCodes[Code],ShiftCodes[Work Schedule],"Unknown code")</f>
        <v>Part-time – Day (Mon/Wed/Fri 06:00–14:30)</v>
      </c>
      <c r="X276" s="9" t="s">
        <v>141</v>
      </c>
      <c r="Y276" s="5"/>
    </row>
    <row r="277" spans="1:25" ht="16" x14ac:dyDescent="0.2">
      <c r="A277" s="5" t="s">
        <v>404</v>
      </c>
      <c r="B277" s="5" t="s">
        <v>103</v>
      </c>
      <c r="C277" s="5" t="s">
        <v>180</v>
      </c>
      <c r="D277" s="5" t="s">
        <v>52</v>
      </c>
      <c r="E277" s="5" t="s">
        <v>52</v>
      </c>
      <c r="F277" s="5" t="s">
        <v>156</v>
      </c>
      <c r="G277" s="5" t="s">
        <v>31</v>
      </c>
      <c r="H277" s="5" t="s">
        <v>8</v>
      </c>
      <c r="I277" s="10">
        <v>132000</v>
      </c>
      <c r="J277" s="17"/>
      <c r="K277" s="5" t="s">
        <v>55</v>
      </c>
      <c r="L277" s="5" t="s">
        <v>56</v>
      </c>
      <c r="M277" s="6">
        <v>46066</v>
      </c>
      <c r="N277" s="6"/>
      <c r="O277" s="6"/>
      <c r="P277" s="5" t="s">
        <v>218</v>
      </c>
      <c r="Q277" s="5" t="s">
        <v>36</v>
      </c>
      <c r="R277" s="8" t="s">
        <v>37</v>
      </c>
      <c r="S277" s="5">
        <v>37.5</v>
      </c>
      <c r="T277" s="5" t="s">
        <v>38</v>
      </c>
      <c r="U277" s="8" t="str">
        <f t="shared" si="8"/>
        <v/>
      </c>
      <c r="V277" s="8" t="str">
        <f t="shared" si="9"/>
        <v/>
      </c>
      <c r="W277" s="8" t="str">
        <f>_xlfn.XLOOKUP(X277,ShiftCodes[Code],ShiftCodes[Work Schedule],"Unknown code")</f>
        <v>Standard (Mon–Fri 9:00–17:30)</v>
      </c>
      <c r="X277" s="9" t="s">
        <v>39</v>
      </c>
      <c r="Y277" s="5"/>
    </row>
    <row r="278" spans="1:25" ht="16" x14ac:dyDescent="0.2">
      <c r="A278" s="5" t="s">
        <v>405</v>
      </c>
      <c r="B278" s="5" t="s">
        <v>109</v>
      </c>
      <c r="C278" s="5" t="s">
        <v>113</v>
      </c>
      <c r="D278" s="5" t="s">
        <v>84</v>
      </c>
      <c r="E278" s="5" t="s">
        <v>29</v>
      </c>
      <c r="F278" s="5" t="s">
        <v>130</v>
      </c>
      <c r="G278" s="5" t="s">
        <v>78</v>
      </c>
      <c r="H278" s="5" t="s">
        <v>79</v>
      </c>
      <c r="I278" s="10"/>
      <c r="J278" s="12">
        <v>26.5</v>
      </c>
      <c r="K278" s="5" t="s">
        <v>33</v>
      </c>
      <c r="L278" s="5" t="s">
        <v>80</v>
      </c>
      <c r="M278" s="6">
        <v>46070</v>
      </c>
      <c r="N278" s="6"/>
      <c r="O278" s="6"/>
      <c r="P278" s="5" t="s">
        <v>118</v>
      </c>
      <c r="Q278" s="5" t="s">
        <v>36</v>
      </c>
      <c r="R278" s="8" t="s">
        <v>37</v>
      </c>
      <c r="S278" s="5">
        <v>40</v>
      </c>
      <c r="T278" s="5" t="s">
        <v>38</v>
      </c>
      <c r="U278" s="8" t="str">
        <f t="shared" si="8"/>
        <v>US Non-Exempt EEs</v>
      </c>
      <c r="V278" s="8" t="str">
        <f t="shared" si="9"/>
        <v>US Non-California Non-Exempt</v>
      </c>
      <c r="W278" s="8" t="str">
        <f>_xlfn.XLOOKUP(X278,ShiftCodes[Code],ShiftCodes[Work Schedule],"Unknown code")</f>
        <v>Shift A – Day (Mon–Fri 06:00–14:30)</v>
      </c>
      <c r="X278" s="9" t="s">
        <v>81</v>
      </c>
      <c r="Y278" s="5"/>
    </row>
    <row r="279" spans="1:25" ht="16" x14ac:dyDescent="0.2">
      <c r="A279" s="5" t="s">
        <v>406</v>
      </c>
      <c r="B279" s="5" t="s">
        <v>103</v>
      </c>
      <c r="C279" s="5" t="s">
        <v>180</v>
      </c>
      <c r="D279" s="5" t="s">
        <v>52</v>
      </c>
      <c r="E279" s="5" t="s">
        <v>52</v>
      </c>
      <c r="F279" s="5" t="s">
        <v>156</v>
      </c>
      <c r="G279" s="5" t="s">
        <v>31</v>
      </c>
      <c r="H279" s="5" t="s">
        <v>8</v>
      </c>
      <c r="I279" s="10">
        <v>136000</v>
      </c>
      <c r="J279" s="17"/>
      <c r="K279" s="5" t="s">
        <v>55</v>
      </c>
      <c r="L279" s="5" t="s">
        <v>56</v>
      </c>
      <c r="M279" s="6">
        <v>46072</v>
      </c>
      <c r="N279" s="6"/>
      <c r="O279" s="6"/>
      <c r="P279" s="5" t="s">
        <v>218</v>
      </c>
      <c r="Q279" s="5" t="s">
        <v>36</v>
      </c>
      <c r="R279" s="8" t="s">
        <v>37</v>
      </c>
      <c r="S279" s="5">
        <v>37.5</v>
      </c>
      <c r="T279" s="5" t="s">
        <v>38</v>
      </c>
      <c r="U279" s="8" t="str">
        <f t="shared" si="8"/>
        <v/>
      </c>
      <c r="V279" s="8" t="str">
        <f t="shared" si="9"/>
        <v/>
      </c>
      <c r="W279" s="8" t="str">
        <f>_xlfn.XLOOKUP(X279,ShiftCodes[Code],ShiftCodes[Work Schedule],"Unknown code")</f>
        <v>Standard (Mon–Fri 9:00–17:30)</v>
      </c>
      <c r="X279" s="9" t="s">
        <v>39</v>
      </c>
      <c r="Y279" s="5"/>
    </row>
    <row r="280" spans="1:25" ht="16" x14ac:dyDescent="0.2">
      <c r="A280" s="5" t="s">
        <v>407</v>
      </c>
      <c r="B280" s="5" t="s">
        <v>103</v>
      </c>
      <c r="C280" s="5" t="s">
        <v>41</v>
      </c>
      <c r="D280" s="5" t="s">
        <v>154</v>
      </c>
      <c r="E280" s="5" t="s">
        <v>29</v>
      </c>
      <c r="F280" s="5" t="s">
        <v>165</v>
      </c>
      <c r="G280" s="5" t="s">
        <v>31</v>
      </c>
      <c r="H280" s="5" t="s">
        <v>8</v>
      </c>
      <c r="I280" s="10">
        <v>201000</v>
      </c>
      <c r="J280" s="12"/>
      <c r="K280" s="5" t="s">
        <v>33</v>
      </c>
      <c r="L280" s="5" t="s">
        <v>34</v>
      </c>
      <c r="M280" s="6">
        <v>46074</v>
      </c>
      <c r="N280" s="6"/>
      <c r="O280" s="6"/>
      <c r="P280" s="5" t="s">
        <v>181</v>
      </c>
      <c r="Q280" s="5" t="s">
        <v>36</v>
      </c>
      <c r="R280" s="8" t="s">
        <v>37</v>
      </c>
      <c r="S280" s="5">
        <v>40</v>
      </c>
      <c r="T280" s="5" t="s">
        <v>38</v>
      </c>
      <c r="U280" s="8" t="str">
        <f t="shared" si="8"/>
        <v/>
      </c>
      <c r="V280" s="8" t="str">
        <f t="shared" si="9"/>
        <v/>
      </c>
      <c r="W280" s="8" t="str">
        <f>_xlfn.XLOOKUP(X280,ShiftCodes[Code],ShiftCodes[Work Schedule],"Unknown code")</f>
        <v>Standard (Mon–Fri 9:00–17:30)</v>
      </c>
      <c r="X280" s="9" t="s">
        <v>39</v>
      </c>
      <c r="Y280" s="5"/>
    </row>
    <row r="281" spans="1:25" ht="16" x14ac:dyDescent="0.2">
      <c r="A281" s="5" t="s">
        <v>408</v>
      </c>
      <c r="B281" s="5" t="s">
        <v>112</v>
      </c>
      <c r="C281" s="5" t="s">
        <v>106</v>
      </c>
      <c r="D281" s="5" t="s">
        <v>42</v>
      </c>
      <c r="E281" s="5" t="s">
        <v>29</v>
      </c>
      <c r="F281" s="5" t="s">
        <v>156</v>
      </c>
      <c r="G281" s="5" t="s">
        <v>31</v>
      </c>
      <c r="H281" s="5" t="s">
        <v>8</v>
      </c>
      <c r="I281" s="10">
        <v>207000</v>
      </c>
      <c r="J281" s="12"/>
      <c r="K281" s="5" t="s">
        <v>33</v>
      </c>
      <c r="L281" s="5" t="s">
        <v>34</v>
      </c>
      <c r="M281" s="6">
        <v>46077</v>
      </c>
      <c r="N281" s="6"/>
      <c r="O281" s="6"/>
      <c r="P281" s="5" t="s">
        <v>187</v>
      </c>
      <c r="Q281" s="5" t="s">
        <v>36</v>
      </c>
      <c r="R281" s="8" t="s">
        <v>37</v>
      </c>
      <c r="S281" s="5">
        <v>40</v>
      </c>
      <c r="T281" s="5" t="s">
        <v>38</v>
      </c>
      <c r="U281" s="8" t="str">
        <f t="shared" si="8"/>
        <v/>
      </c>
      <c r="V281" s="8" t="str">
        <f t="shared" si="9"/>
        <v/>
      </c>
      <c r="W281" s="8" t="str">
        <f>_xlfn.XLOOKUP(X281,ShiftCodes[Code],ShiftCodes[Work Schedule],"Unknown code")</f>
        <v>Standard (Mon–Fri 9:00–17:30)</v>
      </c>
      <c r="X281" s="9" t="s">
        <v>39</v>
      </c>
      <c r="Y281" s="5"/>
    </row>
    <row r="282" spans="1:25" ht="16" x14ac:dyDescent="0.2">
      <c r="A282" s="5" t="s">
        <v>409</v>
      </c>
      <c r="B282" s="5" t="s">
        <v>99</v>
      </c>
      <c r="C282" s="5" t="s">
        <v>100</v>
      </c>
      <c r="D282" s="5" t="s">
        <v>28</v>
      </c>
      <c r="E282" s="5" t="s">
        <v>29</v>
      </c>
      <c r="F282" s="5" t="s">
        <v>124</v>
      </c>
      <c r="G282" s="5" t="s">
        <v>31</v>
      </c>
      <c r="H282" s="5" t="s">
        <v>8</v>
      </c>
      <c r="I282" s="10">
        <v>101000</v>
      </c>
      <c r="J282" s="12"/>
      <c r="K282" s="5" t="s">
        <v>33</v>
      </c>
      <c r="L282" s="5" t="s">
        <v>34</v>
      </c>
      <c r="M282" s="6">
        <v>46079</v>
      </c>
      <c r="N282" s="6"/>
      <c r="O282" s="6">
        <v>46277</v>
      </c>
      <c r="P282" s="5" t="s">
        <v>308</v>
      </c>
      <c r="Q282" s="5" t="s">
        <v>93</v>
      </c>
      <c r="R282" s="8" t="s">
        <v>37</v>
      </c>
      <c r="S282" s="5">
        <v>40</v>
      </c>
      <c r="T282" s="5" t="s">
        <v>38</v>
      </c>
      <c r="U282" s="8" t="str">
        <f t="shared" si="8"/>
        <v/>
      </c>
      <c r="V282" s="8" t="str">
        <f t="shared" si="9"/>
        <v/>
      </c>
      <c r="W282" s="8" t="str">
        <f>_xlfn.XLOOKUP(X282,ShiftCodes[Code],ShiftCodes[Work Schedule],"Unknown code")</f>
        <v>Standard (Mon–Fri 9:00–17:30)</v>
      </c>
      <c r="X282" s="9" t="s">
        <v>39</v>
      </c>
      <c r="Y282" s="5"/>
    </row>
    <row r="283" spans="1:25" ht="16" x14ac:dyDescent="0.2">
      <c r="A283" s="5" t="s">
        <v>410</v>
      </c>
      <c r="B283" s="5" t="s">
        <v>103</v>
      </c>
      <c r="C283" s="5" t="s">
        <v>41</v>
      </c>
      <c r="D283" s="5" t="s">
        <v>189</v>
      </c>
      <c r="E283" s="5" t="s">
        <v>29</v>
      </c>
      <c r="F283" s="5" t="s">
        <v>124</v>
      </c>
      <c r="G283" s="5" t="s">
        <v>31</v>
      </c>
      <c r="H283" s="5" t="s">
        <v>8</v>
      </c>
      <c r="I283" s="10">
        <v>125000</v>
      </c>
      <c r="J283" s="12"/>
      <c r="K283" s="5" t="s">
        <v>33</v>
      </c>
      <c r="L283" s="5" t="s">
        <v>34</v>
      </c>
      <c r="M283" s="6">
        <v>46081</v>
      </c>
      <c r="N283" s="6"/>
      <c r="O283" s="6"/>
      <c r="P283" s="5" t="s">
        <v>145</v>
      </c>
      <c r="Q283" s="5" t="s">
        <v>36</v>
      </c>
      <c r="R283" s="8" t="s">
        <v>37</v>
      </c>
      <c r="S283" s="5">
        <v>40</v>
      </c>
      <c r="T283" s="5" t="s">
        <v>38</v>
      </c>
      <c r="U283" s="8" t="str">
        <f t="shared" si="8"/>
        <v/>
      </c>
      <c r="V283" s="8" t="str">
        <f t="shared" si="9"/>
        <v/>
      </c>
      <c r="W283" s="8" t="str">
        <f>_xlfn.XLOOKUP(X283,ShiftCodes[Code],ShiftCodes[Work Schedule],"Unknown code")</f>
        <v>Standard (Mon–Fri 9:00–17:30)</v>
      </c>
      <c r="X283" s="9" t="s">
        <v>39</v>
      </c>
      <c r="Y283" s="5"/>
    </row>
    <row r="284" spans="1:25" ht="16" x14ac:dyDescent="0.2">
      <c r="A284" s="5" t="s">
        <v>411</v>
      </c>
      <c r="B284" s="5" t="s">
        <v>112</v>
      </c>
      <c r="C284" s="5" t="s">
        <v>100</v>
      </c>
      <c r="D284" s="5" t="s">
        <v>28</v>
      </c>
      <c r="E284" s="5" t="s">
        <v>29</v>
      </c>
      <c r="F284" s="5" t="s">
        <v>124</v>
      </c>
      <c r="G284" s="5" t="s">
        <v>31</v>
      </c>
      <c r="H284" s="5" t="s">
        <v>8</v>
      </c>
      <c r="I284" s="10">
        <v>133000</v>
      </c>
      <c r="J284" s="12"/>
      <c r="K284" s="5" t="s">
        <v>33</v>
      </c>
      <c r="L284" s="5" t="s">
        <v>34</v>
      </c>
      <c r="M284" s="6">
        <v>46281</v>
      </c>
      <c r="N284" s="6"/>
      <c r="O284" s="6"/>
      <c r="P284" s="5" t="s">
        <v>204</v>
      </c>
      <c r="Q284" s="5" t="s">
        <v>36</v>
      </c>
      <c r="R284" s="8" t="s">
        <v>37</v>
      </c>
      <c r="S284" s="5">
        <v>40</v>
      </c>
      <c r="T284" s="5" t="s">
        <v>38</v>
      </c>
      <c r="U284" s="8" t="str">
        <f t="shared" si="8"/>
        <v/>
      </c>
      <c r="V284" s="8" t="str">
        <f t="shared" si="9"/>
        <v/>
      </c>
      <c r="W284" s="8" t="str">
        <f>_xlfn.XLOOKUP(X284,ShiftCodes[Code],ShiftCodes[Work Schedule],"Unknown code")</f>
        <v>Standard (Mon–Fri 9:00–17:30)</v>
      </c>
      <c r="X284" s="9" t="s">
        <v>39</v>
      </c>
      <c r="Y284" s="5" t="s">
        <v>398</v>
      </c>
    </row>
    <row r="285" spans="1:25" ht="16" x14ac:dyDescent="0.2">
      <c r="A285" s="5" t="s">
        <v>412</v>
      </c>
      <c r="B285" s="5" t="s">
        <v>112</v>
      </c>
      <c r="C285" s="5" t="s">
        <v>106</v>
      </c>
      <c r="D285" s="5" t="s">
        <v>42</v>
      </c>
      <c r="E285" s="5" t="s">
        <v>29</v>
      </c>
      <c r="F285" s="5" t="s">
        <v>163</v>
      </c>
      <c r="G285" s="5" t="s">
        <v>31</v>
      </c>
      <c r="H285" s="5" t="s">
        <v>8</v>
      </c>
      <c r="I285" s="10">
        <v>160000</v>
      </c>
      <c r="J285" s="12"/>
      <c r="K285" s="5" t="s">
        <v>33</v>
      </c>
      <c r="L285" s="5" t="s">
        <v>34</v>
      </c>
      <c r="M285" s="6">
        <v>46089</v>
      </c>
      <c r="N285" s="6"/>
      <c r="O285" s="6"/>
      <c r="P285" s="5" t="s">
        <v>187</v>
      </c>
      <c r="Q285" s="5" t="s">
        <v>36</v>
      </c>
      <c r="R285" s="8" t="s">
        <v>37</v>
      </c>
      <c r="S285" s="5">
        <v>40</v>
      </c>
      <c r="T285" s="5" t="s">
        <v>38</v>
      </c>
      <c r="U285" s="8" t="str">
        <f t="shared" si="8"/>
        <v/>
      </c>
      <c r="V285" s="8" t="str">
        <f t="shared" si="9"/>
        <v/>
      </c>
      <c r="W285" s="8" t="str">
        <f>_xlfn.XLOOKUP(X285,ShiftCodes[Code],ShiftCodes[Work Schedule],"Unknown code")</f>
        <v>Standard (Mon–Fri 9:00–17:30)</v>
      </c>
      <c r="X285" s="9" t="s">
        <v>39</v>
      </c>
      <c r="Y285" s="5"/>
    </row>
    <row r="286" spans="1:25" ht="16" x14ac:dyDescent="0.2">
      <c r="A286" s="5" t="s">
        <v>413</v>
      </c>
      <c r="B286" s="5" t="s">
        <v>103</v>
      </c>
      <c r="C286" s="5" t="s">
        <v>100</v>
      </c>
      <c r="D286" s="5" t="s">
        <v>28</v>
      </c>
      <c r="E286" s="5" t="s">
        <v>29</v>
      </c>
      <c r="F286" s="5" t="s">
        <v>165</v>
      </c>
      <c r="G286" s="5" t="s">
        <v>31</v>
      </c>
      <c r="H286" s="5" t="s">
        <v>8</v>
      </c>
      <c r="I286" s="10">
        <v>201000</v>
      </c>
      <c r="J286" s="12"/>
      <c r="K286" s="5" t="s">
        <v>33</v>
      </c>
      <c r="L286" s="5" t="s">
        <v>34</v>
      </c>
      <c r="M286" s="6">
        <v>46091</v>
      </c>
      <c r="N286" s="6"/>
      <c r="O286" s="6"/>
      <c r="P286" s="5" t="s">
        <v>175</v>
      </c>
      <c r="Q286" s="5" t="s">
        <v>36</v>
      </c>
      <c r="R286" s="8" t="s">
        <v>37</v>
      </c>
      <c r="S286" s="5">
        <v>40</v>
      </c>
      <c r="T286" s="5" t="s">
        <v>38</v>
      </c>
      <c r="U286" s="8" t="str">
        <f t="shared" si="8"/>
        <v/>
      </c>
      <c r="V286" s="8" t="str">
        <f t="shared" si="9"/>
        <v/>
      </c>
      <c r="W286" s="8" t="str">
        <f>_xlfn.XLOOKUP(X286,ShiftCodes[Code],ShiftCodes[Work Schedule],"Unknown code")</f>
        <v>Standard (Mon–Fri 9:00–17:30)</v>
      </c>
      <c r="X286" s="9" t="s">
        <v>39</v>
      </c>
      <c r="Y286" s="5"/>
    </row>
    <row r="287" spans="1:25" ht="16" x14ac:dyDescent="0.2">
      <c r="A287" s="5" t="s">
        <v>414</v>
      </c>
      <c r="B287" s="5" t="s">
        <v>99</v>
      </c>
      <c r="C287" s="5" t="s">
        <v>100</v>
      </c>
      <c r="D287" s="5" t="s">
        <v>28</v>
      </c>
      <c r="E287" s="5" t="s">
        <v>29</v>
      </c>
      <c r="F287" s="5" t="s">
        <v>165</v>
      </c>
      <c r="G287" s="5" t="s">
        <v>31</v>
      </c>
      <c r="H287" s="5" t="s">
        <v>8</v>
      </c>
      <c r="I287" s="10">
        <v>145000</v>
      </c>
      <c r="J287" s="12"/>
      <c r="K287" s="5" t="s">
        <v>33</v>
      </c>
      <c r="L287" s="5" t="s">
        <v>34</v>
      </c>
      <c r="M287" s="6">
        <v>46095</v>
      </c>
      <c r="N287" s="6"/>
      <c r="O287" s="6"/>
      <c r="P287" s="5" t="s">
        <v>186</v>
      </c>
      <c r="Q287" s="5" t="s">
        <v>36</v>
      </c>
      <c r="R287" s="8" t="s">
        <v>37</v>
      </c>
      <c r="S287" s="5">
        <v>40</v>
      </c>
      <c r="T287" s="5" t="s">
        <v>38</v>
      </c>
      <c r="U287" s="8" t="str">
        <f t="shared" si="8"/>
        <v/>
      </c>
      <c r="V287" s="8" t="str">
        <f t="shared" si="9"/>
        <v/>
      </c>
      <c r="W287" s="8" t="str">
        <f>_xlfn.XLOOKUP(X287,ShiftCodes[Code],ShiftCodes[Work Schedule],"Unknown code")</f>
        <v>Standard (Mon–Fri 9:00–17:30)</v>
      </c>
      <c r="X287" s="9" t="s">
        <v>39</v>
      </c>
      <c r="Y287" s="5"/>
    </row>
    <row r="288" spans="1:25" ht="16" x14ac:dyDescent="0.2">
      <c r="A288" s="5" t="s">
        <v>415</v>
      </c>
      <c r="B288" s="5" t="s">
        <v>99</v>
      </c>
      <c r="C288" s="5" t="s">
        <v>180</v>
      </c>
      <c r="D288" s="5" t="s">
        <v>52</v>
      </c>
      <c r="E288" s="5" t="s">
        <v>52</v>
      </c>
      <c r="F288" s="5" t="s">
        <v>236</v>
      </c>
      <c r="G288" s="5" t="s">
        <v>31</v>
      </c>
      <c r="H288" s="5" t="s">
        <v>8</v>
      </c>
      <c r="I288" s="10">
        <v>120000</v>
      </c>
      <c r="J288" s="17"/>
      <c r="K288" s="5" t="s">
        <v>55</v>
      </c>
      <c r="L288" s="5" t="s">
        <v>56</v>
      </c>
      <c r="M288" s="6">
        <v>46095</v>
      </c>
      <c r="N288" s="6"/>
      <c r="O288" s="6"/>
      <c r="P288" s="5" t="s">
        <v>191</v>
      </c>
      <c r="Q288" s="5" t="s">
        <v>36</v>
      </c>
      <c r="R288" s="8" t="s">
        <v>37</v>
      </c>
      <c r="S288" s="5">
        <v>37.5</v>
      </c>
      <c r="T288" s="5" t="s">
        <v>38</v>
      </c>
      <c r="U288" s="8" t="str">
        <f t="shared" si="8"/>
        <v/>
      </c>
      <c r="V288" s="8" t="str">
        <f t="shared" si="9"/>
        <v/>
      </c>
      <c r="W288" s="8" t="str">
        <f>_xlfn.XLOOKUP(X288,ShiftCodes[Code],ShiftCodes[Work Schedule],"Unknown code")</f>
        <v>Standard (Mon–Fri 9:00–17:30)</v>
      </c>
      <c r="X288" s="9" t="s">
        <v>39</v>
      </c>
      <c r="Y288" s="5"/>
    </row>
    <row r="289" spans="1:25" ht="16" x14ac:dyDescent="0.2">
      <c r="A289" s="5" t="s">
        <v>416</v>
      </c>
      <c r="B289" s="5" t="s">
        <v>99</v>
      </c>
      <c r="C289" s="5" t="s">
        <v>100</v>
      </c>
      <c r="D289" s="5" t="s">
        <v>28</v>
      </c>
      <c r="E289" s="5" t="s">
        <v>29</v>
      </c>
      <c r="F289" s="5" t="s">
        <v>165</v>
      </c>
      <c r="G289" s="5" t="s">
        <v>31</v>
      </c>
      <c r="H289" s="5" t="s">
        <v>8</v>
      </c>
      <c r="I289" s="10">
        <v>173000</v>
      </c>
      <c r="J289" s="12"/>
      <c r="K289" s="5" t="s">
        <v>33</v>
      </c>
      <c r="L289" s="5" t="s">
        <v>34</v>
      </c>
      <c r="M289" s="6">
        <v>46096</v>
      </c>
      <c r="N289" s="6"/>
      <c r="O289" s="6"/>
      <c r="P289" s="5" t="s">
        <v>308</v>
      </c>
      <c r="Q289" s="5" t="s">
        <v>36</v>
      </c>
      <c r="R289" s="8" t="s">
        <v>37</v>
      </c>
      <c r="S289" s="5">
        <v>40</v>
      </c>
      <c r="T289" s="5" t="s">
        <v>38</v>
      </c>
      <c r="U289" s="8" t="str">
        <f t="shared" si="8"/>
        <v/>
      </c>
      <c r="V289" s="8" t="str">
        <f t="shared" si="9"/>
        <v/>
      </c>
      <c r="W289" s="8" t="str">
        <f>_xlfn.XLOOKUP(X289,ShiftCodes[Code],ShiftCodes[Work Schedule],"Unknown code")</f>
        <v>Standard (Mon–Fri 9:00–17:30)</v>
      </c>
      <c r="X289" s="9" t="s">
        <v>39</v>
      </c>
      <c r="Y289" s="5"/>
    </row>
    <row r="290" spans="1:25" ht="16" x14ac:dyDescent="0.2">
      <c r="A290" s="5" t="s">
        <v>417</v>
      </c>
      <c r="B290" s="5" t="s">
        <v>109</v>
      </c>
      <c r="C290" s="5" t="s">
        <v>113</v>
      </c>
      <c r="D290" s="5" t="s">
        <v>84</v>
      </c>
      <c r="E290" s="5" t="s">
        <v>29</v>
      </c>
      <c r="F290" s="5" t="s">
        <v>124</v>
      </c>
      <c r="G290" s="5" t="s">
        <v>31</v>
      </c>
      <c r="H290" s="5" t="s">
        <v>8</v>
      </c>
      <c r="I290" s="10">
        <v>144000</v>
      </c>
      <c r="J290" s="12"/>
      <c r="K290" s="5" t="s">
        <v>33</v>
      </c>
      <c r="L290" s="5" t="s">
        <v>34</v>
      </c>
      <c r="M290" s="6">
        <v>46096</v>
      </c>
      <c r="N290" s="6"/>
      <c r="O290" s="6"/>
      <c r="P290" s="5" t="s">
        <v>178</v>
      </c>
      <c r="Q290" s="5" t="s">
        <v>36</v>
      </c>
      <c r="R290" s="8" t="s">
        <v>37</v>
      </c>
      <c r="S290" s="5">
        <v>40</v>
      </c>
      <c r="T290" s="5" t="s">
        <v>38</v>
      </c>
      <c r="U290" s="8" t="str">
        <f t="shared" si="8"/>
        <v/>
      </c>
      <c r="V290" s="8" t="str">
        <f t="shared" si="9"/>
        <v/>
      </c>
      <c r="W290" s="8" t="str">
        <f>_xlfn.XLOOKUP(X290,ShiftCodes[Code],ShiftCodes[Work Schedule],"Unknown code")</f>
        <v>Standard (Mon–Fri 9:00–17:30)</v>
      </c>
      <c r="X290" s="9" t="s">
        <v>39</v>
      </c>
      <c r="Y290" s="5"/>
    </row>
    <row r="291" spans="1:25" ht="16" x14ac:dyDescent="0.2">
      <c r="A291" s="5" t="s">
        <v>418</v>
      </c>
      <c r="B291" s="5" t="s">
        <v>99</v>
      </c>
      <c r="C291" s="5" t="s">
        <v>127</v>
      </c>
      <c r="D291" s="5" t="s">
        <v>90</v>
      </c>
      <c r="E291" s="5" t="s">
        <v>29</v>
      </c>
      <c r="F291" s="5" t="s">
        <v>149</v>
      </c>
      <c r="G291" s="5" t="s">
        <v>31</v>
      </c>
      <c r="H291" s="5" t="s">
        <v>8</v>
      </c>
      <c r="I291" s="10">
        <v>90000</v>
      </c>
      <c r="J291" s="12"/>
      <c r="K291" s="5" t="s">
        <v>33</v>
      </c>
      <c r="L291" s="5" t="s">
        <v>34</v>
      </c>
      <c r="M291" s="6">
        <v>46099</v>
      </c>
      <c r="N291" s="6"/>
      <c r="O291" s="6"/>
      <c r="P291" s="5" t="s">
        <v>231</v>
      </c>
      <c r="Q291" s="5" t="s">
        <v>36</v>
      </c>
      <c r="R291" s="8" t="s">
        <v>37</v>
      </c>
      <c r="S291" s="5">
        <v>40</v>
      </c>
      <c r="T291" s="5" t="s">
        <v>38</v>
      </c>
      <c r="U291" s="8" t="str">
        <f t="shared" si="8"/>
        <v/>
      </c>
      <c r="V291" s="8" t="str">
        <f t="shared" si="9"/>
        <v/>
      </c>
      <c r="W291" s="8" t="str">
        <f>_xlfn.XLOOKUP(X291,ShiftCodes[Code],ShiftCodes[Work Schedule],"Unknown code")</f>
        <v>Standard (Mon–Fri 9:00–17:30)</v>
      </c>
      <c r="X291" s="9" t="s">
        <v>39</v>
      </c>
      <c r="Y291" s="5"/>
    </row>
    <row r="292" spans="1:25" ht="16" x14ac:dyDescent="0.2">
      <c r="A292" s="5" t="s">
        <v>419</v>
      </c>
      <c r="B292" s="5" t="s">
        <v>109</v>
      </c>
      <c r="C292" s="5" t="s">
        <v>113</v>
      </c>
      <c r="D292" s="5" t="s">
        <v>84</v>
      </c>
      <c r="E292" s="5" t="s">
        <v>29</v>
      </c>
      <c r="F292" s="5" t="s">
        <v>130</v>
      </c>
      <c r="G292" s="5" t="s">
        <v>78</v>
      </c>
      <c r="H292" s="5" t="s">
        <v>79</v>
      </c>
      <c r="I292" s="10"/>
      <c r="J292" s="12">
        <v>25.75</v>
      </c>
      <c r="K292" s="5" t="s">
        <v>33</v>
      </c>
      <c r="L292" s="5" t="s">
        <v>80</v>
      </c>
      <c r="M292" s="6">
        <v>46099</v>
      </c>
      <c r="N292" s="6"/>
      <c r="O292" s="6"/>
      <c r="P292" s="5" t="s">
        <v>202</v>
      </c>
      <c r="Q292" s="5" t="s">
        <v>36</v>
      </c>
      <c r="R292" s="8" t="s">
        <v>37</v>
      </c>
      <c r="S292" s="5">
        <v>36</v>
      </c>
      <c r="T292" s="5" t="s">
        <v>38</v>
      </c>
      <c r="U292" s="8" t="str">
        <f t="shared" si="8"/>
        <v>US Non-Exempt EEs</v>
      </c>
      <c r="V292" s="8" t="str">
        <f t="shared" si="9"/>
        <v>US Non-California Non-Exempt</v>
      </c>
      <c r="W292" s="8" t="str">
        <f>_xlfn.XLOOKUP(X292,ShiftCodes[Code],ShiftCodes[Work Schedule],"Unknown code")</f>
        <v>Shift D – Weekend (Fri–Sun 06:00–18:30)</v>
      </c>
      <c r="X292" s="9" t="s">
        <v>151</v>
      </c>
      <c r="Y292" s="5"/>
    </row>
    <row r="293" spans="1:25" ht="16" x14ac:dyDescent="0.2">
      <c r="A293" s="5" t="s">
        <v>420</v>
      </c>
      <c r="B293" s="5" t="s">
        <v>112</v>
      </c>
      <c r="C293" s="5" t="s">
        <v>68</v>
      </c>
      <c r="D293" s="5" t="s">
        <v>69</v>
      </c>
      <c r="E293" s="5" t="s">
        <v>70</v>
      </c>
      <c r="F293" s="5" t="s">
        <v>165</v>
      </c>
      <c r="G293" s="5" t="s">
        <v>31</v>
      </c>
      <c r="H293" s="5" t="s">
        <v>8</v>
      </c>
      <c r="I293" s="15">
        <v>4780000</v>
      </c>
      <c r="J293" s="16"/>
      <c r="K293" s="5" t="s">
        <v>72</v>
      </c>
      <c r="L293" s="5" t="s">
        <v>73</v>
      </c>
      <c r="M293" s="6">
        <v>46100</v>
      </c>
      <c r="N293" s="6"/>
      <c r="O293" s="6"/>
      <c r="P293" s="5" t="s">
        <v>209</v>
      </c>
      <c r="Q293" s="5" t="s">
        <v>36</v>
      </c>
      <c r="R293" s="8" t="s">
        <v>37</v>
      </c>
      <c r="S293" s="5">
        <v>40</v>
      </c>
      <c r="T293" s="5" t="s">
        <v>38</v>
      </c>
      <c r="U293" s="8" t="str">
        <f t="shared" si="8"/>
        <v/>
      </c>
      <c r="V293" s="8" t="str">
        <f t="shared" si="9"/>
        <v/>
      </c>
      <c r="W293" s="8" t="str">
        <f>_xlfn.XLOOKUP(X293,ShiftCodes[Code],ShiftCodes[Work Schedule],"Unknown code")</f>
        <v>Standard (Mon–Fri 9:00–17:30)</v>
      </c>
      <c r="X293" s="9" t="s">
        <v>39</v>
      </c>
      <c r="Y293" s="5"/>
    </row>
    <row r="294" spans="1:25" ht="16" x14ac:dyDescent="0.2">
      <c r="A294" s="5" t="s">
        <v>421</v>
      </c>
      <c r="B294" s="5" t="s">
        <v>112</v>
      </c>
      <c r="C294" s="5" t="s">
        <v>100</v>
      </c>
      <c r="D294" s="5" t="s">
        <v>28</v>
      </c>
      <c r="E294" s="5" t="s">
        <v>29</v>
      </c>
      <c r="F294" s="5" t="s">
        <v>163</v>
      </c>
      <c r="G294" s="5" t="s">
        <v>31</v>
      </c>
      <c r="H294" s="5" t="s">
        <v>8</v>
      </c>
      <c r="I294" s="10">
        <v>144000</v>
      </c>
      <c r="J294" s="12"/>
      <c r="K294" s="5" t="s">
        <v>33</v>
      </c>
      <c r="L294" s="5" t="s">
        <v>34</v>
      </c>
      <c r="M294" s="6">
        <v>46103</v>
      </c>
      <c r="N294" s="6"/>
      <c r="O294" s="6"/>
      <c r="P294" s="5" t="s">
        <v>143</v>
      </c>
      <c r="Q294" s="5" t="s">
        <v>36</v>
      </c>
      <c r="R294" s="8" t="s">
        <v>37</v>
      </c>
      <c r="S294" s="5">
        <v>40</v>
      </c>
      <c r="T294" s="5" t="s">
        <v>38</v>
      </c>
      <c r="U294" s="8" t="str">
        <f t="shared" si="8"/>
        <v/>
      </c>
      <c r="V294" s="8" t="str">
        <f t="shared" si="9"/>
        <v/>
      </c>
      <c r="W294" s="8" t="str">
        <f>_xlfn.XLOOKUP(X294,ShiftCodes[Code],ShiftCodes[Work Schedule],"Unknown code")</f>
        <v>Standard (Mon–Fri 9:00–17:30)</v>
      </c>
      <c r="X294" s="9" t="s">
        <v>39</v>
      </c>
      <c r="Y294" s="5"/>
    </row>
    <row r="295" spans="1:25" ht="16" x14ac:dyDescent="0.2">
      <c r="A295" s="5" t="s">
        <v>422</v>
      </c>
      <c r="B295" s="5" t="s">
        <v>99</v>
      </c>
      <c r="C295" s="5" t="s">
        <v>100</v>
      </c>
      <c r="D295" s="5" t="s">
        <v>28</v>
      </c>
      <c r="E295" s="5" t="s">
        <v>29</v>
      </c>
      <c r="F295" s="5" t="s">
        <v>163</v>
      </c>
      <c r="G295" s="5" t="s">
        <v>31</v>
      </c>
      <c r="H295" s="5" t="s">
        <v>8</v>
      </c>
      <c r="I295" s="10">
        <v>127000</v>
      </c>
      <c r="J295" s="12"/>
      <c r="K295" s="5" t="s">
        <v>33</v>
      </c>
      <c r="L295" s="5" t="s">
        <v>34</v>
      </c>
      <c r="M295" s="6">
        <v>46266</v>
      </c>
      <c r="N295" s="6"/>
      <c r="O295" s="6"/>
      <c r="P295" s="5" t="s">
        <v>308</v>
      </c>
      <c r="Q295" s="5" t="s">
        <v>36</v>
      </c>
      <c r="R295" s="8" t="s">
        <v>37</v>
      </c>
      <c r="S295" s="5">
        <v>40</v>
      </c>
      <c r="T295" s="5" t="s">
        <v>38</v>
      </c>
      <c r="U295" s="8" t="str">
        <f t="shared" si="8"/>
        <v/>
      </c>
      <c r="V295" s="8" t="str">
        <f t="shared" si="9"/>
        <v/>
      </c>
      <c r="W295" s="8" t="str">
        <f>_xlfn.XLOOKUP(X295,ShiftCodes[Code],ShiftCodes[Work Schedule],"Unknown code")</f>
        <v>Standard (Mon–Fri 9:00–17:30)</v>
      </c>
      <c r="X295" s="9" t="s">
        <v>39</v>
      </c>
      <c r="Y295" s="5" t="s">
        <v>423</v>
      </c>
    </row>
    <row r="296" spans="1:25" ht="16" x14ac:dyDescent="0.2">
      <c r="A296" s="5" t="s">
        <v>424</v>
      </c>
      <c r="B296" s="5" t="s">
        <v>99</v>
      </c>
      <c r="C296" s="5" t="s">
        <v>68</v>
      </c>
      <c r="D296" s="5" t="s">
        <v>69</v>
      </c>
      <c r="E296" s="5" t="s">
        <v>70</v>
      </c>
      <c r="F296" s="5" t="s">
        <v>149</v>
      </c>
      <c r="G296" s="5" t="s">
        <v>31</v>
      </c>
      <c r="H296" s="5" t="s">
        <v>8</v>
      </c>
      <c r="I296" s="15">
        <v>1250000</v>
      </c>
      <c r="J296" s="16"/>
      <c r="K296" s="5" t="s">
        <v>72</v>
      </c>
      <c r="L296" s="5" t="s">
        <v>73</v>
      </c>
      <c r="M296" s="6">
        <v>46108</v>
      </c>
      <c r="N296" s="6"/>
      <c r="O296" s="6"/>
      <c r="P296" s="5" t="s">
        <v>171</v>
      </c>
      <c r="Q296" s="5" t="s">
        <v>36</v>
      </c>
      <c r="R296" s="8" t="s">
        <v>37</v>
      </c>
      <c r="S296" s="5">
        <v>40</v>
      </c>
      <c r="T296" s="5" t="s">
        <v>38</v>
      </c>
      <c r="U296" s="8" t="str">
        <f t="shared" si="8"/>
        <v/>
      </c>
      <c r="V296" s="8" t="str">
        <f t="shared" si="9"/>
        <v/>
      </c>
      <c r="W296" s="8" t="str">
        <f>_xlfn.XLOOKUP(X296,ShiftCodes[Code],ShiftCodes[Work Schedule],"Unknown code")</f>
        <v>Standard (Mon–Fri 9:00–17:30)</v>
      </c>
      <c r="X296" s="9" t="s">
        <v>39</v>
      </c>
      <c r="Y296" s="5"/>
    </row>
    <row r="297" spans="1:25" ht="16" x14ac:dyDescent="0.2">
      <c r="A297" s="5" t="s">
        <v>425</v>
      </c>
      <c r="B297" s="5" t="s">
        <v>103</v>
      </c>
      <c r="C297" s="5" t="s">
        <v>100</v>
      </c>
      <c r="D297" s="5" t="s">
        <v>28</v>
      </c>
      <c r="E297" s="5" t="s">
        <v>29</v>
      </c>
      <c r="F297" s="5" t="s">
        <v>156</v>
      </c>
      <c r="G297" s="5" t="s">
        <v>31</v>
      </c>
      <c r="H297" s="5" t="s">
        <v>8</v>
      </c>
      <c r="I297" s="10">
        <v>208000</v>
      </c>
      <c r="J297" s="12"/>
      <c r="K297" s="5" t="s">
        <v>33</v>
      </c>
      <c r="L297" s="5" t="s">
        <v>34</v>
      </c>
      <c r="M297" s="6">
        <v>46109</v>
      </c>
      <c r="N297" s="6"/>
      <c r="O297" s="6"/>
      <c r="P297" s="5" t="s">
        <v>274</v>
      </c>
      <c r="Q297" s="5" t="s">
        <v>36</v>
      </c>
      <c r="R297" s="8" t="s">
        <v>37</v>
      </c>
      <c r="S297" s="5">
        <v>40</v>
      </c>
      <c r="T297" s="5" t="s">
        <v>38</v>
      </c>
      <c r="U297" s="8" t="str">
        <f t="shared" si="8"/>
        <v/>
      </c>
      <c r="V297" s="8" t="str">
        <f t="shared" si="9"/>
        <v/>
      </c>
      <c r="W297" s="8" t="str">
        <f>_xlfn.XLOOKUP(X297,ShiftCodes[Code],ShiftCodes[Work Schedule],"Unknown code")</f>
        <v>Standard (Mon–Fri 9:00–17:30)</v>
      </c>
      <c r="X297" s="9" t="s">
        <v>39</v>
      </c>
      <c r="Y297" s="5"/>
    </row>
    <row r="298" spans="1:25" ht="16" x14ac:dyDescent="0.2">
      <c r="A298" s="5" t="s">
        <v>426</v>
      </c>
      <c r="B298" s="5" t="s">
        <v>109</v>
      </c>
      <c r="C298" s="5" t="s">
        <v>113</v>
      </c>
      <c r="D298" s="5" t="s">
        <v>84</v>
      </c>
      <c r="E298" s="5" t="s">
        <v>29</v>
      </c>
      <c r="F298" s="5" t="s">
        <v>163</v>
      </c>
      <c r="G298" s="5" t="s">
        <v>31</v>
      </c>
      <c r="H298" s="5" t="s">
        <v>8</v>
      </c>
      <c r="I298" s="10">
        <v>170000</v>
      </c>
      <c r="J298" s="12"/>
      <c r="K298" s="5" t="s">
        <v>33</v>
      </c>
      <c r="L298" s="5" t="s">
        <v>34</v>
      </c>
      <c r="M298" s="6">
        <v>46110</v>
      </c>
      <c r="N298" s="6"/>
      <c r="O298" s="6"/>
      <c r="P298" s="5" t="s">
        <v>178</v>
      </c>
      <c r="Q298" s="5" t="s">
        <v>36</v>
      </c>
      <c r="R298" s="8" t="s">
        <v>37</v>
      </c>
      <c r="S298" s="5">
        <v>40</v>
      </c>
      <c r="T298" s="5" t="s">
        <v>38</v>
      </c>
      <c r="U298" s="8" t="str">
        <f t="shared" si="8"/>
        <v/>
      </c>
      <c r="V298" s="8" t="str">
        <f t="shared" si="9"/>
        <v/>
      </c>
      <c r="W298" s="8" t="str">
        <f>_xlfn.XLOOKUP(X298,ShiftCodes[Code],ShiftCodes[Work Schedule],"Unknown code")</f>
        <v>Standard (Mon–Fri 9:00–17:30)</v>
      </c>
      <c r="X298" s="9" t="s">
        <v>39</v>
      </c>
      <c r="Y298" s="5"/>
    </row>
    <row r="299" spans="1:25" ht="16" x14ac:dyDescent="0.2">
      <c r="A299" s="5" t="s">
        <v>427</v>
      </c>
      <c r="B299" s="5" t="s">
        <v>99</v>
      </c>
      <c r="C299" s="5" t="s">
        <v>100</v>
      </c>
      <c r="D299" s="5" t="s">
        <v>28</v>
      </c>
      <c r="E299" s="5" t="s">
        <v>29</v>
      </c>
      <c r="F299" s="5" t="s">
        <v>124</v>
      </c>
      <c r="G299" s="5" t="s">
        <v>31</v>
      </c>
      <c r="H299" s="5" t="s">
        <v>8</v>
      </c>
      <c r="I299" s="10">
        <v>110000</v>
      </c>
      <c r="J299" s="12"/>
      <c r="K299" s="5" t="s">
        <v>33</v>
      </c>
      <c r="L299" s="5" t="s">
        <v>34</v>
      </c>
      <c r="M299" s="6">
        <v>46250</v>
      </c>
      <c r="N299" s="6"/>
      <c r="O299" s="6"/>
      <c r="P299" s="5" t="s">
        <v>186</v>
      </c>
      <c r="Q299" s="5" t="s">
        <v>36</v>
      </c>
      <c r="R299" s="8" t="s">
        <v>37</v>
      </c>
      <c r="S299" s="5">
        <v>40</v>
      </c>
      <c r="T299" s="5" t="s">
        <v>38</v>
      </c>
      <c r="U299" s="8" t="str">
        <f t="shared" si="8"/>
        <v/>
      </c>
      <c r="V299" s="8" t="str">
        <f t="shared" si="9"/>
        <v/>
      </c>
      <c r="W299" s="8" t="str">
        <f>_xlfn.XLOOKUP(X299,ShiftCodes[Code],ShiftCodes[Work Schedule],"Unknown code")</f>
        <v>Standard (Mon–Fri 9:00–17:30)</v>
      </c>
      <c r="X299" s="9" t="s">
        <v>39</v>
      </c>
      <c r="Y299" s="5" t="s">
        <v>402</v>
      </c>
    </row>
    <row r="300" spans="1:25" ht="16" x14ac:dyDescent="0.2">
      <c r="A300" s="5" t="s">
        <v>428</v>
      </c>
      <c r="B300" s="5" t="s">
        <v>109</v>
      </c>
      <c r="C300" s="5" t="s">
        <v>76</v>
      </c>
      <c r="D300" s="5" t="s">
        <v>28</v>
      </c>
      <c r="E300" s="5" t="s">
        <v>29</v>
      </c>
      <c r="F300" s="5" t="s">
        <v>163</v>
      </c>
      <c r="G300" s="5" t="s">
        <v>31</v>
      </c>
      <c r="H300" s="5" t="s">
        <v>8</v>
      </c>
      <c r="I300" s="10">
        <v>161000</v>
      </c>
      <c r="J300" s="12"/>
      <c r="K300" s="5" t="s">
        <v>33</v>
      </c>
      <c r="L300" s="5" t="s">
        <v>34</v>
      </c>
      <c r="M300" s="6">
        <v>46112</v>
      </c>
      <c r="N300" s="6"/>
      <c r="O300" s="6"/>
      <c r="P300" s="5" t="s">
        <v>213</v>
      </c>
      <c r="Q300" s="5" t="s">
        <v>36</v>
      </c>
      <c r="R300" s="8" t="s">
        <v>37</v>
      </c>
      <c r="S300" s="5">
        <v>40</v>
      </c>
      <c r="T300" s="5" t="s">
        <v>38</v>
      </c>
      <c r="U300" s="8" t="str">
        <f t="shared" si="8"/>
        <v/>
      </c>
      <c r="V300" s="8" t="str">
        <f t="shared" si="9"/>
        <v/>
      </c>
      <c r="W300" s="8" t="str">
        <f>_xlfn.XLOOKUP(X300,ShiftCodes[Code],ShiftCodes[Work Schedule],"Unknown code")</f>
        <v>Standard (Mon–Fri 9:00–17:30)</v>
      </c>
      <c r="X300" s="9" t="s">
        <v>39</v>
      </c>
      <c r="Y300" s="5"/>
    </row>
    <row r="301" spans="1:25" ht="16" x14ac:dyDescent="0.2">
      <c r="A301" s="5" t="s">
        <v>429</v>
      </c>
      <c r="B301" s="5" t="s">
        <v>103</v>
      </c>
      <c r="C301" s="5" t="s">
        <v>106</v>
      </c>
      <c r="D301" s="5" t="s">
        <v>42</v>
      </c>
      <c r="E301" s="5" t="s">
        <v>29</v>
      </c>
      <c r="F301" s="5" t="s">
        <v>163</v>
      </c>
      <c r="G301" s="5" t="s">
        <v>31</v>
      </c>
      <c r="H301" s="5" t="s">
        <v>8</v>
      </c>
      <c r="I301" s="10">
        <v>146000</v>
      </c>
      <c r="J301" s="12"/>
      <c r="K301" s="5" t="s">
        <v>33</v>
      </c>
      <c r="L301" s="5" t="s">
        <v>34</v>
      </c>
      <c r="M301" s="6">
        <v>46115</v>
      </c>
      <c r="N301" s="6"/>
      <c r="O301" s="6"/>
      <c r="P301" s="5" t="s">
        <v>226</v>
      </c>
      <c r="Q301" s="5" t="s">
        <v>36</v>
      </c>
      <c r="R301" s="8" t="s">
        <v>37</v>
      </c>
      <c r="S301" s="5">
        <v>40</v>
      </c>
      <c r="T301" s="5" t="s">
        <v>38</v>
      </c>
      <c r="U301" s="8" t="str">
        <f t="shared" si="8"/>
        <v/>
      </c>
      <c r="V301" s="8" t="str">
        <f t="shared" si="9"/>
        <v/>
      </c>
      <c r="W301" s="8" t="str">
        <f>_xlfn.XLOOKUP(X301,ShiftCodes[Code],ShiftCodes[Work Schedule],"Unknown code")</f>
        <v>Standard (Mon–Fri 9:00–17:30)</v>
      </c>
      <c r="X301" s="9" t="s">
        <v>39</v>
      </c>
      <c r="Y301" s="5"/>
    </row>
    <row r="302" spans="1:25" ht="16" x14ac:dyDescent="0.2">
      <c r="A302" s="5" t="s">
        <v>430</v>
      </c>
      <c r="B302" s="5" t="s">
        <v>103</v>
      </c>
      <c r="C302" s="5" t="s">
        <v>100</v>
      </c>
      <c r="D302" s="5" t="s">
        <v>28</v>
      </c>
      <c r="E302" s="5" t="s">
        <v>29</v>
      </c>
      <c r="F302" s="5" t="s">
        <v>124</v>
      </c>
      <c r="G302" s="5" t="s">
        <v>31</v>
      </c>
      <c r="H302" s="5" t="s">
        <v>8</v>
      </c>
      <c r="I302" s="10">
        <v>116000</v>
      </c>
      <c r="J302" s="12"/>
      <c r="K302" s="5" t="s">
        <v>33</v>
      </c>
      <c r="L302" s="5" t="s">
        <v>34</v>
      </c>
      <c r="M302" s="6">
        <v>46266</v>
      </c>
      <c r="N302" s="6"/>
      <c r="O302" s="6"/>
      <c r="P302" s="5" t="s">
        <v>274</v>
      </c>
      <c r="Q302" s="5" t="s">
        <v>36</v>
      </c>
      <c r="R302" s="8" t="s">
        <v>37</v>
      </c>
      <c r="S302" s="5">
        <v>40</v>
      </c>
      <c r="T302" s="5" t="s">
        <v>38</v>
      </c>
      <c r="U302" s="8" t="str">
        <f t="shared" si="8"/>
        <v/>
      </c>
      <c r="V302" s="8" t="str">
        <f t="shared" si="9"/>
        <v/>
      </c>
      <c r="W302" s="8" t="str">
        <f>_xlfn.XLOOKUP(X302,ShiftCodes[Code],ShiftCodes[Work Schedule],"Unknown code")</f>
        <v>Standard (Mon–Fri 9:00–17:30)</v>
      </c>
      <c r="X302" s="9" t="s">
        <v>39</v>
      </c>
      <c r="Y302" s="5" t="s">
        <v>423</v>
      </c>
    </row>
    <row r="303" spans="1:25" ht="16" x14ac:dyDescent="0.2">
      <c r="A303" s="5" t="s">
        <v>431</v>
      </c>
      <c r="B303" s="5" t="s">
        <v>109</v>
      </c>
      <c r="C303" s="5" t="s">
        <v>76</v>
      </c>
      <c r="D303" s="5" t="s">
        <v>28</v>
      </c>
      <c r="E303" s="5" t="s">
        <v>29</v>
      </c>
      <c r="F303" s="5" t="s">
        <v>236</v>
      </c>
      <c r="G303" s="5" t="s">
        <v>31</v>
      </c>
      <c r="H303" s="5" t="s">
        <v>8</v>
      </c>
      <c r="I303" s="10">
        <v>271000</v>
      </c>
      <c r="J303" s="12"/>
      <c r="K303" s="5" t="s">
        <v>33</v>
      </c>
      <c r="L303" s="5" t="s">
        <v>34</v>
      </c>
      <c r="M303" s="6">
        <v>46124</v>
      </c>
      <c r="N303" s="6"/>
      <c r="O303" s="6"/>
      <c r="P303" s="5" t="s">
        <v>200</v>
      </c>
      <c r="Q303" s="5" t="s">
        <v>36</v>
      </c>
      <c r="R303" s="8" t="s">
        <v>37</v>
      </c>
      <c r="S303" s="5">
        <v>40</v>
      </c>
      <c r="T303" s="5" t="s">
        <v>38</v>
      </c>
      <c r="U303" s="8" t="str">
        <f t="shared" si="8"/>
        <v/>
      </c>
      <c r="V303" s="8" t="str">
        <f t="shared" si="9"/>
        <v/>
      </c>
      <c r="W303" s="8" t="str">
        <f>_xlfn.XLOOKUP(X303,ShiftCodes[Code],ShiftCodes[Work Schedule],"Unknown code")</f>
        <v>Standard (Mon–Fri 9:00–17:30)</v>
      </c>
      <c r="X303" s="9" t="s">
        <v>39</v>
      </c>
      <c r="Y303" s="5"/>
    </row>
    <row r="304" spans="1:25" ht="16" x14ac:dyDescent="0.2">
      <c r="A304" s="5" t="s">
        <v>432</v>
      </c>
      <c r="B304" s="5" t="s">
        <v>99</v>
      </c>
      <c r="C304" s="5" t="s">
        <v>127</v>
      </c>
      <c r="D304" s="5" t="s">
        <v>90</v>
      </c>
      <c r="E304" s="5" t="s">
        <v>29</v>
      </c>
      <c r="F304" s="5" t="s">
        <v>163</v>
      </c>
      <c r="G304" s="5" t="s">
        <v>31</v>
      </c>
      <c r="H304" s="5" t="s">
        <v>8</v>
      </c>
      <c r="I304" s="10">
        <v>133000</v>
      </c>
      <c r="J304" s="12"/>
      <c r="K304" s="5" t="s">
        <v>33</v>
      </c>
      <c r="L304" s="5" t="s">
        <v>34</v>
      </c>
      <c r="M304" s="6">
        <v>46127</v>
      </c>
      <c r="N304" s="6"/>
      <c r="O304" s="6"/>
      <c r="P304" s="5" t="s">
        <v>231</v>
      </c>
      <c r="Q304" s="5" t="s">
        <v>36</v>
      </c>
      <c r="R304" s="8" t="s">
        <v>37</v>
      </c>
      <c r="S304" s="5">
        <v>40</v>
      </c>
      <c r="T304" s="5" t="s">
        <v>38</v>
      </c>
      <c r="U304" s="8" t="str">
        <f t="shared" si="8"/>
        <v/>
      </c>
      <c r="V304" s="8" t="str">
        <f t="shared" si="9"/>
        <v/>
      </c>
      <c r="W304" s="8" t="str">
        <f>_xlfn.XLOOKUP(X304,ShiftCodes[Code],ShiftCodes[Work Schedule],"Unknown code")</f>
        <v>Standard (Mon–Fri 9:00–17:30)</v>
      </c>
      <c r="X304" s="9" t="s">
        <v>39</v>
      </c>
      <c r="Y304" s="5"/>
    </row>
    <row r="305" spans="1:25" ht="16" x14ac:dyDescent="0.2">
      <c r="A305" s="5" t="s">
        <v>433</v>
      </c>
      <c r="B305" s="5" t="s">
        <v>99</v>
      </c>
      <c r="C305" s="5" t="s">
        <v>68</v>
      </c>
      <c r="D305" s="5" t="s">
        <v>69</v>
      </c>
      <c r="E305" s="5" t="s">
        <v>70</v>
      </c>
      <c r="F305" s="5" t="s">
        <v>165</v>
      </c>
      <c r="G305" s="5" t="s">
        <v>31</v>
      </c>
      <c r="H305" s="5" t="s">
        <v>8</v>
      </c>
      <c r="I305" s="15">
        <v>5070000</v>
      </c>
      <c r="J305" s="16"/>
      <c r="K305" s="5" t="s">
        <v>72</v>
      </c>
      <c r="L305" s="5" t="s">
        <v>73</v>
      </c>
      <c r="M305" s="6">
        <v>46128</v>
      </c>
      <c r="N305" s="6"/>
      <c r="O305" s="6"/>
      <c r="P305" s="5" t="s">
        <v>171</v>
      </c>
      <c r="Q305" s="5" t="s">
        <v>36</v>
      </c>
      <c r="R305" s="8" t="s">
        <v>37</v>
      </c>
      <c r="S305" s="5">
        <v>40</v>
      </c>
      <c r="T305" s="5" t="s">
        <v>38</v>
      </c>
      <c r="U305" s="8" t="str">
        <f t="shared" si="8"/>
        <v/>
      </c>
      <c r="V305" s="8" t="str">
        <f t="shared" si="9"/>
        <v/>
      </c>
      <c r="W305" s="8" t="str">
        <f>_xlfn.XLOOKUP(X305,ShiftCodes[Code],ShiftCodes[Work Schedule],"Unknown code")</f>
        <v>Standard (Mon–Fri 9:00–17:30)</v>
      </c>
      <c r="X305" s="9" t="s">
        <v>39</v>
      </c>
      <c r="Y305" s="5"/>
    </row>
    <row r="306" spans="1:25" ht="16" x14ac:dyDescent="0.2">
      <c r="A306" s="5" t="s">
        <v>434</v>
      </c>
      <c r="B306" s="5" t="s">
        <v>103</v>
      </c>
      <c r="C306" s="5" t="s">
        <v>100</v>
      </c>
      <c r="D306" s="5" t="s">
        <v>28</v>
      </c>
      <c r="E306" s="5" t="s">
        <v>29</v>
      </c>
      <c r="F306" s="5" t="s">
        <v>163</v>
      </c>
      <c r="G306" s="5" t="s">
        <v>31</v>
      </c>
      <c r="H306" s="5" t="s">
        <v>8</v>
      </c>
      <c r="I306" s="10">
        <v>153000</v>
      </c>
      <c r="J306" s="12"/>
      <c r="K306" s="5" t="s">
        <v>33</v>
      </c>
      <c r="L306" s="5" t="s">
        <v>34</v>
      </c>
      <c r="M306" s="6">
        <v>46131</v>
      </c>
      <c r="N306" s="6"/>
      <c r="O306" s="6"/>
      <c r="P306" s="5" t="s">
        <v>175</v>
      </c>
      <c r="Q306" s="5" t="s">
        <v>36</v>
      </c>
      <c r="R306" s="8" t="s">
        <v>37</v>
      </c>
      <c r="S306" s="5">
        <v>40</v>
      </c>
      <c r="T306" s="5" t="s">
        <v>38</v>
      </c>
      <c r="U306" s="8" t="str">
        <f t="shared" si="8"/>
        <v/>
      </c>
      <c r="V306" s="8" t="str">
        <f t="shared" si="9"/>
        <v/>
      </c>
      <c r="W306" s="8" t="str">
        <f>_xlfn.XLOOKUP(X306,ShiftCodes[Code],ShiftCodes[Work Schedule],"Unknown code")</f>
        <v>Standard (Mon–Fri 9:00–17:30)</v>
      </c>
      <c r="X306" s="9" t="s">
        <v>39</v>
      </c>
      <c r="Y306" s="5"/>
    </row>
    <row r="307" spans="1:25" ht="16" x14ac:dyDescent="0.2">
      <c r="A307" s="5" t="s">
        <v>435</v>
      </c>
      <c r="B307" s="5" t="s">
        <v>112</v>
      </c>
      <c r="C307" s="5" t="s">
        <v>100</v>
      </c>
      <c r="D307" s="5" t="s">
        <v>28</v>
      </c>
      <c r="E307" s="5" t="s">
        <v>29</v>
      </c>
      <c r="F307" s="5" t="s">
        <v>156</v>
      </c>
      <c r="G307" s="5" t="s">
        <v>31</v>
      </c>
      <c r="H307" s="5" t="s">
        <v>8</v>
      </c>
      <c r="I307" s="10">
        <v>239000</v>
      </c>
      <c r="J307" s="12"/>
      <c r="K307" s="5" t="s">
        <v>33</v>
      </c>
      <c r="L307" s="5" t="s">
        <v>34</v>
      </c>
      <c r="M307" s="6">
        <v>46134</v>
      </c>
      <c r="N307" s="6"/>
      <c r="O307" s="6"/>
      <c r="P307" s="5" t="s">
        <v>229</v>
      </c>
      <c r="Q307" s="5" t="s">
        <v>36</v>
      </c>
      <c r="R307" s="8" t="s">
        <v>37</v>
      </c>
      <c r="S307" s="5">
        <v>40</v>
      </c>
      <c r="T307" s="5" t="s">
        <v>38</v>
      </c>
      <c r="U307" s="8" t="str">
        <f t="shared" si="8"/>
        <v/>
      </c>
      <c r="V307" s="8" t="str">
        <f t="shared" si="9"/>
        <v/>
      </c>
      <c r="W307" s="8" t="str">
        <f>_xlfn.XLOOKUP(X307,ShiftCodes[Code],ShiftCodes[Work Schedule],"Unknown code")</f>
        <v>Standard (Mon–Fri 9:00–17:30)</v>
      </c>
      <c r="X307" s="9" t="s">
        <v>39</v>
      </c>
      <c r="Y307" s="5"/>
    </row>
    <row r="308" spans="1:25" ht="16" x14ac:dyDescent="0.2">
      <c r="A308" s="5" t="s">
        <v>436</v>
      </c>
      <c r="B308" s="5" t="s">
        <v>103</v>
      </c>
      <c r="C308" s="5" t="s">
        <v>100</v>
      </c>
      <c r="D308" s="5" t="s">
        <v>28</v>
      </c>
      <c r="E308" s="5" t="s">
        <v>29</v>
      </c>
      <c r="F308" s="5" t="s">
        <v>124</v>
      </c>
      <c r="G308" s="5" t="s">
        <v>31</v>
      </c>
      <c r="H308" s="5" t="s">
        <v>8</v>
      </c>
      <c r="I308" s="10">
        <v>115000</v>
      </c>
      <c r="J308" s="12"/>
      <c r="K308" s="5" t="s">
        <v>33</v>
      </c>
      <c r="L308" s="5" t="s">
        <v>34</v>
      </c>
      <c r="M308" s="6">
        <v>46266</v>
      </c>
      <c r="N308" s="6"/>
      <c r="O308" s="6"/>
      <c r="P308" s="5" t="s">
        <v>274</v>
      </c>
      <c r="Q308" s="5" t="s">
        <v>36</v>
      </c>
      <c r="R308" s="8" t="s">
        <v>37</v>
      </c>
      <c r="S308" s="5">
        <v>40</v>
      </c>
      <c r="T308" s="5" t="s">
        <v>38</v>
      </c>
      <c r="U308" s="8" t="str">
        <f t="shared" si="8"/>
        <v/>
      </c>
      <c r="V308" s="8" t="str">
        <f t="shared" si="9"/>
        <v/>
      </c>
      <c r="W308" s="8" t="str">
        <f>_xlfn.XLOOKUP(X308,ShiftCodes[Code],ShiftCodes[Work Schedule],"Unknown code")</f>
        <v>Standard (Mon–Fri 9:00–17:30)</v>
      </c>
      <c r="X308" s="9" t="s">
        <v>39</v>
      </c>
      <c r="Y308" s="5" t="s">
        <v>423</v>
      </c>
    </row>
    <row r="309" spans="1:25" ht="16" x14ac:dyDescent="0.2">
      <c r="A309" s="5" t="s">
        <v>437</v>
      </c>
      <c r="B309" s="5" t="s">
        <v>109</v>
      </c>
      <c r="C309" s="5" t="s">
        <v>113</v>
      </c>
      <c r="D309" s="5" t="s">
        <v>84</v>
      </c>
      <c r="E309" s="5" t="s">
        <v>29</v>
      </c>
      <c r="F309" s="5" t="s">
        <v>130</v>
      </c>
      <c r="G309" s="5" t="s">
        <v>78</v>
      </c>
      <c r="H309" s="5" t="s">
        <v>79</v>
      </c>
      <c r="I309" s="10"/>
      <c r="J309" s="12">
        <v>27.25</v>
      </c>
      <c r="K309" s="5" t="s">
        <v>33</v>
      </c>
      <c r="L309" s="5" t="s">
        <v>80</v>
      </c>
      <c r="M309" s="6">
        <v>46140</v>
      </c>
      <c r="N309" s="6"/>
      <c r="O309" s="6"/>
      <c r="P309" s="5" t="s">
        <v>118</v>
      </c>
      <c r="Q309" s="5" t="s">
        <v>36</v>
      </c>
      <c r="R309" s="8" t="s">
        <v>37</v>
      </c>
      <c r="S309" s="5">
        <v>40</v>
      </c>
      <c r="T309" s="5" t="s">
        <v>38</v>
      </c>
      <c r="U309" s="8" t="str">
        <f t="shared" si="8"/>
        <v>US Non-Exempt EEs</v>
      </c>
      <c r="V309" s="8" t="str">
        <f t="shared" si="9"/>
        <v>US Non-California Non-Exempt</v>
      </c>
      <c r="W309" s="8" t="str">
        <f>_xlfn.XLOOKUP(X309,ShiftCodes[Code],ShiftCodes[Work Schedule],"Unknown code")</f>
        <v>Shift C – Night (Sun–Thu 22:00–06:30)</v>
      </c>
      <c r="X309" s="9" t="s">
        <v>239</v>
      </c>
      <c r="Y309" s="5"/>
    </row>
    <row r="310" spans="1:25" ht="16" x14ac:dyDescent="0.2">
      <c r="A310" s="5" t="s">
        <v>438</v>
      </c>
      <c r="B310" s="5" t="s">
        <v>103</v>
      </c>
      <c r="C310" s="5" t="s">
        <v>100</v>
      </c>
      <c r="D310" s="5" t="s">
        <v>28</v>
      </c>
      <c r="E310" s="5" t="s">
        <v>29</v>
      </c>
      <c r="F310" s="5" t="s">
        <v>165</v>
      </c>
      <c r="G310" s="5" t="s">
        <v>31</v>
      </c>
      <c r="H310" s="5" t="s">
        <v>8</v>
      </c>
      <c r="I310" s="10">
        <v>192000</v>
      </c>
      <c r="J310" s="12"/>
      <c r="K310" s="5" t="s">
        <v>33</v>
      </c>
      <c r="L310" s="5" t="s">
        <v>34</v>
      </c>
      <c r="M310" s="6">
        <v>46141</v>
      </c>
      <c r="N310" s="6"/>
      <c r="O310" s="6"/>
      <c r="P310" s="5" t="s">
        <v>274</v>
      </c>
      <c r="Q310" s="5" t="s">
        <v>36</v>
      </c>
      <c r="R310" s="8" t="s">
        <v>37</v>
      </c>
      <c r="S310" s="5">
        <v>40</v>
      </c>
      <c r="T310" s="5" t="s">
        <v>38</v>
      </c>
      <c r="U310" s="8" t="str">
        <f t="shared" si="8"/>
        <v/>
      </c>
      <c r="V310" s="8" t="str">
        <f t="shared" si="9"/>
        <v/>
      </c>
      <c r="W310" s="8" t="str">
        <f>_xlfn.XLOOKUP(X310,ShiftCodes[Code],ShiftCodes[Work Schedule],"Unknown code")</f>
        <v>Standard (Mon–Fri 9:00–17:30)</v>
      </c>
      <c r="X310" s="9" t="s">
        <v>39</v>
      </c>
      <c r="Y310" s="5"/>
    </row>
    <row r="311" spans="1:25" ht="16" x14ac:dyDescent="0.2">
      <c r="A311" s="5" t="s">
        <v>439</v>
      </c>
      <c r="B311" s="5" t="s">
        <v>112</v>
      </c>
      <c r="C311" s="5" t="s">
        <v>224</v>
      </c>
      <c r="D311" s="5" t="s">
        <v>225</v>
      </c>
      <c r="E311" s="5" t="s">
        <v>70</v>
      </c>
      <c r="F311" s="5" t="s">
        <v>163</v>
      </c>
      <c r="G311" s="5" t="s">
        <v>31</v>
      </c>
      <c r="H311" s="5" t="s">
        <v>8</v>
      </c>
      <c r="I311" s="15">
        <v>3330000</v>
      </c>
      <c r="J311" s="16"/>
      <c r="K311" s="5" t="s">
        <v>72</v>
      </c>
      <c r="L311" s="5" t="s">
        <v>73</v>
      </c>
      <c r="M311" s="6">
        <v>46151</v>
      </c>
      <c r="N311" s="6"/>
      <c r="O311" s="6"/>
      <c r="P311" s="5" t="s">
        <v>223</v>
      </c>
      <c r="Q311" s="5" t="s">
        <v>36</v>
      </c>
      <c r="R311" s="8" t="s">
        <v>37</v>
      </c>
      <c r="S311" s="5">
        <v>40</v>
      </c>
      <c r="T311" s="5" t="s">
        <v>38</v>
      </c>
      <c r="U311" s="8" t="str">
        <f t="shared" si="8"/>
        <v/>
      </c>
      <c r="V311" s="8" t="str">
        <f t="shared" si="9"/>
        <v/>
      </c>
      <c r="W311" s="8" t="str">
        <f>_xlfn.XLOOKUP(X311,ShiftCodes[Code],ShiftCodes[Work Schedule],"Unknown code")</f>
        <v>Standard (Mon–Fri 9:00–17:30)</v>
      </c>
      <c r="X311" s="9" t="s">
        <v>39</v>
      </c>
      <c r="Y311" s="5"/>
    </row>
    <row r="312" spans="1:25" ht="16" x14ac:dyDescent="0.2">
      <c r="A312" s="5" t="s">
        <v>440</v>
      </c>
      <c r="B312" s="5" t="s">
        <v>103</v>
      </c>
      <c r="C312" s="5" t="s">
        <v>106</v>
      </c>
      <c r="D312" s="5" t="s">
        <v>42</v>
      </c>
      <c r="E312" s="5" t="s">
        <v>29</v>
      </c>
      <c r="F312" s="5" t="s">
        <v>124</v>
      </c>
      <c r="G312" s="5" t="s">
        <v>31</v>
      </c>
      <c r="H312" s="5" t="s">
        <v>8</v>
      </c>
      <c r="I312" s="10">
        <v>125000</v>
      </c>
      <c r="J312" s="12"/>
      <c r="K312" s="5" t="s">
        <v>33</v>
      </c>
      <c r="L312" s="5" t="s">
        <v>34</v>
      </c>
      <c r="M312" s="6">
        <v>46161</v>
      </c>
      <c r="N312" s="6"/>
      <c r="O312" s="6"/>
      <c r="P312" s="5" t="s">
        <v>122</v>
      </c>
      <c r="Q312" s="5" t="s">
        <v>36</v>
      </c>
      <c r="R312" s="8" t="s">
        <v>37</v>
      </c>
      <c r="S312" s="5">
        <v>40</v>
      </c>
      <c r="T312" s="5" t="s">
        <v>38</v>
      </c>
      <c r="U312" s="8" t="str">
        <f t="shared" si="8"/>
        <v/>
      </c>
      <c r="V312" s="8" t="str">
        <f t="shared" si="9"/>
        <v/>
      </c>
      <c r="W312" s="8" t="str">
        <f>_xlfn.XLOOKUP(X312,ShiftCodes[Code],ShiftCodes[Work Schedule],"Unknown code")</f>
        <v>Standard (Mon–Fri 9:00–17:30)</v>
      </c>
      <c r="X312" s="9" t="s">
        <v>39</v>
      </c>
      <c r="Y312" s="5"/>
    </row>
    <row r="313" spans="1:25" ht="16" x14ac:dyDescent="0.2">
      <c r="A313" s="5" t="s">
        <v>441</v>
      </c>
      <c r="B313" s="5" t="s">
        <v>103</v>
      </c>
      <c r="C313" s="5" t="s">
        <v>106</v>
      </c>
      <c r="D313" s="5" t="s">
        <v>42</v>
      </c>
      <c r="E313" s="5" t="s">
        <v>29</v>
      </c>
      <c r="F313" s="5" t="s">
        <v>163</v>
      </c>
      <c r="G313" s="5" t="s">
        <v>31</v>
      </c>
      <c r="H313" s="5" t="s">
        <v>8</v>
      </c>
      <c r="I313" s="10">
        <v>163000</v>
      </c>
      <c r="J313" s="12"/>
      <c r="K313" s="5" t="s">
        <v>33</v>
      </c>
      <c r="L313" s="5" t="s">
        <v>34</v>
      </c>
      <c r="M313" s="6">
        <v>46162</v>
      </c>
      <c r="N313" s="6"/>
      <c r="O313" s="6"/>
      <c r="P313" s="5" t="s">
        <v>226</v>
      </c>
      <c r="Q313" s="5" t="s">
        <v>36</v>
      </c>
      <c r="R313" s="8" t="s">
        <v>37</v>
      </c>
      <c r="S313" s="5">
        <v>40</v>
      </c>
      <c r="T313" s="5" t="s">
        <v>38</v>
      </c>
      <c r="U313" s="8" t="str">
        <f t="shared" si="8"/>
        <v/>
      </c>
      <c r="V313" s="8" t="str">
        <f t="shared" si="9"/>
        <v/>
      </c>
      <c r="W313" s="8" t="str">
        <f>_xlfn.XLOOKUP(X313,ShiftCodes[Code],ShiftCodes[Work Schedule],"Unknown code")</f>
        <v>Standard (Mon–Fri 9:00–17:30)</v>
      </c>
      <c r="X313" s="9" t="s">
        <v>39</v>
      </c>
      <c r="Y313" s="5"/>
    </row>
    <row r="314" spans="1:25" ht="16" x14ac:dyDescent="0.2">
      <c r="A314" s="5" t="s">
        <v>442</v>
      </c>
      <c r="B314" s="5" t="s">
        <v>112</v>
      </c>
      <c r="C314" s="5" t="s">
        <v>100</v>
      </c>
      <c r="D314" s="5" t="s">
        <v>28</v>
      </c>
      <c r="E314" s="5" t="s">
        <v>29</v>
      </c>
      <c r="F314" s="5" t="s">
        <v>124</v>
      </c>
      <c r="G314" s="5" t="s">
        <v>31</v>
      </c>
      <c r="H314" s="5" t="s">
        <v>8</v>
      </c>
      <c r="I314" s="10">
        <v>142000</v>
      </c>
      <c r="J314" s="12"/>
      <c r="K314" s="5" t="s">
        <v>33</v>
      </c>
      <c r="L314" s="5" t="s">
        <v>34</v>
      </c>
      <c r="M314" s="6">
        <v>46162</v>
      </c>
      <c r="N314" s="6"/>
      <c r="O314" s="6"/>
      <c r="P314" s="5" t="s">
        <v>204</v>
      </c>
      <c r="Q314" s="5" t="s">
        <v>36</v>
      </c>
      <c r="R314" s="8" t="s">
        <v>37</v>
      </c>
      <c r="S314" s="5">
        <v>40</v>
      </c>
      <c r="T314" s="5" t="s">
        <v>38</v>
      </c>
      <c r="U314" s="8" t="str">
        <f t="shared" si="8"/>
        <v/>
      </c>
      <c r="V314" s="8" t="str">
        <f t="shared" si="9"/>
        <v/>
      </c>
      <c r="W314" s="8" t="str">
        <f>_xlfn.XLOOKUP(X314,ShiftCodes[Code],ShiftCodes[Work Schedule],"Unknown code")</f>
        <v>Standard (Mon–Fri 9:00–17:30)</v>
      </c>
      <c r="X314" s="9" t="s">
        <v>39</v>
      </c>
      <c r="Y314" s="5"/>
    </row>
    <row r="315" spans="1:25" ht="16" x14ac:dyDescent="0.2">
      <c r="A315" s="5" t="s">
        <v>443</v>
      </c>
      <c r="B315" s="5" t="s">
        <v>112</v>
      </c>
      <c r="C315" s="5" t="s">
        <v>106</v>
      </c>
      <c r="D315" s="5" t="s">
        <v>42</v>
      </c>
      <c r="E315" s="5" t="s">
        <v>29</v>
      </c>
      <c r="F315" s="5" t="s">
        <v>165</v>
      </c>
      <c r="G315" s="5" t="s">
        <v>31</v>
      </c>
      <c r="H315" s="5" t="s">
        <v>8</v>
      </c>
      <c r="I315" s="10">
        <v>168000</v>
      </c>
      <c r="J315" s="12"/>
      <c r="K315" s="5" t="s">
        <v>33</v>
      </c>
      <c r="L315" s="5" t="s">
        <v>34</v>
      </c>
      <c r="M315" s="6">
        <v>46163</v>
      </c>
      <c r="N315" s="6"/>
      <c r="O315" s="6"/>
      <c r="P315" s="5" t="s">
        <v>187</v>
      </c>
      <c r="Q315" s="5" t="s">
        <v>36</v>
      </c>
      <c r="R315" s="8" t="s">
        <v>37</v>
      </c>
      <c r="S315" s="5">
        <v>40</v>
      </c>
      <c r="T315" s="5" t="s">
        <v>38</v>
      </c>
      <c r="U315" s="8" t="str">
        <f t="shared" si="8"/>
        <v/>
      </c>
      <c r="V315" s="8" t="str">
        <f t="shared" si="9"/>
        <v/>
      </c>
      <c r="W315" s="8" t="str">
        <f>_xlfn.XLOOKUP(X315,ShiftCodes[Code],ShiftCodes[Work Schedule],"Unknown code")</f>
        <v>Standard (Mon–Fri 9:00–17:30)</v>
      </c>
      <c r="X315" s="9" t="s">
        <v>39</v>
      </c>
      <c r="Y315" s="5"/>
    </row>
    <row r="316" spans="1:25" ht="16" x14ac:dyDescent="0.2">
      <c r="A316" s="5" t="s">
        <v>444</v>
      </c>
      <c r="B316" s="5" t="s">
        <v>103</v>
      </c>
      <c r="C316" s="5" t="s">
        <v>41</v>
      </c>
      <c r="D316" s="5" t="s">
        <v>28</v>
      </c>
      <c r="E316" s="5" t="s">
        <v>29</v>
      </c>
      <c r="F316" s="5" t="s">
        <v>124</v>
      </c>
      <c r="G316" s="5" t="s">
        <v>31</v>
      </c>
      <c r="H316" s="5" t="s">
        <v>8</v>
      </c>
      <c r="I316" s="10">
        <v>132000</v>
      </c>
      <c r="J316" s="12"/>
      <c r="K316" s="5" t="s">
        <v>33</v>
      </c>
      <c r="L316" s="5" t="s">
        <v>34</v>
      </c>
      <c r="M316" s="6">
        <v>46281</v>
      </c>
      <c r="N316" s="6"/>
      <c r="O316" s="6"/>
      <c r="P316" s="5" t="s">
        <v>226</v>
      </c>
      <c r="Q316" s="5" t="s">
        <v>36</v>
      </c>
      <c r="R316" s="8" t="s">
        <v>37</v>
      </c>
      <c r="S316" s="5">
        <v>40</v>
      </c>
      <c r="T316" s="5" t="s">
        <v>38</v>
      </c>
      <c r="U316" s="8" t="str">
        <f t="shared" si="8"/>
        <v/>
      </c>
      <c r="V316" s="8" t="str">
        <f t="shared" si="9"/>
        <v/>
      </c>
      <c r="W316" s="8" t="str">
        <f>_xlfn.XLOOKUP(X316,ShiftCodes[Code],ShiftCodes[Work Schedule],"Unknown code")</f>
        <v>Standard (Mon–Fri 9:00–17:30)</v>
      </c>
      <c r="X316" s="9" t="s">
        <v>39</v>
      </c>
      <c r="Y316" s="5" t="s">
        <v>398</v>
      </c>
    </row>
    <row r="317" spans="1:25" ht="16" x14ac:dyDescent="0.2">
      <c r="A317" s="5" t="s">
        <v>445</v>
      </c>
      <c r="B317" s="5" t="s">
        <v>103</v>
      </c>
      <c r="C317" s="5" t="s">
        <v>100</v>
      </c>
      <c r="D317" s="5" t="s">
        <v>28</v>
      </c>
      <c r="E317" s="5" t="s">
        <v>29</v>
      </c>
      <c r="F317" s="5" t="s">
        <v>149</v>
      </c>
      <c r="G317" s="5" t="s">
        <v>31</v>
      </c>
      <c r="H317" s="5" t="s">
        <v>8</v>
      </c>
      <c r="I317" s="10">
        <v>100000</v>
      </c>
      <c r="J317" s="12"/>
      <c r="K317" s="5" t="s">
        <v>33</v>
      </c>
      <c r="L317" s="5" t="s">
        <v>34</v>
      </c>
      <c r="M317" s="6">
        <v>46235</v>
      </c>
      <c r="N317" s="6"/>
      <c r="O317" s="6"/>
      <c r="P317" s="5" t="s">
        <v>274</v>
      </c>
      <c r="Q317" s="5" t="s">
        <v>36</v>
      </c>
      <c r="R317" s="8" t="s">
        <v>37</v>
      </c>
      <c r="S317" s="5">
        <v>40</v>
      </c>
      <c r="T317" s="5" t="s">
        <v>38</v>
      </c>
      <c r="U317" s="8" t="str">
        <f t="shared" si="8"/>
        <v/>
      </c>
      <c r="V317" s="8" t="str">
        <f t="shared" si="9"/>
        <v/>
      </c>
      <c r="W317" s="8" t="str">
        <f>_xlfn.XLOOKUP(X317,ShiftCodes[Code],ShiftCodes[Work Schedule],"Unknown code")</f>
        <v>Standard (Mon–Fri 9:00–17:30)</v>
      </c>
      <c r="X317" s="9" t="s">
        <v>39</v>
      </c>
      <c r="Y317" s="5" t="s">
        <v>395</v>
      </c>
    </row>
    <row r="318" spans="1:25" ht="16" x14ac:dyDescent="0.2">
      <c r="A318" s="5" t="s">
        <v>446</v>
      </c>
      <c r="B318" s="5" t="s">
        <v>109</v>
      </c>
      <c r="C318" s="5" t="s">
        <v>113</v>
      </c>
      <c r="D318" s="5" t="s">
        <v>84</v>
      </c>
      <c r="E318" s="5" t="s">
        <v>29</v>
      </c>
      <c r="F318" s="5" t="s">
        <v>165</v>
      </c>
      <c r="G318" s="5" t="s">
        <v>31</v>
      </c>
      <c r="H318" s="5" t="s">
        <v>8</v>
      </c>
      <c r="I318" s="10">
        <v>198000</v>
      </c>
      <c r="J318" s="12"/>
      <c r="K318" s="5" t="s">
        <v>33</v>
      </c>
      <c r="L318" s="5" t="s">
        <v>34</v>
      </c>
      <c r="M318" s="6">
        <v>46174</v>
      </c>
      <c r="N318" s="6"/>
      <c r="O318" s="6"/>
      <c r="P318" s="5" t="s">
        <v>178</v>
      </c>
      <c r="Q318" s="5" t="s">
        <v>36</v>
      </c>
      <c r="R318" s="8" t="s">
        <v>37</v>
      </c>
      <c r="S318" s="5">
        <v>40</v>
      </c>
      <c r="T318" s="5" t="s">
        <v>38</v>
      </c>
      <c r="U318" s="8" t="str">
        <f t="shared" si="8"/>
        <v/>
      </c>
      <c r="V318" s="8" t="str">
        <f t="shared" si="9"/>
        <v/>
      </c>
      <c r="W318" s="8" t="str">
        <f>_xlfn.XLOOKUP(X318,ShiftCodes[Code],ShiftCodes[Work Schedule],"Unknown code")</f>
        <v>Standard (Mon–Fri 9:00–17:30)</v>
      </c>
      <c r="X318" s="9" t="s">
        <v>39</v>
      </c>
      <c r="Y318" s="5"/>
    </row>
    <row r="319" spans="1:25" ht="16" x14ac:dyDescent="0.2">
      <c r="A319" s="5" t="s">
        <v>447</v>
      </c>
      <c r="B319" s="5" t="s">
        <v>103</v>
      </c>
      <c r="C319" s="5" t="s">
        <v>41</v>
      </c>
      <c r="D319" s="5" t="s">
        <v>90</v>
      </c>
      <c r="E319" s="5" t="s">
        <v>29</v>
      </c>
      <c r="F319" s="5" t="s">
        <v>124</v>
      </c>
      <c r="G319" s="5" t="s">
        <v>31</v>
      </c>
      <c r="H319" s="5" t="s">
        <v>8</v>
      </c>
      <c r="I319" s="10">
        <v>134000</v>
      </c>
      <c r="J319" s="12"/>
      <c r="K319" s="5" t="s">
        <v>33</v>
      </c>
      <c r="L319" s="5" t="s">
        <v>34</v>
      </c>
      <c r="M319" s="6">
        <v>46183</v>
      </c>
      <c r="N319" s="6"/>
      <c r="O319" s="6"/>
      <c r="P319" s="5" t="s">
        <v>136</v>
      </c>
      <c r="Q319" s="5" t="s">
        <v>36</v>
      </c>
      <c r="R319" s="8" t="s">
        <v>37</v>
      </c>
      <c r="S319" s="5">
        <v>40</v>
      </c>
      <c r="T319" s="5" t="s">
        <v>38</v>
      </c>
      <c r="U319" s="8" t="str">
        <f t="shared" si="8"/>
        <v/>
      </c>
      <c r="V319" s="8" t="str">
        <f t="shared" si="9"/>
        <v/>
      </c>
      <c r="W319" s="8" t="str">
        <f>_xlfn.XLOOKUP(X319,ShiftCodes[Code],ShiftCodes[Work Schedule],"Unknown code")</f>
        <v>Standard (Mon–Fri 9:00–17:30)</v>
      </c>
      <c r="X319" s="9" t="s">
        <v>39</v>
      </c>
      <c r="Y319" s="5"/>
    </row>
    <row r="320" spans="1:25" ht="16" x14ac:dyDescent="0.2">
      <c r="A320" s="5" t="s">
        <v>448</v>
      </c>
      <c r="B320" s="5" t="s">
        <v>112</v>
      </c>
      <c r="C320" s="5" t="s">
        <v>41</v>
      </c>
      <c r="D320" s="5" t="s">
        <v>185</v>
      </c>
      <c r="E320" s="5" t="s">
        <v>29</v>
      </c>
      <c r="F320" s="5" t="s">
        <v>163</v>
      </c>
      <c r="G320" s="5" t="s">
        <v>31</v>
      </c>
      <c r="H320" s="5" t="s">
        <v>8</v>
      </c>
      <c r="I320" s="10">
        <v>146000</v>
      </c>
      <c r="J320" s="12"/>
      <c r="K320" s="5" t="s">
        <v>33</v>
      </c>
      <c r="L320" s="5" t="s">
        <v>34</v>
      </c>
      <c r="M320" s="6">
        <v>46202</v>
      </c>
      <c r="N320" s="6"/>
      <c r="O320" s="6"/>
      <c r="P320" s="5" t="s">
        <v>182</v>
      </c>
      <c r="Q320" s="5" t="s">
        <v>36</v>
      </c>
      <c r="R320" s="8" t="s">
        <v>37</v>
      </c>
      <c r="S320" s="5">
        <v>40</v>
      </c>
      <c r="T320" s="5" t="s">
        <v>38</v>
      </c>
      <c r="U320" s="8" t="str">
        <f t="shared" si="8"/>
        <v/>
      </c>
      <c r="V320" s="8" t="str">
        <f t="shared" si="9"/>
        <v/>
      </c>
      <c r="W320" s="8" t="str">
        <f>_xlfn.XLOOKUP(X320,ShiftCodes[Code],ShiftCodes[Work Schedule],"Unknown code")</f>
        <v>Standard (Mon–Fri 9:00–17:30)</v>
      </c>
      <c r="X320" s="9" t="s">
        <v>39</v>
      </c>
      <c r="Y320" s="5"/>
    </row>
    <row r="321" spans="1:25" ht="16" x14ac:dyDescent="0.2">
      <c r="A321" s="5" t="s">
        <v>449</v>
      </c>
      <c r="B321" s="5" t="s">
        <v>109</v>
      </c>
      <c r="C321" s="5" t="s">
        <v>113</v>
      </c>
      <c r="D321" s="5" t="s">
        <v>84</v>
      </c>
      <c r="E321" s="5" t="s">
        <v>29</v>
      </c>
      <c r="F321" s="5" t="s">
        <v>132</v>
      </c>
      <c r="G321" s="5" t="s">
        <v>78</v>
      </c>
      <c r="H321" s="5" t="s">
        <v>79</v>
      </c>
      <c r="I321" s="10"/>
      <c r="J321" s="12">
        <v>43.75</v>
      </c>
      <c r="K321" s="5" t="s">
        <v>33</v>
      </c>
      <c r="L321" s="5" t="s">
        <v>80</v>
      </c>
      <c r="M321" s="6">
        <v>46206</v>
      </c>
      <c r="N321" s="6"/>
      <c r="O321" s="6"/>
      <c r="P321" s="5" t="s">
        <v>202</v>
      </c>
      <c r="Q321" s="5" t="s">
        <v>36</v>
      </c>
      <c r="R321" s="8" t="s">
        <v>37</v>
      </c>
      <c r="S321" s="5">
        <v>40</v>
      </c>
      <c r="T321" s="5" t="s">
        <v>38</v>
      </c>
      <c r="U321" s="8" t="str">
        <f t="shared" si="8"/>
        <v>US Non-Exempt EEs</v>
      </c>
      <c r="V321" s="8" t="str">
        <f t="shared" si="9"/>
        <v>US Non-California Non-Exempt</v>
      </c>
      <c r="W321" s="8" t="str">
        <f>_xlfn.XLOOKUP(X321,ShiftCodes[Code],ShiftCodes[Work Schedule],"Unknown code")</f>
        <v>Shift C – Night (Sun–Thu 22:00–06:30)</v>
      </c>
      <c r="X321" s="9" t="s">
        <v>239</v>
      </c>
      <c r="Y321" s="5"/>
    </row>
    <row r="322" spans="1:25" ht="16" x14ac:dyDescent="0.2">
      <c r="A322" s="5" t="s">
        <v>450</v>
      </c>
      <c r="B322" s="5" t="s">
        <v>112</v>
      </c>
      <c r="C322" s="5" t="s">
        <v>180</v>
      </c>
      <c r="D322" s="5" t="s">
        <v>52</v>
      </c>
      <c r="E322" s="5" t="s">
        <v>52</v>
      </c>
      <c r="F322" s="5" t="s">
        <v>149</v>
      </c>
      <c r="G322" s="5" t="s">
        <v>31</v>
      </c>
      <c r="H322" s="5" t="s">
        <v>8</v>
      </c>
      <c r="I322" s="10">
        <v>64000</v>
      </c>
      <c r="J322" s="17"/>
      <c r="K322" s="5" t="s">
        <v>55</v>
      </c>
      <c r="L322" s="5" t="s">
        <v>56</v>
      </c>
      <c r="M322" s="6">
        <v>46208</v>
      </c>
      <c r="N322" s="6"/>
      <c r="O322" s="6"/>
      <c r="P322" s="5" t="s">
        <v>179</v>
      </c>
      <c r="Q322" s="5" t="s">
        <v>36</v>
      </c>
      <c r="R322" s="8" t="s">
        <v>37</v>
      </c>
      <c r="S322" s="5">
        <v>37.5</v>
      </c>
      <c r="T322" s="5" t="s">
        <v>38</v>
      </c>
      <c r="U322" s="8" t="str">
        <f t="shared" ref="U322:U385" si="10">IF(AND(TRIM(E322)="US",TRIM(G322)="Non-Exempt"),"US Non-Exempt EEs","")</f>
        <v/>
      </c>
      <c r="V322" s="8" t="str">
        <f t="shared" ref="V322:V385" si="11">IF(AND(TRIM(E322)="US",TRIM(G322)="Non-Exempt"),IF(TRIM(D322)="CA","US California Non-Exempt","US Non-California Non-Exempt"),"")</f>
        <v/>
      </c>
      <c r="W322" s="8" t="str">
        <f>_xlfn.XLOOKUP(X322,ShiftCodes[Code],ShiftCodes[Work Schedule],"Unknown code")</f>
        <v>Standard (Mon–Fri 9:00–17:30)</v>
      </c>
      <c r="X322" s="9" t="s">
        <v>39</v>
      </c>
      <c r="Y322" s="5"/>
    </row>
    <row r="323" spans="1:25" ht="16" x14ac:dyDescent="0.2">
      <c r="A323" s="5" t="s">
        <v>451</v>
      </c>
      <c r="B323" s="5" t="s">
        <v>103</v>
      </c>
      <c r="C323" s="5" t="s">
        <v>41</v>
      </c>
      <c r="D323" s="5" t="s">
        <v>189</v>
      </c>
      <c r="E323" s="5" t="s">
        <v>29</v>
      </c>
      <c r="F323" s="5" t="s">
        <v>163</v>
      </c>
      <c r="G323" s="5" t="s">
        <v>31</v>
      </c>
      <c r="H323" s="5" t="s">
        <v>8</v>
      </c>
      <c r="I323" s="10">
        <v>168000</v>
      </c>
      <c r="J323" s="12"/>
      <c r="K323" s="5" t="s">
        <v>33</v>
      </c>
      <c r="L323" s="5" t="s">
        <v>34</v>
      </c>
      <c r="M323" s="6">
        <v>46211</v>
      </c>
      <c r="N323" s="6"/>
      <c r="O323" s="6"/>
      <c r="P323" s="5" t="s">
        <v>181</v>
      </c>
      <c r="Q323" s="5" t="s">
        <v>36</v>
      </c>
      <c r="R323" s="8" t="s">
        <v>37</v>
      </c>
      <c r="S323" s="5">
        <v>40</v>
      </c>
      <c r="T323" s="5" t="s">
        <v>38</v>
      </c>
      <c r="U323" s="8" t="str">
        <f t="shared" si="10"/>
        <v/>
      </c>
      <c r="V323" s="8" t="str">
        <f t="shared" si="11"/>
        <v/>
      </c>
      <c r="W323" s="8" t="str">
        <f>_xlfn.XLOOKUP(X323,ShiftCodes[Code],ShiftCodes[Work Schedule],"Unknown code")</f>
        <v>Standard (Mon–Fri 9:00–17:30)</v>
      </c>
      <c r="X323" s="9" t="s">
        <v>39</v>
      </c>
      <c r="Y323" s="5"/>
    </row>
    <row r="324" spans="1:25" ht="16" x14ac:dyDescent="0.2">
      <c r="A324" s="5" t="s">
        <v>452</v>
      </c>
      <c r="B324" s="5" t="s">
        <v>109</v>
      </c>
      <c r="C324" s="5" t="s">
        <v>113</v>
      </c>
      <c r="D324" s="5" t="s">
        <v>84</v>
      </c>
      <c r="E324" s="5" t="s">
        <v>29</v>
      </c>
      <c r="F324" s="5" t="s">
        <v>121</v>
      </c>
      <c r="G324" s="5" t="s">
        <v>78</v>
      </c>
      <c r="H324" s="5" t="s">
        <v>79</v>
      </c>
      <c r="I324" s="10"/>
      <c r="J324" s="12">
        <v>33</v>
      </c>
      <c r="K324" s="5" t="s">
        <v>33</v>
      </c>
      <c r="L324" s="5" t="s">
        <v>80</v>
      </c>
      <c r="M324" s="6">
        <v>46213</v>
      </c>
      <c r="N324" s="6"/>
      <c r="O324" s="6"/>
      <c r="P324" s="5" t="s">
        <v>202</v>
      </c>
      <c r="Q324" s="5" t="s">
        <v>36</v>
      </c>
      <c r="R324" s="8" t="s">
        <v>37</v>
      </c>
      <c r="S324" s="5">
        <v>40</v>
      </c>
      <c r="T324" s="5" t="s">
        <v>38</v>
      </c>
      <c r="U324" s="8" t="str">
        <f t="shared" si="10"/>
        <v>US Non-Exempt EEs</v>
      </c>
      <c r="V324" s="8" t="str">
        <f t="shared" si="11"/>
        <v>US Non-California Non-Exempt</v>
      </c>
      <c r="W324" s="8" t="str">
        <f>_xlfn.XLOOKUP(X324,ShiftCodes[Code],ShiftCodes[Work Schedule],"Unknown code")</f>
        <v>Shift B – Swing (Mon–Fri 14:00–22:30)</v>
      </c>
      <c r="X324" s="9" t="s">
        <v>85</v>
      </c>
      <c r="Y324" s="5"/>
    </row>
    <row r="325" spans="1:25" ht="16" x14ac:dyDescent="0.2">
      <c r="A325" s="5" t="s">
        <v>453</v>
      </c>
      <c r="B325" s="5" t="s">
        <v>112</v>
      </c>
      <c r="C325" s="5" t="s">
        <v>106</v>
      </c>
      <c r="D325" s="5" t="s">
        <v>42</v>
      </c>
      <c r="E325" s="5" t="s">
        <v>29</v>
      </c>
      <c r="F325" s="5" t="s">
        <v>165</v>
      </c>
      <c r="G325" s="5" t="s">
        <v>31</v>
      </c>
      <c r="H325" s="5" t="s">
        <v>8</v>
      </c>
      <c r="I325" s="10">
        <v>197000</v>
      </c>
      <c r="J325" s="12"/>
      <c r="K325" s="5" t="s">
        <v>33</v>
      </c>
      <c r="L325" s="5" t="s">
        <v>34</v>
      </c>
      <c r="M325" s="6">
        <v>46216</v>
      </c>
      <c r="N325" s="6"/>
      <c r="O325" s="6"/>
      <c r="P325" s="5" t="s">
        <v>182</v>
      </c>
      <c r="Q325" s="5" t="s">
        <v>36</v>
      </c>
      <c r="R325" s="8" t="s">
        <v>37</v>
      </c>
      <c r="S325" s="5">
        <v>40</v>
      </c>
      <c r="T325" s="5" t="s">
        <v>38</v>
      </c>
      <c r="U325" s="8" t="str">
        <f t="shared" si="10"/>
        <v/>
      </c>
      <c r="V325" s="8" t="str">
        <f t="shared" si="11"/>
        <v/>
      </c>
      <c r="W325" s="8" t="str">
        <f>_xlfn.XLOOKUP(X325,ShiftCodes[Code],ShiftCodes[Work Schedule],"Unknown code")</f>
        <v>Standard (Mon–Fri 9:00–17:30)</v>
      </c>
      <c r="X325" s="9" t="s">
        <v>39</v>
      </c>
      <c r="Y325" s="5"/>
    </row>
    <row r="326" spans="1:25" ht="16" x14ac:dyDescent="0.2">
      <c r="A326" s="5" t="s">
        <v>454</v>
      </c>
      <c r="B326" s="5" t="s">
        <v>112</v>
      </c>
      <c r="C326" s="5" t="s">
        <v>100</v>
      </c>
      <c r="D326" s="5" t="s">
        <v>28</v>
      </c>
      <c r="E326" s="5" t="s">
        <v>29</v>
      </c>
      <c r="F326" s="5" t="s">
        <v>163</v>
      </c>
      <c r="G326" s="5" t="s">
        <v>31</v>
      </c>
      <c r="H326" s="5" t="s">
        <v>8</v>
      </c>
      <c r="I326" s="10">
        <v>168000</v>
      </c>
      <c r="J326" s="12"/>
      <c r="K326" s="5" t="s">
        <v>33</v>
      </c>
      <c r="L326" s="5" t="s">
        <v>34</v>
      </c>
      <c r="M326" s="6">
        <v>46216</v>
      </c>
      <c r="N326" s="6"/>
      <c r="O326" s="6"/>
      <c r="P326" s="5" t="s">
        <v>208</v>
      </c>
      <c r="Q326" s="5" t="s">
        <v>36</v>
      </c>
      <c r="R326" s="8" t="s">
        <v>37</v>
      </c>
      <c r="S326" s="5">
        <v>40</v>
      </c>
      <c r="T326" s="5" t="s">
        <v>38</v>
      </c>
      <c r="U326" s="8" t="str">
        <f t="shared" si="10"/>
        <v/>
      </c>
      <c r="V326" s="8" t="str">
        <f t="shared" si="11"/>
        <v/>
      </c>
      <c r="W326" s="8" t="str">
        <f>_xlfn.XLOOKUP(X326,ShiftCodes[Code],ShiftCodes[Work Schedule],"Unknown code")</f>
        <v>Standard (Mon–Fri 9:00–17:30)</v>
      </c>
      <c r="X326" s="9" t="s">
        <v>39</v>
      </c>
      <c r="Y326" s="5"/>
    </row>
    <row r="327" spans="1:25" ht="16" x14ac:dyDescent="0.2">
      <c r="A327" s="5" t="s">
        <v>455</v>
      </c>
      <c r="B327" s="5" t="s">
        <v>109</v>
      </c>
      <c r="C327" s="5" t="s">
        <v>76</v>
      </c>
      <c r="D327" s="5" t="s">
        <v>28</v>
      </c>
      <c r="E327" s="5" t="s">
        <v>29</v>
      </c>
      <c r="F327" s="5" t="s">
        <v>165</v>
      </c>
      <c r="G327" s="5" t="s">
        <v>31</v>
      </c>
      <c r="H327" s="5" t="s">
        <v>8</v>
      </c>
      <c r="I327" s="10">
        <v>170000</v>
      </c>
      <c r="J327" s="12"/>
      <c r="K327" s="5" t="s">
        <v>33</v>
      </c>
      <c r="L327" s="5" t="s">
        <v>34</v>
      </c>
      <c r="M327" s="6">
        <v>46216</v>
      </c>
      <c r="N327" s="6"/>
      <c r="O327" s="6"/>
      <c r="P327" s="5" t="s">
        <v>213</v>
      </c>
      <c r="Q327" s="5" t="s">
        <v>36</v>
      </c>
      <c r="R327" s="8" t="s">
        <v>37</v>
      </c>
      <c r="S327" s="5">
        <v>40</v>
      </c>
      <c r="T327" s="5" t="s">
        <v>38</v>
      </c>
      <c r="U327" s="8" t="str">
        <f t="shared" si="10"/>
        <v/>
      </c>
      <c r="V327" s="8" t="str">
        <f t="shared" si="11"/>
        <v/>
      </c>
      <c r="W327" s="8" t="str">
        <f>_xlfn.XLOOKUP(X327,ShiftCodes[Code],ShiftCodes[Work Schedule],"Unknown code")</f>
        <v>Standard (Mon–Fri 9:00–17:30)</v>
      </c>
      <c r="X327" s="9" t="s">
        <v>39</v>
      </c>
      <c r="Y327" s="5"/>
    </row>
    <row r="328" spans="1:25" ht="16" x14ac:dyDescent="0.2">
      <c r="A328" s="5" t="s">
        <v>456</v>
      </c>
      <c r="B328" s="5" t="s">
        <v>112</v>
      </c>
      <c r="C328" s="5" t="s">
        <v>41</v>
      </c>
      <c r="D328" s="5" t="s">
        <v>28</v>
      </c>
      <c r="E328" s="5" t="s">
        <v>29</v>
      </c>
      <c r="F328" s="5" t="s">
        <v>149</v>
      </c>
      <c r="G328" s="5" t="s">
        <v>31</v>
      </c>
      <c r="H328" s="5" t="s">
        <v>8</v>
      </c>
      <c r="I328" s="10">
        <v>102000</v>
      </c>
      <c r="J328" s="12"/>
      <c r="K328" s="5" t="s">
        <v>33</v>
      </c>
      <c r="L328" s="5" t="s">
        <v>34</v>
      </c>
      <c r="M328" s="6">
        <v>46235</v>
      </c>
      <c r="N328" s="6"/>
      <c r="O328" s="6"/>
      <c r="P328" s="5" t="s">
        <v>208</v>
      </c>
      <c r="Q328" s="5" t="s">
        <v>36</v>
      </c>
      <c r="R328" s="8" t="s">
        <v>37</v>
      </c>
      <c r="S328" s="5">
        <v>40</v>
      </c>
      <c r="T328" s="5" t="s">
        <v>38</v>
      </c>
      <c r="U328" s="8" t="str">
        <f t="shared" si="10"/>
        <v/>
      </c>
      <c r="V328" s="8" t="str">
        <f t="shared" si="11"/>
        <v/>
      </c>
      <c r="W328" s="8" t="str">
        <f>_xlfn.XLOOKUP(X328,ShiftCodes[Code],ShiftCodes[Work Schedule],"Unknown code")</f>
        <v>Standard (Mon–Fri 9:00–17:30)</v>
      </c>
      <c r="X328" s="9" t="s">
        <v>39</v>
      </c>
      <c r="Y328" s="5" t="s">
        <v>395</v>
      </c>
    </row>
    <row r="329" spans="1:25" ht="16" x14ac:dyDescent="0.2">
      <c r="A329" s="5" t="s">
        <v>457</v>
      </c>
      <c r="B329" s="5" t="s">
        <v>112</v>
      </c>
      <c r="C329" s="5" t="s">
        <v>100</v>
      </c>
      <c r="D329" s="5" t="s">
        <v>28</v>
      </c>
      <c r="E329" s="5" t="s">
        <v>29</v>
      </c>
      <c r="F329" s="5" t="s">
        <v>165</v>
      </c>
      <c r="G329" s="5" t="s">
        <v>31</v>
      </c>
      <c r="H329" s="5" t="s">
        <v>8</v>
      </c>
      <c r="I329" s="10">
        <v>195000</v>
      </c>
      <c r="J329" s="12"/>
      <c r="K329" s="5" t="s">
        <v>33</v>
      </c>
      <c r="L329" s="5" t="s">
        <v>34</v>
      </c>
      <c r="M329" s="6">
        <v>46226</v>
      </c>
      <c r="N329" s="6"/>
      <c r="O329" s="6"/>
      <c r="P329" s="5" t="s">
        <v>204</v>
      </c>
      <c r="Q329" s="5" t="s">
        <v>36</v>
      </c>
      <c r="R329" s="8" t="s">
        <v>37</v>
      </c>
      <c r="S329" s="5">
        <v>40</v>
      </c>
      <c r="T329" s="5" t="s">
        <v>38</v>
      </c>
      <c r="U329" s="8" t="str">
        <f t="shared" si="10"/>
        <v/>
      </c>
      <c r="V329" s="8" t="str">
        <f t="shared" si="11"/>
        <v/>
      </c>
      <c r="W329" s="8" t="str">
        <f>_xlfn.XLOOKUP(X329,ShiftCodes[Code],ShiftCodes[Work Schedule],"Unknown code")</f>
        <v>Standard (Mon–Fri 9:00–17:30)</v>
      </c>
      <c r="X329" s="9" t="s">
        <v>39</v>
      </c>
      <c r="Y329" s="5"/>
    </row>
    <row r="330" spans="1:25" ht="16" x14ac:dyDescent="0.2">
      <c r="A330" s="5" t="s">
        <v>458</v>
      </c>
      <c r="B330" s="5" t="s">
        <v>99</v>
      </c>
      <c r="C330" s="5" t="s">
        <v>41</v>
      </c>
      <c r="D330" s="5" t="s">
        <v>189</v>
      </c>
      <c r="E330" s="5" t="s">
        <v>29</v>
      </c>
      <c r="F330" s="5" t="s">
        <v>165</v>
      </c>
      <c r="G330" s="5" t="s">
        <v>31</v>
      </c>
      <c r="H330" s="5" t="s">
        <v>8</v>
      </c>
      <c r="I330" s="10">
        <v>159000</v>
      </c>
      <c r="J330" s="12"/>
      <c r="K330" s="5" t="s">
        <v>33</v>
      </c>
      <c r="L330" s="5" t="s">
        <v>34</v>
      </c>
      <c r="M330" s="6">
        <v>46226</v>
      </c>
      <c r="N330" s="6"/>
      <c r="O330" s="6"/>
      <c r="P330" s="5" t="s">
        <v>159</v>
      </c>
      <c r="Q330" s="5" t="s">
        <v>36</v>
      </c>
      <c r="R330" s="8" t="s">
        <v>37</v>
      </c>
      <c r="S330" s="5">
        <v>40</v>
      </c>
      <c r="T330" s="5" t="s">
        <v>38</v>
      </c>
      <c r="U330" s="8" t="str">
        <f t="shared" si="10"/>
        <v/>
      </c>
      <c r="V330" s="8" t="str">
        <f t="shared" si="11"/>
        <v/>
      </c>
      <c r="W330" s="8" t="str">
        <f>_xlfn.XLOOKUP(X330,ShiftCodes[Code],ShiftCodes[Work Schedule],"Unknown code")</f>
        <v>Standard (Mon–Fri 9:00–17:30)</v>
      </c>
      <c r="X330" s="9" t="s">
        <v>39</v>
      </c>
      <c r="Y330" s="5"/>
    </row>
    <row r="331" spans="1:25" ht="16" x14ac:dyDescent="0.2">
      <c r="A331" s="5" t="s">
        <v>459</v>
      </c>
      <c r="B331" s="5" t="s">
        <v>103</v>
      </c>
      <c r="C331" s="5" t="s">
        <v>180</v>
      </c>
      <c r="D331" s="5" t="s">
        <v>52</v>
      </c>
      <c r="E331" s="5" t="s">
        <v>52</v>
      </c>
      <c r="F331" s="5" t="s">
        <v>124</v>
      </c>
      <c r="G331" s="5" t="s">
        <v>31</v>
      </c>
      <c r="H331" s="5" t="s">
        <v>8</v>
      </c>
      <c r="I331" s="10">
        <v>65000</v>
      </c>
      <c r="J331" s="17"/>
      <c r="K331" s="5" t="s">
        <v>55</v>
      </c>
      <c r="L331" s="5" t="s">
        <v>56</v>
      </c>
      <c r="M331" s="6">
        <v>46228</v>
      </c>
      <c r="N331" s="6"/>
      <c r="O331" s="6"/>
      <c r="P331" s="5" t="s">
        <v>218</v>
      </c>
      <c r="Q331" s="5" t="s">
        <v>36</v>
      </c>
      <c r="R331" s="8" t="s">
        <v>37</v>
      </c>
      <c r="S331" s="5">
        <v>37.5</v>
      </c>
      <c r="T331" s="5" t="s">
        <v>38</v>
      </c>
      <c r="U331" s="8" t="str">
        <f t="shared" si="10"/>
        <v/>
      </c>
      <c r="V331" s="8" t="str">
        <f t="shared" si="11"/>
        <v/>
      </c>
      <c r="W331" s="8" t="str">
        <f>_xlfn.XLOOKUP(X331,ShiftCodes[Code],ShiftCodes[Work Schedule],"Unknown code")</f>
        <v>Standard (Mon–Fri 9:00–17:30)</v>
      </c>
      <c r="X331" s="9" t="s">
        <v>39</v>
      </c>
      <c r="Y331" s="5"/>
    </row>
    <row r="332" spans="1:25" ht="16" x14ac:dyDescent="0.2">
      <c r="A332" s="5" t="s">
        <v>460</v>
      </c>
      <c r="B332" s="5" t="s">
        <v>112</v>
      </c>
      <c r="C332" s="5" t="s">
        <v>68</v>
      </c>
      <c r="D332" s="5" t="s">
        <v>69</v>
      </c>
      <c r="E332" s="5" t="s">
        <v>70</v>
      </c>
      <c r="F332" s="5" t="s">
        <v>163</v>
      </c>
      <c r="G332" s="5" t="s">
        <v>31</v>
      </c>
      <c r="H332" s="5" t="s">
        <v>8</v>
      </c>
      <c r="I332" s="15">
        <v>3470000</v>
      </c>
      <c r="J332" s="16"/>
      <c r="K332" s="5" t="s">
        <v>72</v>
      </c>
      <c r="L332" s="5" t="s">
        <v>73</v>
      </c>
      <c r="M332" s="6">
        <v>46228</v>
      </c>
      <c r="N332" s="6"/>
      <c r="O332" s="6"/>
      <c r="P332" s="5" t="s">
        <v>209</v>
      </c>
      <c r="Q332" s="5" t="s">
        <v>36</v>
      </c>
      <c r="R332" s="8" t="s">
        <v>37</v>
      </c>
      <c r="S332" s="5">
        <v>40</v>
      </c>
      <c r="T332" s="5" t="s">
        <v>38</v>
      </c>
      <c r="U332" s="8" t="str">
        <f t="shared" si="10"/>
        <v/>
      </c>
      <c r="V332" s="8" t="str">
        <f t="shared" si="11"/>
        <v/>
      </c>
      <c r="W332" s="8" t="str">
        <f>_xlfn.XLOOKUP(X332,ShiftCodes[Code],ShiftCodes[Work Schedule],"Unknown code")</f>
        <v>Standard (Mon–Fri 9:00–17:30)</v>
      </c>
      <c r="X332" s="9" t="s">
        <v>39</v>
      </c>
      <c r="Y332" s="5"/>
    </row>
    <row r="333" spans="1:25" ht="16" x14ac:dyDescent="0.2">
      <c r="A333" s="5" t="s">
        <v>461</v>
      </c>
      <c r="B333" s="5" t="s">
        <v>103</v>
      </c>
      <c r="C333" s="5" t="s">
        <v>41</v>
      </c>
      <c r="D333" s="5" t="s">
        <v>154</v>
      </c>
      <c r="E333" s="5" t="s">
        <v>29</v>
      </c>
      <c r="F333" s="5" t="s">
        <v>236</v>
      </c>
      <c r="G333" s="5" t="s">
        <v>31</v>
      </c>
      <c r="H333" s="5" t="s">
        <v>8</v>
      </c>
      <c r="I333" s="10">
        <v>259000</v>
      </c>
      <c r="J333" s="12"/>
      <c r="K333" s="5" t="s">
        <v>33</v>
      </c>
      <c r="L333" s="5" t="s">
        <v>34</v>
      </c>
      <c r="M333" s="6">
        <v>46240</v>
      </c>
      <c r="N333" s="6"/>
      <c r="O333" s="6"/>
      <c r="P333" s="5" t="s">
        <v>274</v>
      </c>
      <c r="Q333" s="5" t="s">
        <v>36</v>
      </c>
      <c r="R333" s="8" t="s">
        <v>37</v>
      </c>
      <c r="S333" s="5">
        <v>40</v>
      </c>
      <c r="T333" s="5" t="s">
        <v>38</v>
      </c>
      <c r="U333" s="8" t="str">
        <f t="shared" si="10"/>
        <v/>
      </c>
      <c r="V333" s="8" t="str">
        <f t="shared" si="11"/>
        <v/>
      </c>
      <c r="W333" s="8" t="str">
        <f>_xlfn.XLOOKUP(X333,ShiftCodes[Code],ShiftCodes[Work Schedule],"Unknown code")</f>
        <v>Standard (Mon–Fri 9:00–17:30)</v>
      </c>
      <c r="X333" s="9" t="s">
        <v>39</v>
      </c>
      <c r="Y333" s="5"/>
    </row>
    <row r="334" spans="1:25" ht="16" x14ac:dyDescent="0.2">
      <c r="A334" s="5" t="s">
        <v>462</v>
      </c>
      <c r="B334" s="5" t="s">
        <v>103</v>
      </c>
      <c r="C334" s="5" t="s">
        <v>100</v>
      </c>
      <c r="D334" s="5" t="s">
        <v>28</v>
      </c>
      <c r="E334" s="5" t="s">
        <v>29</v>
      </c>
      <c r="F334" s="5" t="s">
        <v>165</v>
      </c>
      <c r="G334" s="5" t="s">
        <v>31</v>
      </c>
      <c r="H334" s="5" t="s">
        <v>8</v>
      </c>
      <c r="I334" s="10">
        <v>200000</v>
      </c>
      <c r="J334" s="12"/>
      <c r="K334" s="5" t="s">
        <v>33</v>
      </c>
      <c r="L334" s="5" t="s">
        <v>34</v>
      </c>
      <c r="M334" s="6">
        <v>46241</v>
      </c>
      <c r="N334" s="6"/>
      <c r="O334" s="6"/>
      <c r="P334" s="5" t="s">
        <v>175</v>
      </c>
      <c r="Q334" s="5" t="s">
        <v>36</v>
      </c>
      <c r="R334" s="8" t="s">
        <v>37</v>
      </c>
      <c r="S334" s="5">
        <v>40</v>
      </c>
      <c r="T334" s="5" t="s">
        <v>38</v>
      </c>
      <c r="U334" s="8" t="str">
        <f t="shared" si="10"/>
        <v/>
      </c>
      <c r="V334" s="8" t="str">
        <f t="shared" si="11"/>
        <v/>
      </c>
      <c r="W334" s="8" t="str">
        <f>_xlfn.XLOOKUP(X334,ShiftCodes[Code],ShiftCodes[Work Schedule],"Unknown code")</f>
        <v>Standard (Mon–Fri 9:00–17:30)</v>
      </c>
      <c r="X334" s="9" t="s">
        <v>39</v>
      </c>
      <c r="Y334" s="5"/>
    </row>
    <row r="335" spans="1:25" ht="16" x14ac:dyDescent="0.2">
      <c r="A335" s="5" t="s">
        <v>463</v>
      </c>
      <c r="B335" s="5" t="s">
        <v>109</v>
      </c>
      <c r="C335" s="5" t="s">
        <v>113</v>
      </c>
      <c r="D335" s="5" t="s">
        <v>84</v>
      </c>
      <c r="E335" s="5" t="s">
        <v>29</v>
      </c>
      <c r="F335" s="5" t="s">
        <v>130</v>
      </c>
      <c r="G335" s="5" t="s">
        <v>78</v>
      </c>
      <c r="H335" s="5" t="s">
        <v>79</v>
      </c>
      <c r="I335" s="10"/>
      <c r="J335" s="12">
        <v>25.25</v>
      </c>
      <c r="K335" s="5" t="s">
        <v>33</v>
      </c>
      <c r="L335" s="5" t="s">
        <v>80</v>
      </c>
      <c r="M335" s="6">
        <v>46252</v>
      </c>
      <c r="N335" s="6"/>
      <c r="O335" s="6"/>
      <c r="P335" s="5" t="s">
        <v>118</v>
      </c>
      <c r="Q335" s="5" t="s">
        <v>36</v>
      </c>
      <c r="R335" s="8" t="s">
        <v>37</v>
      </c>
      <c r="S335" s="5">
        <v>40</v>
      </c>
      <c r="T335" s="5" t="s">
        <v>38</v>
      </c>
      <c r="U335" s="8" t="str">
        <f t="shared" si="10"/>
        <v>US Non-Exempt EEs</v>
      </c>
      <c r="V335" s="8" t="str">
        <f t="shared" si="11"/>
        <v>US Non-California Non-Exempt</v>
      </c>
      <c r="W335" s="8" t="str">
        <f>_xlfn.XLOOKUP(X335,ShiftCodes[Code],ShiftCodes[Work Schedule],"Unknown code")</f>
        <v>Shift A – Day (Mon–Fri 06:00–14:30)</v>
      </c>
      <c r="X335" s="9" t="s">
        <v>81</v>
      </c>
      <c r="Y335" s="5"/>
    </row>
    <row r="336" spans="1:25" ht="16" x14ac:dyDescent="0.2">
      <c r="A336" s="5" t="s">
        <v>464</v>
      </c>
      <c r="B336" s="5" t="s">
        <v>103</v>
      </c>
      <c r="C336" s="5" t="s">
        <v>100</v>
      </c>
      <c r="D336" s="5" t="s">
        <v>28</v>
      </c>
      <c r="E336" s="5" t="s">
        <v>29</v>
      </c>
      <c r="F336" s="5" t="s">
        <v>236</v>
      </c>
      <c r="G336" s="5" t="s">
        <v>31</v>
      </c>
      <c r="H336" s="5" t="s">
        <v>8</v>
      </c>
      <c r="I336" s="10">
        <v>245000</v>
      </c>
      <c r="J336" s="12"/>
      <c r="K336" s="5" t="s">
        <v>33</v>
      </c>
      <c r="L336" s="5" t="s">
        <v>34</v>
      </c>
      <c r="M336" s="6">
        <v>46255</v>
      </c>
      <c r="N336" s="6"/>
      <c r="O336" s="6"/>
      <c r="P336" s="5" t="s">
        <v>175</v>
      </c>
      <c r="Q336" s="5" t="s">
        <v>36</v>
      </c>
      <c r="R336" s="8" t="s">
        <v>37</v>
      </c>
      <c r="S336" s="5">
        <v>40</v>
      </c>
      <c r="T336" s="5" t="s">
        <v>38</v>
      </c>
      <c r="U336" s="8" t="str">
        <f t="shared" si="10"/>
        <v/>
      </c>
      <c r="V336" s="8" t="str">
        <f t="shared" si="11"/>
        <v/>
      </c>
      <c r="W336" s="8" t="str">
        <f>_xlfn.XLOOKUP(X336,ShiftCodes[Code],ShiftCodes[Work Schedule],"Unknown code")</f>
        <v>Standard (Mon–Fri 9:00–17:30)</v>
      </c>
      <c r="X336" s="9" t="s">
        <v>39</v>
      </c>
      <c r="Y336" s="5"/>
    </row>
    <row r="337" spans="1:25" ht="16" x14ac:dyDescent="0.2">
      <c r="A337" s="5" t="s">
        <v>465</v>
      </c>
      <c r="B337" s="5" t="s">
        <v>103</v>
      </c>
      <c r="C337" s="5" t="s">
        <v>100</v>
      </c>
      <c r="D337" s="5" t="s">
        <v>28</v>
      </c>
      <c r="E337" s="5" t="s">
        <v>29</v>
      </c>
      <c r="F337" s="5" t="s">
        <v>149</v>
      </c>
      <c r="G337" s="5" t="s">
        <v>31</v>
      </c>
      <c r="H337" s="5" t="s">
        <v>8</v>
      </c>
      <c r="I337" s="10">
        <v>106000</v>
      </c>
      <c r="J337" s="12"/>
      <c r="K337" s="5" t="s">
        <v>33</v>
      </c>
      <c r="L337" s="5" t="s">
        <v>34</v>
      </c>
      <c r="M337" s="6">
        <v>46250</v>
      </c>
      <c r="N337" s="6"/>
      <c r="O337" s="6"/>
      <c r="P337" s="5" t="s">
        <v>255</v>
      </c>
      <c r="Q337" s="5" t="s">
        <v>36</v>
      </c>
      <c r="R337" s="8" t="s">
        <v>37</v>
      </c>
      <c r="S337" s="5">
        <v>40</v>
      </c>
      <c r="T337" s="5" t="s">
        <v>38</v>
      </c>
      <c r="U337" s="8" t="str">
        <f t="shared" si="10"/>
        <v/>
      </c>
      <c r="V337" s="8" t="str">
        <f t="shared" si="11"/>
        <v/>
      </c>
      <c r="W337" s="8" t="str">
        <f>_xlfn.XLOOKUP(X337,ShiftCodes[Code],ShiftCodes[Work Schedule],"Unknown code")</f>
        <v>Standard (Mon–Fri 9:00–17:30)</v>
      </c>
      <c r="X337" s="9" t="s">
        <v>39</v>
      </c>
      <c r="Y337" s="5" t="s">
        <v>402</v>
      </c>
    </row>
    <row r="338" spans="1:25" ht="16" x14ac:dyDescent="0.2">
      <c r="A338" s="5" t="s">
        <v>466</v>
      </c>
      <c r="B338" s="5" t="s">
        <v>103</v>
      </c>
      <c r="C338" s="5" t="s">
        <v>106</v>
      </c>
      <c r="D338" s="5" t="s">
        <v>42</v>
      </c>
      <c r="E338" s="5" t="s">
        <v>29</v>
      </c>
      <c r="F338" s="5" t="s">
        <v>149</v>
      </c>
      <c r="G338" s="5" t="s">
        <v>31</v>
      </c>
      <c r="H338" s="5" t="s">
        <v>8</v>
      </c>
      <c r="I338" s="10">
        <v>120000</v>
      </c>
      <c r="J338" s="12"/>
      <c r="K338" s="5" t="s">
        <v>33</v>
      </c>
      <c r="L338" s="5" t="s">
        <v>34</v>
      </c>
      <c r="M338" s="6">
        <v>46268</v>
      </c>
      <c r="N338" s="6"/>
      <c r="O338" s="6"/>
      <c r="P338" s="5" t="s">
        <v>226</v>
      </c>
      <c r="Q338" s="5" t="s">
        <v>36</v>
      </c>
      <c r="R338" s="8" t="s">
        <v>37</v>
      </c>
      <c r="S338" s="5">
        <v>40</v>
      </c>
      <c r="T338" s="5" t="s">
        <v>38</v>
      </c>
      <c r="U338" s="8" t="str">
        <f t="shared" si="10"/>
        <v/>
      </c>
      <c r="V338" s="8" t="str">
        <f t="shared" si="11"/>
        <v/>
      </c>
      <c r="W338" s="8" t="str">
        <f>_xlfn.XLOOKUP(X338,ShiftCodes[Code],ShiftCodes[Work Schedule],"Unknown code")</f>
        <v>Standard (Mon–Fri 9:00–17:30)</v>
      </c>
      <c r="X338" s="9" t="s">
        <v>39</v>
      </c>
      <c r="Y338" s="5"/>
    </row>
    <row r="339" spans="1:25" ht="16" x14ac:dyDescent="0.2">
      <c r="A339" s="5" t="s">
        <v>467</v>
      </c>
      <c r="B339" s="5" t="s">
        <v>112</v>
      </c>
      <c r="C339" s="5" t="s">
        <v>180</v>
      </c>
      <c r="D339" s="5" t="s">
        <v>52</v>
      </c>
      <c r="E339" s="5" t="s">
        <v>52</v>
      </c>
      <c r="F339" s="5" t="s">
        <v>163</v>
      </c>
      <c r="G339" s="5" t="s">
        <v>31</v>
      </c>
      <c r="H339" s="5" t="s">
        <v>8</v>
      </c>
      <c r="I339" s="10">
        <v>84000</v>
      </c>
      <c r="J339" s="17"/>
      <c r="K339" s="5" t="s">
        <v>55</v>
      </c>
      <c r="L339" s="5" t="s">
        <v>56</v>
      </c>
      <c r="M339" s="6">
        <v>46277</v>
      </c>
      <c r="N339" s="6"/>
      <c r="O339" s="6"/>
      <c r="P339" s="5" t="s">
        <v>179</v>
      </c>
      <c r="Q339" s="5" t="s">
        <v>36</v>
      </c>
      <c r="R339" s="8" t="s">
        <v>37</v>
      </c>
      <c r="S339" s="5">
        <v>37.5</v>
      </c>
      <c r="T339" s="5" t="s">
        <v>38</v>
      </c>
      <c r="U339" s="8" t="str">
        <f t="shared" si="10"/>
        <v/>
      </c>
      <c r="V339" s="8" t="str">
        <f t="shared" si="11"/>
        <v/>
      </c>
      <c r="W339" s="8" t="str">
        <f>_xlfn.XLOOKUP(X339,ShiftCodes[Code],ShiftCodes[Work Schedule],"Unknown code")</f>
        <v>Standard (Mon–Fri 9:00–17:30)</v>
      </c>
      <c r="X339" s="9" t="s">
        <v>39</v>
      </c>
      <c r="Y339" s="5"/>
    </row>
    <row r="340" spans="1:25" ht="16" x14ac:dyDescent="0.2">
      <c r="A340" s="5" t="s">
        <v>468</v>
      </c>
      <c r="B340" s="5" t="s">
        <v>112</v>
      </c>
      <c r="C340" s="5" t="s">
        <v>68</v>
      </c>
      <c r="D340" s="5" t="s">
        <v>69</v>
      </c>
      <c r="E340" s="5" t="s">
        <v>70</v>
      </c>
      <c r="F340" s="5" t="s">
        <v>236</v>
      </c>
      <c r="G340" s="5" t="s">
        <v>31</v>
      </c>
      <c r="H340" s="5" t="s">
        <v>8</v>
      </c>
      <c r="I340" s="15">
        <v>8380000</v>
      </c>
      <c r="J340" s="16"/>
      <c r="K340" s="5" t="s">
        <v>72</v>
      </c>
      <c r="L340" s="5" t="s">
        <v>73</v>
      </c>
      <c r="M340" s="6">
        <v>46280</v>
      </c>
      <c r="N340" s="6"/>
      <c r="O340" s="6"/>
      <c r="P340" s="5" t="s">
        <v>209</v>
      </c>
      <c r="Q340" s="5" t="s">
        <v>36</v>
      </c>
      <c r="R340" s="8" t="s">
        <v>37</v>
      </c>
      <c r="S340" s="5">
        <v>40</v>
      </c>
      <c r="T340" s="5" t="s">
        <v>38</v>
      </c>
      <c r="U340" s="8" t="str">
        <f t="shared" si="10"/>
        <v/>
      </c>
      <c r="V340" s="8" t="str">
        <f t="shared" si="11"/>
        <v/>
      </c>
      <c r="W340" s="8" t="str">
        <f>_xlfn.XLOOKUP(X340,ShiftCodes[Code],ShiftCodes[Work Schedule],"Unknown code")</f>
        <v>Standard (Mon–Fri 9:00–17:30)</v>
      </c>
      <c r="X340" s="9" t="s">
        <v>39</v>
      </c>
      <c r="Y340" s="5"/>
    </row>
    <row r="341" spans="1:25" ht="16" x14ac:dyDescent="0.2">
      <c r="A341" s="5" t="s">
        <v>469</v>
      </c>
      <c r="B341" s="5" t="s">
        <v>112</v>
      </c>
      <c r="C341" s="5" t="s">
        <v>68</v>
      </c>
      <c r="D341" s="5" t="s">
        <v>69</v>
      </c>
      <c r="E341" s="5" t="s">
        <v>70</v>
      </c>
      <c r="F341" s="5" t="s">
        <v>156</v>
      </c>
      <c r="G341" s="5" t="s">
        <v>31</v>
      </c>
      <c r="H341" s="5" t="s">
        <v>8</v>
      </c>
      <c r="I341" s="15">
        <v>7480000</v>
      </c>
      <c r="J341" s="16"/>
      <c r="K341" s="5" t="s">
        <v>72</v>
      </c>
      <c r="L341" s="5" t="s">
        <v>73</v>
      </c>
      <c r="M341" s="6">
        <v>46281</v>
      </c>
      <c r="N341" s="6"/>
      <c r="O341" s="6"/>
      <c r="P341" s="5" t="s">
        <v>209</v>
      </c>
      <c r="Q341" s="5" t="s">
        <v>36</v>
      </c>
      <c r="R341" s="8" t="s">
        <v>37</v>
      </c>
      <c r="S341" s="5">
        <v>40</v>
      </c>
      <c r="T341" s="5" t="s">
        <v>38</v>
      </c>
      <c r="U341" s="8" t="str">
        <f t="shared" si="10"/>
        <v/>
      </c>
      <c r="V341" s="8" t="str">
        <f t="shared" si="11"/>
        <v/>
      </c>
      <c r="W341" s="8" t="str">
        <f>_xlfn.XLOOKUP(X341,ShiftCodes[Code],ShiftCodes[Work Schedule],"Unknown code")</f>
        <v>Standard (Mon–Fri 9:00–17:30)</v>
      </c>
      <c r="X341" s="9" t="s">
        <v>39</v>
      </c>
      <c r="Y341" s="5"/>
    </row>
    <row r="342" spans="1:25" ht="16" x14ac:dyDescent="0.2">
      <c r="A342" s="5" t="s">
        <v>470</v>
      </c>
      <c r="B342" s="5" t="s">
        <v>112</v>
      </c>
      <c r="C342" s="5" t="s">
        <v>180</v>
      </c>
      <c r="D342" s="5" t="s">
        <v>52</v>
      </c>
      <c r="E342" s="5" t="s">
        <v>52</v>
      </c>
      <c r="F342" s="5" t="s">
        <v>124</v>
      </c>
      <c r="G342" s="5" t="s">
        <v>31</v>
      </c>
      <c r="H342" s="5" t="s">
        <v>8</v>
      </c>
      <c r="I342" s="10">
        <v>73000</v>
      </c>
      <c r="J342" s="17"/>
      <c r="K342" s="5" t="s">
        <v>55</v>
      </c>
      <c r="L342" s="5" t="s">
        <v>56</v>
      </c>
      <c r="M342" s="6">
        <v>46288</v>
      </c>
      <c r="N342" s="6"/>
      <c r="O342" s="6"/>
      <c r="P342" s="5" t="s">
        <v>179</v>
      </c>
      <c r="Q342" s="5" t="s">
        <v>36</v>
      </c>
      <c r="R342" s="8" t="s">
        <v>37</v>
      </c>
      <c r="S342" s="5">
        <v>37.5</v>
      </c>
      <c r="T342" s="5" t="s">
        <v>38</v>
      </c>
      <c r="U342" s="8" t="str">
        <f t="shared" si="10"/>
        <v/>
      </c>
      <c r="V342" s="8" t="str">
        <f t="shared" si="11"/>
        <v/>
      </c>
      <c r="W342" s="8" t="str">
        <f>_xlfn.XLOOKUP(X342,ShiftCodes[Code],ShiftCodes[Work Schedule],"Unknown code")</f>
        <v>Standard (Mon–Fri 9:00–17:30)</v>
      </c>
      <c r="X342" s="9" t="s">
        <v>39</v>
      </c>
      <c r="Y342" s="5"/>
    </row>
    <row r="343" spans="1:25" ht="16" x14ac:dyDescent="0.2">
      <c r="A343" s="5" t="s">
        <v>471</v>
      </c>
      <c r="B343" s="5" t="s">
        <v>112</v>
      </c>
      <c r="C343" s="5" t="s">
        <v>180</v>
      </c>
      <c r="D343" s="5" t="s">
        <v>52</v>
      </c>
      <c r="E343" s="5" t="s">
        <v>52</v>
      </c>
      <c r="F343" s="5" t="s">
        <v>163</v>
      </c>
      <c r="G343" s="5" t="s">
        <v>31</v>
      </c>
      <c r="H343" s="5" t="s">
        <v>8</v>
      </c>
      <c r="I343" s="10">
        <v>89000</v>
      </c>
      <c r="J343" s="17"/>
      <c r="K343" s="5" t="s">
        <v>55</v>
      </c>
      <c r="L343" s="5" t="s">
        <v>56</v>
      </c>
      <c r="M343" s="6">
        <v>46296</v>
      </c>
      <c r="N343" s="6"/>
      <c r="O343" s="6"/>
      <c r="P343" s="5" t="s">
        <v>179</v>
      </c>
      <c r="Q343" s="5" t="s">
        <v>96</v>
      </c>
      <c r="R343" s="8" t="s">
        <v>37</v>
      </c>
      <c r="S343" s="5">
        <v>37.5</v>
      </c>
      <c r="T343" s="5" t="s">
        <v>38</v>
      </c>
      <c r="U343" s="8" t="str">
        <f t="shared" si="10"/>
        <v/>
      </c>
      <c r="V343" s="8" t="str">
        <f t="shared" si="11"/>
        <v/>
      </c>
      <c r="W343" s="8" t="str">
        <f>_xlfn.XLOOKUP(X343,ShiftCodes[Code],ShiftCodes[Work Schedule],"Unknown code")</f>
        <v>Standard (Mon–Fri 9:00–17:30)</v>
      </c>
      <c r="X343" s="9" t="s">
        <v>39</v>
      </c>
      <c r="Y343" s="5"/>
    </row>
    <row r="344" spans="1:25" ht="16" x14ac:dyDescent="0.2">
      <c r="A344" s="5" t="s">
        <v>472</v>
      </c>
      <c r="B344" s="5" t="s">
        <v>112</v>
      </c>
      <c r="C344" s="5" t="s">
        <v>106</v>
      </c>
      <c r="D344" s="5" t="s">
        <v>42</v>
      </c>
      <c r="E344" s="5" t="s">
        <v>29</v>
      </c>
      <c r="F344" s="5" t="s">
        <v>165</v>
      </c>
      <c r="G344" s="5" t="s">
        <v>31</v>
      </c>
      <c r="H344" s="5" t="s">
        <v>8</v>
      </c>
      <c r="I344" s="10">
        <v>172000</v>
      </c>
      <c r="J344" s="12"/>
      <c r="K344" s="5" t="s">
        <v>33</v>
      </c>
      <c r="L344" s="5" t="s">
        <v>34</v>
      </c>
      <c r="M344" s="6">
        <v>46314</v>
      </c>
      <c r="N344" s="6"/>
      <c r="O344" s="6"/>
      <c r="P344" s="5" t="s">
        <v>182</v>
      </c>
      <c r="Q344" s="5" t="s">
        <v>96</v>
      </c>
      <c r="R344" s="8" t="s">
        <v>37</v>
      </c>
      <c r="S344" s="5">
        <v>40</v>
      </c>
      <c r="T344" s="5" t="s">
        <v>38</v>
      </c>
      <c r="U344" s="8" t="str">
        <f t="shared" si="10"/>
        <v/>
      </c>
      <c r="V344" s="8" t="str">
        <f t="shared" si="11"/>
        <v/>
      </c>
      <c r="W344" s="8" t="str">
        <f>_xlfn.XLOOKUP(X344,ShiftCodes[Code],ShiftCodes[Work Schedule],"Unknown code")</f>
        <v>Standard (Mon–Fri 9:00–17:30)</v>
      </c>
      <c r="X344" s="9" t="s">
        <v>39</v>
      </c>
      <c r="Y344" s="5" t="s">
        <v>97</v>
      </c>
    </row>
    <row r="345" spans="1:25" ht="16" x14ac:dyDescent="0.2">
      <c r="A345" s="5" t="s">
        <v>473</v>
      </c>
      <c r="B345" s="5" t="s">
        <v>103</v>
      </c>
      <c r="C345" s="5" t="s">
        <v>41</v>
      </c>
      <c r="D345" s="5" t="s">
        <v>84</v>
      </c>
      <c r="E345" s="5" t="s">
        <v>29</v>
      </c>
      <c r="F345" s="5" t="s">
        <v>163</v>
      </c>
      <c r="G345" s="5" t="s">
        <v>31</v>
      </c>
      <c r="H345" s="5" t="s">
        <v>8</v>
      </c>
      <c r="I345" s="10">
        <v>171000</v>
      </c>
      <c r="J345" s="12"/>
      <c r="K345" s="5" t="s">
        <v>33</v>
      </c>
      <c r="L345" s="5" t="s">
        <v>34</v>
      </c>
      <c r="M345" s="6">
        <v>46313</v>
      </c>
      <c r="N345" s="6"/>
      <c r="O345" s="6"/>
      <c r="P345" s="5" t="s">
        <v>181</v>
      </c>
      <c r="Q345" s="5" t="s">
        <v>96</v>
      </c>
      <c r="R345" s="8" t="s">
        <v>37</v>
      </c>
      <c r="S345" s="5">
        <v>40</v>
      </c>
      <c r="T345" s="5" t="s">
        <v>38</v>
      </c>
      <c r="U345" s="8" t="str">
        <f t="shared" si="10"/>
        <v/>
      </c>
      <c r="V345" s="8" t="str">
        <f t="shared" si="11"/>
        <v/>
      </c>
      <c r="W345" s="8" t="str">
        <f>_xlfn.XLOOKUP(X345,ShiftCodes[Code],ShiftCodes[Work Schedule],"Unknown code")</f>
        <v>Standard (Mon–Fri 9:00–17:30)</v>
      </c>
      <c r="X345" s="9" t="s">
        <v>39</v>
      </c>
      <c r="Y345" s="5"/>
    </row>
    <row r="346" spans="1:25" ht="16" x14ac:dyDescent="0.2">
      <c r="A346" s="5" t="s">
        <v>474</v>
      </c>
      <c r="B346" s="5" t="s">
        <v>112</v>
      </c>
      <c r="C346" s="5" t="s">
        <v>106</v>
      </c>
      <c r="D346" s="5" t="s">
        <v>42</v>
      </c>
      <c r="E346" s="5" t="s">
        <v>29</v>
      </c>
      <c r="F346" s="5" t="s">
        <v>124</v>
      </c>
      <c r="G346" s="5" t="s">
        <v>31</v>
      </c>
      <c r="H346" s="5" t="s">
        <v>8</v>
      </c>
      <c r="I346" s="10">
        <v>145000</v>
      </c>
      <c r="J346" s="12"/>
      <c r="K346" s="5" t="s">
        <v>33</v>
      </c>
      <c r="L346" s="5" t="s">
        <v>34</v>
      </c>
      <c r="M346" s="6">
        <v>46315</v>
      </c>
      <c r="N346" s="6"/>
      <c r="O346" s="6"/>
      <c r="P346" s="5" t="s">
        <v>182</v>
      </c>
      <c r="Q346" s="5" t="s">
        <v>96</v>
      </c>
      <c r="R346" s="8" t="s">
        <v>37</v>
      </c>
      <c r="S346" s="5">
        <v>40</v>
      </c>
      <c r="T346" s="5" t="s">
        <v>38</v>
      </c>
      <c r="U346" s="8" t="str">
        <f t="shared" si="10"/>
        <v/>
      </c>
      <c r="V346" s="8" t="str">
        <f t="shared" si="11"/>
        <v/>
      </c>
      <c r="W346" s="8" t="str">
        <f>_xlfn.XLOOKUP(X346,ShiftCodes[Code],ShiftCodes[Work Schedule],"Unknown code")</f>
        <v>Standard (Mon–Fri 9:00–17:30)</v>
      </c>
      <c r="X346" s="9" t="s">
        <v>39</v>
      </c>
      <c r="Y346" s="5" t="s">
        <v>97</v>
      </c>
    </row>
    <row r="347" spans="1:25" ht="16" x14ac:dyDescent="0.2">
      <c r="A347" s="5" t="s">
        <v>475</v>
      </c>
      <c r="B347" s="5" t="s">
        <v>112</v>
      </c>
      <c r="C347" s="5" t="s">
        <v>106</v>
      </c>
      <c r="D347" s="5" t="s">
        <v>42</v>
      </c>
      <c r="E347" s="5" t="s">
        <v>29</v>
      </c>
      <c r="F347" s="5" t="s">
        <v>165</v>
      </c>
      <c r="G347" s="5" t="s">
        <v>31</v>
      </c>
      <c r="H347" s="5" t="s">
        <v>8</v>
      </c>
      <c r="I347" s="10">
        <v>169000</v>
      </c>
      <c r="J347" s="12"/>
      <c r="K347" s="5" t="s">
        <v>33</v>
      </c>
      <c r="L347" s="5" t="s">
        <v>34</v>
      </c>
      <c r="M347" s="6">
        <v>46321</v>
      </c>
      <c r="N347" s="6"/>
      <c r="O347" s="6"/>
      <c r="P347" s="5" t="s">
        <v>182</v>
      </c>
      <c r="Q347" s="5" t="s">
        <v>96</v>
      </c>
      <c r="R347" s="8" t="s">
        <v>37</v>
      </c>
      <c r="S347" s="5">
        <v>40</v>
      </c>
      <c r="T347" s="5" t="s">
        <v>38</v>
      </c>
      <c r="U347" s="8" t="str">
        <f t="shared" si="10"/>
        <v/>
      </c>
      <c r="V347" s="8" t="str">
        <f t="shared" si="11"/>
        <v/>
      </c>
      <c r="W347" s="8" t="str">
        <f>_xlfn.XLOOKUP(X347,ShiftCodes[Code],ShiftCodes[Work Schedule],"Unknown code")</f>
        <v>Standard (Mon–Fri 9:00–17:30)</v>
      </c>
      <c r="X347" s="9" t="s">
        <v>39</v>
      </c>
      <c r="Y347" s="5"/>
    </row>
    <row r="348" spans="1:25" ht="16" x14ac:dyDescent="0.2">
      <c r="A348" s="5" t="s">
        <v>476</v>
      </c>
      <c r="B348" s="5" t="s">
        <v>109</v>
      </c>
      <c r="C348" s="5" t="s">
        <v>113</v>
      </c>
      <c r="D348" s="5" t="s">
        <v>84</v>
      </c>
      <c r="E348" s="5" t="s">
        <v>29</v>
      </c>
      <c r="F348" s="5" t="s">
        <v>121</v>
      </c>
      <c r="G348" s="5" t="s">
        <v>78</v>
      </c>
      <c r="H348" s="5" t="s">
        <v>79</v>
      </c>
      <c r="I348" s="10"/>
      <c r="J348" s="12">
        <v>33.5</v>
      </c>
      <c r="K348" s="5" t="s">
        <v>33</v>
      </c>
      <c r="L348" s="5" t="s">
        <v>80</v>
      </c>
      <c r="M348" s="6">
        <v>46302</v>
      </c>
      <c r="N348" s="6"/>
      <c r="O348" s="6"/>
      <c r="P348" s="5" t="s">
        <v>202</v>
      </c>
      <c r="Q348" s="5" t="s">
        <v>96</v>
      </c>
      <c r="R348" s="8" t="s">
        <v>37</v>
      </c>
      <c r="S348" s="5">
        <v>40</v>
      </c>
      <c r="T348" s="5" t="s">
        <v>38</v>
      </c>
      <c r="U348" s="8" t="str">
        <f t="shared" si="10"/>
        <v>US Non-Exempt EEs</v>
      </c>
      <c r="V348" s="8" t="str">
        <f t="shared" si="11"/>
        <v>US Non-California Non-Exempt</v>
      </c>
      <c r="W348" s="8" t="str">
        <f>_xlfn.XLOOKUP(X348,ShiftCodes[Code],ShiftCodes[Work Schedule],"Unknown code")</f>
        <v>Shift B – Swing (Mon–Fri 14:00–22:30)</v>
      </c>
      <c r="X348" s="9" t="s">
        <v>85</v>
      </c>
      <c r="Y348" s="5"/>
    </row>
    <row r="349" spans="1:25" ht="16" x14ac:dyDescent="0.2">
      <c r="A349" s="5" t="s">
        <v>477</v>
      </c>
      <c r="B349" s="5" t="s">
        <v>103</v>
      </c>
      <c r="C349" s="5" t="s">
        <v>41</v>
      </c>
      <c r="D349" s="5" t="s">
        <v>84</v>
      </c>
      <c r="E349" s="5" t="s">
        <v>29</v>
      </c>
      <c r="F349" s="5" t="s">
        <v>165</v>
      </c>
      <c r="G349" s="5" t="s">
        <v>31</v>
      </c>
      <c r="H349" s="5" t="s">
        <v>8</v>
      </c>
      <c r="I349" s="10">
        <v>185000</v>
      </c>
      <c r="J349" s="12"/>
      <c r="K349" s="5" t="s">
        <v>33</v>
      </c>
      <c r="L349" s="5" t="s">
        <v>34</v>
      </c>
      <c r="M349" s="6">
        <v>46317</v>
      </c>
      <c r="N349" s="6"/>
      <c r="O349" s="6"/>
      <c r="P349" s="5" t="s">
        <v>255</v>
      </c>
      <c r="Q349" s="5" t="s">
        <v>96</v>
      </c>
      <c r="R349" s="8" t="s">
        <v>37</v>
      </c>
      <c r="S349" s="5">
        <v>40</v>
      </c>
      <c r="T349" s="5" t="s">
        <v>38</v>
      </c>
      <c r="U349" s="8" t="str">
        <f t="shared" si="10"/>
        <v/>
      </c>
      <c r="V349" s="8" t="str">
        <f t="shared" si="11"/>
        <v/>
      </c>
      <c r="W349" s="8" t="str">
        <f>_xlfn.XLOOKUP(X349,ShiftCodes[Code],ShiftCodes[Work Schedule],"Unknown code")</f>
        <v>Standard (Mon–Fri 9:00–17:30)</v>
      </c>
      <c r="X349" s="9" t="s">
        <v>39</v>
      </c>
      <c r="Y349" s="5" t="s">
        <v>97</v>
      </c>
    </row>
    <row r="350" spans="1:25" ht="16" x14ac:dyDescent="0.2">
      <c r="A350" s="5" t="s">
        <v>478</v>
      </c>
      <c r="B350" s="5" t="s">
        <v>109</v>
      </c>
      <c r="C350" s="5" t="s">
        <v>113</v>
      </c>
      <c r="D350" s="5" t="s">
        <v>84</v>
      </c>
      <c r="E350" s="5" t="s">
        <v>29</v>
      </c>
      <c r="F350" s="5" t="s">
        <v>130</v>
      </c>
      <c r="G350" s="5" t="s">
        <v>78</v>
      </c>
      <c r="H350" s="5" t="s">
        <v>79</v>
      </c>
      <c r="I350" s="10"/>
      <c r="J350" s="12">
        <v>27.25</v>
      </c>
      <c r="K350" s="5" t="s">
        <v>33</v>
      </c>
      <c r="L350" s="5" t="s">
        <v>80</v>
      </c>
      <c r="M350" s="6">
        <v>46309</v>
      </c>
      <c r="N350" s="6"/>
      <c r="O350" s="6"/>
      <c r="P350" s="5" t="s">
        <v>202</v>
      </c>
      <c r="Q350" s="5" t="s">
        <v>96</v>
      </c>
      <c r="R350" s="8" t="s">
        <v>37</v>
      </c>
      <c r="S350" s="5">
        <v>40</v>
      </c>
      <c r="T350" s="5" t="s">
        <v>38</v>
      </c>
      <c r="U350" s="8" t="str">
        <f t="shared" si="10"/>
        <v>US Non-Exempt EEs</v>
      </c>
      <c r="V350" s="8" t="str">
        <f t="shared" si="11"/>
        <v>US Non-California Non-Exempt</v>
      </c>
      <c r="W350" s="8" t="str">
        <f>_xlfn.XLOOKUP(X350,ShiftCodes[Code],ShiftCodes[Work Schedule],"Unknown code")</f>
        <v>Shift A – Day (Mon–Fri 06:00–14:30)</v>
      </c>
      <c r="X350" s="9" t="s">
        <v>81</v>
      </c>
      <c r="Y350" s="5"/>
    </row>
    <row r="351" spans="1:25" ht="16" x14ac:dyDescent="0.2">
      <c r="A351" s="5" t="s">
        <v>479</v>
      </c>
      <c r="B351" s="13" t="s">
        <v>103</v>
      </c>
      <c r="C351" s="13" t="s">
        <v>106</v>
      </c>
      <c r="D351" s="13" t="s">
        <v>42</v>
      </c>
      <c r="E351" s="5" t="s">
        <v>29</v>
      </c>
      <c r="F351" s="5" t="s">
        <v>163</v>
      </c>
      <c r="G351" s="5" t="s">
        <v>31</v>
      </c>
      <c r="H351" s="13" t="s">
        <v>8</v>
      </c>
      <c r="I351" s="10">
        <v>159000</v>
      </c>
      <c r="J351" s="12"/>
      <c r="K351" s="5" t="s">
        <v>33</v>
      </c>
      <c r="L351" s="5" t="s">
        <v>34</v>
      </c>
      <c r="M351" s="6">
        <v>46321</v>
      </c>
      <c r="N351" s="6"/>
      <c r="O351" s="6"/>
      <c r="P351" s="5" t="s">
        <v>122</v>
      </c>
      <c r="Q351" s="5" t="s">
        <v>96</v>
      </c>
      <c r="R351" s="8" t="s">
        <v>37</v>
      </c>
      <c r="S351" s="5">
        <v>40</v>
      </c>
      <c r="T351" s="5" t="s">
        <v>38</v>
      </c>
      <c r="U351" s="8" t="str">
        <f t="shared" si="10"/>
        <v/>
      </c>
      <c r="V351" s="8" t="str">
        <f t="shared" si="11"/>
        <v/>
      </c>
      <c r="W351" s="8" t="str">
        <f>_xlfn.XLOOKUP(X351,ShiftCodes[Code],ShiftCodes[Work Schedule],"Unknown code")</f>
        <v>Standard (Mon–Fri 9:00–17:30)</v>
      </c>
      <c r="X351" s="9" t="s">
        <v>39</v>
      </c>
      <c r="Y351" s="5" t="s">
        <v>97</v>
      </c>
    </row>
    <row r="352" spans="1:25" ht="16" x14ac:dyDescent="0.2">
      <c r="A352" s="5" t="s">
        <v>480</v>
      </c>
      <c r="B352" s="13" t="s">
        <v>112</v>
      </c>
      <c r="C352" s="13" t="s">
        <v>481</v>
      </c>
      <c r="D352" s="13" t="s">
        <v>62</v>
      </c>
      <c r="E352" s="5" t="s">
        <v>28</v>
      </c>
      <c r="F352" s="5" t="s">
        <v>163</v>
      </c>
      <c r="G352" s="5" t="s">
        <v>31</v>
      </c>
      <c r="H352" s="13" t="s">
        <v>8</v>
      </c>
      <c r="I352" s="10">
        <v>148000</v>
      </c>
      <c r="J352" s="12"/>
      <c r="K352" s="5" t="s">
        <v>64</v>
      </c>
      <c r="L352" s="5" t="s">
        <v>65</v>
      </c>
      <c r="M352" s="6">
        <v>45870</v>
      </c>
      <c r="N352" s="6"/>
      <c r="O352" s="6"/>
      <c r="P352" s="5" t="s">
        <v>143</v>
      </c>
      <c r="Q352" s="5" t="s">
        <v>36</v>
      </c>
      <c r="R352" s="8" t="s">
        <v>37</v>
      </c>
      <c r="S352" s="5">
        <v>40</v>
      </c>
      <c r="T352" s="5" t="s">
        <v>38</v>
      </c>
      <c r="U352" s="8" t="str">
        <f t="shared" si="10"/>
        <v/>
      </c>
      <c r="V352" s="8" t="str">
        <f t="shared" si="11"/>
        <v/>
      </c>
      <c r="W352" s="8" t="str">
        <f>_xlfn.XLOOKUP(X352,ShiftCodes[Code],ShiftCodes[Work Schedule],"Unknown code")</f>
        <v>Standard (Mon–Fri 9:00–17:30)</v>
      </c>
      <c r="X352" s="9" t="s">
        <v>39</v>
      </c>
      <c r="Y352" s="5"/>
    </row>
    <row r="353" spans="1:25" ht="16" x14ac:dyDescent="0.2">
      <c r="A353" s="5" t="s">
        <v>482</v>
      </c>
      <c r="B353" s="13" t="s">
        <v>112</v>
      </c>
      <c r="C353" s="13" t="s">
        <v>481</v>
      </c>
      <c r="D353" s="13" t="s">
        <v>62</v>
      </c>
      <c r="E353" s="5" t="s">
        <v>28</v>
      </c>
      <c r="F353" s="5" t="s">
        <v>124</v>
      </c>
      <c r="G353" s="5" t="s">
        <v>31</v>
      </c>
      <c r="H353" s="13" t="s">
        <v>8</v>
      </c>
      <c r="I353" s="10">
        <v>120000</v>
      </c>
      <c r="J353" s="12"/>
      <c r="K353" s="5" t="s">
        <v>64</v>
      </c>
      <c r="L353" s="5" t="s">
        <v>65</v>
      </c>
      <c r="M353" s="6">
        <v>45720</v>
      </c>
      <c r="N353" s="6"/>
      <c r="O353" s="6"/>
      <c r="P353" s="5" t="s">
        <v>133</v>
      </c>
      <c r="Q353" s="5" t="s">
        <v>36</v>
      </c>
      <c r="R353" s="8" t="s">
        <v>37</v>
      </c>
      <c r="S353" s="5">
        <v>40</v>
      </c>
      <c r="T353" s="5" t="s">
        <v>38</v>
      </c>
      <c r="U353" s="8" t="str">
        <f t="shared" si="10"/>
        <v/>
      </c>
      <c r="V353" s="8" t="str">
        <f t="shared" si="11"/>
        <v/>
      </c>
      <c r="W353" s="8" t="str">
        <f>_xlfn.XLOOKUP(X353,ShiftCodes[Code],ShiftCodes[Work Schedule],"Unknown code")</f>
        <v>Standard (Mon–Fri 9:00–17:30)</v>
      </c>
      <c r="X353" s="9" t="s">
        <v>39</v>
      </c>
      <c r="Y353" s="5"/>
    </row>
    <row r="354" spans="1:25" ht="16" x14ac:dyDescent="0.2">
      <c r="A354" s="5" t="s">
        <v>483</v>
      </c>
      <c r="B354" s="13" t="s">
        <v>112</v>
      </c>
      <c r="C354" s="13" t="s">
        <v>484</v>
      </c>
      <c r="D354" s="13" t="s">
        <v>485</v>
      </c>
      <c r="E354" s="5" t="s">
        <v>28</v>
      </c>
      <c r="F354" s="5" t="s">
        <v>165</v>
      </c>
      <c r="G354" s="5" t="s">
        <v>31</v>
      </c>
      <c r="H354" s="13" t="s">
        <v>8</v>
      </c>
      <c r="I354" s="10">
        <v>172000</v>
      </c>
      <c r="J354" s="12"/>
      <c r="K354" s="5" t="s">
        <v>64</v>
      </c>
      <c r="L354" s="5" t="s">
        <v>65</v>
      </c>
      <c r="M354" s="6">
        <v>45610</v>
      </c>
      <c r="N354" s="6"/>
      <c r="O354" s="6"/>
      <c r="P354" s="5" t="s">
        <v>187</v>
      </c>
      <c r="Q354" s="5" t="s">
        <v>36</v>
      </c>
      <c r="R354" s="8" t="s">
        <v>37</v>
      </c>
      <c r="S354" s="5">
        <v>40</v>
      </c>
      <c r="T354" s="5" t="s">
        <v>38</v>
      </c>
      <c r="U354" s="8" t="str">
        <f t="shared" si="10"/>
        <v/>
      </c>
      <c r="V354" s="8" t="str">
        <f t="shared" si="11"/>
        <v/>
      </c>
      <c r="W354" s="8" t="str">
        <f>_xlfn.XLOOKUP(X354,ShiftCodes[Code],ShiftCodes[Work Schedule],"Unknown code")</f>
        <v>Standard (Mon–Fri 9:00–17:30)</v>
      </c>
      <c r="X354" s="9" t="s">
        <v>39</v>
      </c>
      <c r="Y354" s="5"/>
    </row>
    <row r="355" spans="1:25" ht="16" x14ac:dyDescent="0.2">
      <c r="A355" s="5" t="s">
        <v>486</v>
      </c>
      <c r="B355" s="13" t="s">
        <v>112</v>
      </c>
      <c r="C355" s="13" t="s">
        <v>484</v>
      </c>
      <c r="D355" s="13" t="s">
        <v>485</v>
      </c>
      <c r="E355" s="5" t="s">
        <v>28</v>
      </c>
      <c r="F355" s="5" t="s">
        <v>149</v>
      </c>
      <c r="G355" s="5" t="s">
        <v>31</v>
      </c>
      <c r="H355" s="13" t="s">
        <v>8</v>
      </c>
      <c r="I355" s="10">
        <v>98000</v>
      </c>
      <c r="J355" s="12"/>
      <c r="K355" s="5" t="s">
        <v>64</v>
      </c>
      <c r="L355" s="5" t="s">
        <v>65</v>
      </c>
      <c r="M355" s="6">
        <v>46050</v>
      </c>
      <c r="N355" s="6"/>
      <c r="O355" s="6"/>
      <c r="P355" s="5" t="s">
        <v>182</v>
      </c>
      <c r="Q355" s="5" t="s">
        <v>36</v>
      </c>
      <c r="R355" s="8" t="s">
        <v>37</v>
      </c>
      <c r="S355" s="5">
        <v>40</v>
      </c>
      <c r="T355" s="5" t="s">
        <v>38</v>
      </c>
      <c r="U355" s="8" t="str">
        <f t="shared" si="10"/>
        <v/>
      </c>
      <c r="V355" s="8" t="str">
        <f t="shared" si="11"/>
        <v/>
      </c>
      <c r="W355" s="8" t="str">
        <f>_xlfn.XLOOKUP(X355,ShiftCodes[Code],ShiftCodes[Work Schedule],"Unknown code")</f>
        <v>Standard (Mon–Fri 9:00–17:30)</v>
      </c>
      <c r="X355" s="9" t="s">
        <v>39</v>
      </c>
      <c r="Y355" s="5"/>
    </row>
    <row r="356" spans="1:25" ht="16" x14ac:dyDescent="0.2">
      <c r="A356" s="5" t="s">
        <v>487</v>
      </c>
      <c r="B356" s="13" t="s">
        <v>112</v>
      </c>
      <c r="C356" s="13" t="s">
        <v>488</v>
      </c>
      <c r="D356" s="13" t="s">
        <v>489</v>
      </c>
      <c r="E356" s="5" t="s">
        <v>28</v>
      </c>
      <c r="F356" s="5" t="s">
        <v>163</v>
      </c>
      <c r="G356" s="5" t="s">
        <v>31</v>
      </c>
      <c r="H356" s="13" t="s">
        <v>8</v>
      </c>
      <c r="I356" s="10">
        <v>142000</v>
      </c>
      <c r="J356" s="12"/>
      <c r="K356" s="5" t="s">
        <v>64</v>
      </c>
      <c r="L356" s="5" t="s">
        <v>65</v>
      </c>
      <c r="M356" s="6">
        <v>45950</v>
      </c>
      <c r="N356" s="6"/>
      <c r="O356" s="6"/>
      <c r="P356" s="5" t="s">
        <v>208</v>
      </c>
      <c r="Q356" s="5" t="s">
        <v>36</v>
      </c>
      <c r="R356" s="8" t="s">
        <v>37</v>
      </c>
      <c r="S356" s="5">
        <v>40</v>
      </c>
      <c r="T356" s="5" t="s">
        <v>38</v>
      </c>
      <c r="U356" s="8" t="str">
        <f t="shared" si="10"/>
        <v/>
      </c>
      <c r="V356" s="8" t="str">
        <f t="shared" si="11"/>
        <v/>
      </c>
      <c r="W356" s="8" t="str">
        <f>_xlfn.XLOOKUP(X356,ShiftCodes[Code],ShiftCodes[Work Schedule],"Unknown code")</f>
        <v>Standard (Mon–Fri 9:00–17:30)</v>
      </c>
      <c r="X356" s="9" t="s">
        <v>39</v>
      </c>
      <c r="Y356" s="5"/>
    </row>
    <row r="357" spans="1:25" ht="16" x14ac:dyDescent="0.2">
      <c r="A357" s="5" t="s">
        <v>490</v>
      </c>
      <c r="B357" s="13" t="s">
        <v>112</v>
      </c>
      <c r="C357" s="13" t="s">
        <v>481</v>
      </c>
      <c r="D357" s="13" t="s">
        <v>62</v>
      </c>
      <c r="E357" s="5" t="s">
        <v>28</v>
      </c>
      <c r="F357" s="5" t="s">
        <v>156</v>
      </c>
      <c r="G357" s="5" t="s">
        <v>31</v>
      </c>
      <c r="H357" s="13" t="s">
        <v>8</v>
      </c>
      <c r="I357" s="10">
        <v>205000</v>
      </c>
      <c r="J357" s="12"/>
      <c r="K357" s="5" t="s">
        <v>64</v>
      </c>
      <c r="L357" s="5" t="s">
        <v>65</v>
      </c>
      <c r="M357" s="6">
        <v>45400</v>
      </c>
      <c r="N357" s="6"/>
      <c r="O357" s="6"/>
      <c r="P357" s="5" t="s">
        <v>146</v>
      </c>
      <c r="Q357" s="5" t="s">
        <v>36</v>
      </c>
      <c r="R357" s="8" t="s">
        <v>37</v>
      </c>
      <c r="S357" s="5">
        <v>40</v>
      </c>
      <c r="T357" s="5" t="s">
        <v>38</v>
      </c>
      <c r="U357" s="8" t="str">
        <f t="shared" si="10"/>
        <v/>
      </c>
      <c r="V357" s="8" t="str">
        <f t="shared" si="11"/>
        <v/>
      </c>
      <c r="W357" s="8" t="str">
        <f>_xlfn.XLOOKUP(X357,ShiftCodes[Code],ShiftCodes[Work Schedule],"Unknown code")</f>
        <v>Standard (Mon–Fri 9:00–17:30)</v>
      </c>
      <c r="X357" s="9" t="s">
        <v>39</v>
      </c>
      <c r="Y357" s="5"/>
    </row>
    <row r="358" spans="1:25" ht="16" x14ac:dyDescent="0.2">
      <c r="A358" s="5" t="s">
        <v>491</v>
      </c>
      <c r="B358" s="13" t="s">
        <v>112</v>
      </c>
      <c r="C358" s="13" t="s">
        <v>492</v>
      </c>
      <c r="D358" s="13" t="s">
        <v>62</v>
      </c>
      <c r="E358" s="5" t="s">
        <v>28</v>
      </c>
      <c r="F358" s="5" t="s">
        <v>124</v>
      </c>
      <c r="G358" s="5" t="s">
        <v>31</v>
      </c>
      <c r="H358" s="13" t="s">
        <v>8</v>
      </c>
      <c r="I358" s="10">
        <v>118000</v>
      </c>
      <c r="J358" s="12"/>
      <c r="K358" s="5" t="s">
        <v>64</v>
      </c>
      <c r="L358" s="5" t="s">
        <v>65</v>
      </c>
      <c r="M358" s="6">
        <v>46160</v>
      </c>
      <c r="N358" s="6"/>
      <c r="O358" s="6"/>
      <c r="P358" s="5" t="s">
        <v>229</v>
      </c>
      <c r="Q358" s="5" t="s">
        <v>36</v>
      </c>
      <c r="R358" s="8" t="s">
        <v>37</v>
      </c>
      <c r="S358" s="5">
        <v>40</v>
      </c>
      <c r="T358" s="5" t="s">
        <v>38</v>
      </c>
      <c r="U358" s="8" t="str">
        <f t="shared" si="10"/>
        <v/>
      </c>
      <c r="V358" s="8" t="str">
        <f t="shared" si="11"/>
        <v/>
      </c>
      <c r="W358" s="8" t="str">
        <f>_xlfn.XLOOKUP(X358,ShiftCodes[Code],ShiftCodes[Work Schedule],"Unknown code")</f>
        <v>Standard (Mon–Fri 9:00–17:30)</v>
      </c>
      <c r="X358" s="9" t="s">
        <v>39</v>
      </c>
      <c r="Y358" s="5"/>
    </row>
    <row r="359" spans="1:25" ht="16" x14ac:dyDescent="0.2">
      <c r="A359" s="5" t="s">
        <v>493</v>
      </c>
      <c r="B359" s="13" t="s">
        <v>112</v>
      </c>
      <c r="C359" s="13" t="s">
        <v>481</v>
      </c>
      <c r="D359" s="13" t="s">
        <v>62</v>
      </c>
      <c r="E359" s="5" t="s">
        <v>28</v>
      </c>
      <c r="F359" s="5" t="s">
        <v>165</v>
      </c>
      <c r="G359" s="5" t="s">
        <v>31</v>
      </c>
      <c r="H359" s="13" t="s">
        <v>8</v>
      </c>
      <c r="I359" s="10">
        <v>168000</v>
      </c>
      <c r="J359" s="12"/>
      <c r="K359" s="5" t="s">
        <v>64</v>
      </c>
      <c r="L359" s="5" t="s">
        <v>65</v>
      </c>
      <c r="M359" s="6">
        <v>46310</v>
      </c>
      <c r="N359" s="6"/>
      <c r="O359" s="6"/>
      <c r="P359" s="5" t="s">
        <v>204</v>
      </c>
      <c r="Q359" s="5" t="s">
        <v>96</v>
      </c>
      <c r="R359" s="8" t="s">
        <v>37</v>
      </c>
      <c r="S359" s="5">
        <v>40</v>
      </c>
      <c r="T359" s="5" t="s">
        <v>38</v>
      </c>
      <c r="U359" s="8" t="str">
        <f t="shared" si="10"/>
        <v/>
      </c>
      <c r="V359" s="8" t="str">
        <f t="shared" si="11"/>
        <v/>
      </c>
      <c r="W359" s="8" t="str">
        <f>_xlfn.XLOOKUP(X359,ShiftCodes[Code],ShiftCodes[Work Schedule],"Unknown code")</f>
        <v>Standard (Mon–Fri 9:00–17:30)</v>
      </c>
      <c r="X359" s="9" t="s">
        <v>39</v>
      </c>
      <c r="Y359" s="5"/>
    </row>
    <row r="360" spans="1:25" ht="16" x14ac:dyDescent="0.2">
      <c r="A360" s="5" t="s">
        <v>494</v>
      </c>
      <c r="B360" s="13" t="s">
        <v>103</v>
      </c>
      <c r="C360" s="13" t="s">
        <v>481</v>
      </c>
      <c r="D360" s="13" t="s">
        <v>62</v>
      </c>
      <c r="E360" s="5" t="s">
        <v>28</v>
      </c>
      <c r="F360" s="5" t="s">
        <v>163</v>
      </c>
      <c r="G360" s="5" t="s">
        <v>31</v>
      </c>
      <c r="H360" s="13" t="s">
        <v>8</v>
      </c>
      <c r="I360" s="10">
        <v>145000</v>
      </c>
      <c r="J360" s="12"/>
      <c r="K360" s="5" t="s">
        <v>64</v>
      </c>
      <c r="L360" s="5" t="s">
        <v>65</v>
      </c>
      <c r="M360" s="6">
        <v>45780</v>
      </c>
      <c r="N360" s="6"/>
      <c r="O360" s="6"/>
      <c r="P360" s="5" t="s">
        <v>122</v>
      </c>
      <c r="Q360" s="5" t="s">
        <v>36</v>
      </c>
      <c r="R360" s="8" t="s">
        <v>37</v>
      </c>
      <c r="S360" s="5">
        <v>40</v>
      </c>
      <c r="T360" s="5" t="s">
        <v>38</v>
      </c>
      <c r="U360" s="8" t="str">
        <f t="shared" si="10"/>
        <v/>
      </c>
      <c r="V360" s="8" t="str">
        <f t="shared" si="11"/>
        <v/>
      </c>
      <c r="W360" s="8" t="str">
        <f>_xlfn.XLOOKUP(X360,ShiftCodes[Code],ShiftCodes[Work Schedule],"Unknown code")</f>
        <v>Standard (Mon–Fri 9:00–17:30)</v>
      </c>
      <c r="X360" s="9" t="s">
        <v>39</v>
      </c>
      <c r="Y360" s="5"/>
    </row>
    <row r="361" spans="1:25" ht="16" x14ac:dyDescent="0.2">
      <c r="A361" s="5" t="s">
        <v>495</v>
      </c>
      <c r="B361" s="13" t="s">
        <v>103</v>
      </c>
      <c r="C361" s="13" t="s">
        <v>484</v>
      </c>
      <c r="D361" s="13" t="s">
        <v>485</v>
      </c>
      <c r="E361" s="5" t="s">
        <v>28</v>
      </c>
      <c r="F361" s="5" t="s">
        <v>165</v>
      </c>
      <c r="G361" s="5" t="s">
        <v>31</v>
      </c>
      <c r="H361" s="13" t="s">
        <v>8</v>
      </c>
      <c r="I361" s="10">
        <v>175000</v>
      </c>
      <c r="J361" s="12"/>
      <c r="K361" s="5" t="s">
        <v>64</v>
      </c>
      <c r="L361" s="5" t="s">
        <v>65</v>
      </c>
      <c r="M361" s="6">
        <v>45500</v>
      </c>
      <c r="N361" s="6"/>
      <c r="O361" s="6">
        <v>46310</v>
      </c>
      <c r="P361" s="5" t="s">
        <v>145</v>
      </c>
      <c r="Q361" s="5" t="s">
        <v>93</v>
      </c>
      <c r="R361" s="8" t="s">
        <v>37</v>
      </c>
      <c r="S361" s="5">
        <v>40</v>
      </c>
      <c r="T361" s="5" t="s">
        <v>38</v>
      </c>
      <c r="U361" s="8" t="str">
        <f t="shared" si="10"/>
        <v/>
      </c>
      <c r="V361" s="8" t="str">
        <f t="shared" si="11"/>
        <v/>
      </c>
      <c r="W361" s="8" t="str">
        <f>_xlfn.XLOOKUP(X361,ShiftCodes[Code],ShiftCodes[Work Schedule],"Unknown code")</f>
        <v>Standard (Mon–Fri 9:00–17:30)</v>
      </c>
      <c r="X361" s="9" t="s">
        <v>39</v>
      </c>
      <c r="Y361" s="5"/>
    </row>
    <row r="362" spans="1:25" ht="16" x14ac:dyDescent="0.2">
      <c r="A362" s="5" t="s">
        <v>496</v>
      </c>
      <c r="B362" s="13" t="s">
        <v>103</v>
      </c>
      <c r="C362" s="13" t="s">
        <v>484</v>
      </c>
      <c r="D362" s="13" t="s">
        <v>485</v>
      </c>
      <c r="E362" s="5" t="s">
        <v>28</v>
      </c>
      <c r="F362" s="5" t="s">
        <v>124</v>
      </c>
      <c r="G362" s="5" t="s">
        <v>31</v>
      </c>
      <c r="H362" s="13" t="s">
        <v>8</v>
      </c>
      <c r="I362" s="10">
        <v>116000</v>
      </c>
      <c r="J362" s="12"/>
      <c r="K362" s="5" t="s">
        <v>64</v>
      </c>
      <c r="L362" s="5" t="s">
        <v>65</v>
      </c>
      <c r="M362" s="6">
        <v>46080</v>
      </c>
      <c r="N362" s="6"/>
      <c r="O362" s="6"/>
      <c r="P362" s="5" t="s">
        <v>181</v>
      </c>
      <c r="Q362" s="5" t="s">
        <v>36</v>
      </c>
      <c r="R362" s="8" t="s">
        <v>37</v>
      </c>
      <c r="S362" s="5">
        <v>40</v>
      </c>
      <c r="T362" s="5" t="s">
        <v>38</v>
      </c>
      <c r="U362" s="8" t="str">
        <f t="shared" si="10"/>
        <v/>
      </c>
      <c r="V362" s="8" t="str">
        <f t="shared" si="11"/>
        <v/>
      </c>
      <c r="W362" s="8" t="str">
        <f>_xlfn.XLOOKUP(X362,ShiftCodes[Code],ShiftCodes[Work Schedule],"Unknown code")</f>
        <v>Standard (Mon–Fri 9:00–17:30)</v>
      </c>
      <c r="X362" s="9" t="s">
        <v>39</v>
      </c>
      <c r="Y362" s="5"/>
    </row>
    <row r="363" spans="1:25" ht="16" x14ac:dyDescent="0.2">
      <c r="A363" s="5" t="s">
        <v>497</v>
      </c>
      <c r="B363" s="13" t="s">
        <v>103</v>
      </c>
      <c r="C363" s="13" t="s">
        <v>488</v>
      </c>
      <c r="D363" s="13" t="s">
        <v>489</v>
      </c>
      <c r="E363" s="5" t="s">
        <v>28</v>
      </c>
      <c r="F363" s="5" t="s">
        <v>156</v>
      </c>
      <c r="G363" s="5" t="s">
        <v>31</v>
      </c>
      <c r="H363" s="13" t="s">
        <v>8</v>
      </c>
      <c r="I363" s="10">
        <v>220000</v>
      </c>
      <c r="J363" s="12"/>
      <c r="K363" s="5" t="s">
        <v>64</v>
      </c>
      <c r="L363" s="5" t="s">
        <v>65</v>
      </c>
      <c r="M363" s="6">
        <v>45300</v>
      </c>
      <c r="N363" s="6"/>
      <c r="O363" s="6"/>
      <c r="P363" s="5" t="s">
        <v>116</v>
      </c>
      <c r="Q363" s="5" t="s">
        <v>36</v>
      </c>
      <c r="R363" s="8" t="s">
        <v>37</v>
      </c>
      <c r="S363" s="5">
        <v>40</v>
      </c>
      <c r="T363" s="5" t="s">
        <v>38</v>
      </c>
      <c r="U363" s="8" t="str">
        <f t="shared" si="10"/>
        <v/>
      </c>
      <c r="V363" s="8" t="str">
        <f t="shared" si="11"/>
        <v/>
      </c>
      <c r="W363" s="8" t="str">
        <f>_xlfn.XLOOKUP(X363,ShiftCodes[Code],ShiftCodes[Work Schedule],"Unknown code")</f>
        <v>Standard (Mon–Fri 9:00–17:30)</v>
      </c>
      <c r="X363" s="9" t="s">
        <v>39</v>
      </c>
      <c r="Y363" s="5"/>
    </row>
    <row r="364" spans="1:25" ht="16" x14ac:dyDescent="0.2">
      <c r="A364" s="5" t="s">
        <v>498</v>
      </c>
      <c r="B364" s="13" t="s">
        <v>103</v>
      </c>
      <c r="C364" s="13" t="s">
        <v>481</v>
      </c>
      <c r="D364" s="13" t="s">
        <v>62</v>
      </c>
      <c r="E364" s="5" t="s">
        <v>28</v>
      </c>
      <c r="F364" s="5" t="s">
        <v>149</v>
      </c>
      <c r="G364" s="5" t="s">
        <v>31</v>
      </c>
      <c r="H364" s="13" t="s">
        <v>8</v>
      </c>
      <c r="I364" s="10">
        <v>96000</v>
      </c>
      <c r="J364" s="12"/>
      <c r="K364" s="5" t="s">
        <v>64</v>
      </c>
      <c r="L364" s="5" t="s">
        <v>65</v>
      </c>
      <c r="M364" s="6">
        <v>46200</v>
      </c>
      <c r="N364" s="6"/>
      <c r="O364" s="6"/>
      <c r="P364" s="5" t="s">
        <v>255</v>
      </c>
      <c r="Q364" s="5" t="s">
        <v>36</v>
      </c>
      <c r="R364" s="8" t="s">
        <v>37</v>
      </c>
      <c r="S364" s="5">
        <v>40</v>
      </c>
      <c r="T364" s="5" t="s">
        <v>38</v>
      </c>
      <c r="U364" s="8" t="str">
        <f t="shared" si="10"/>
        <v/>
      </c>
      <c r="V364" s="8" t="str">
        <f t="shared" si="11"/>
        <v/>
      </c>
      <c r="W364" s="8" t="str">
        <f>_xlfn.XLOOKUP(X364,ShiftCodes[Code],ShiftCodes[Work Schedule],"Unknown code")</f>
        <v>Standard (Mon–Fri 9:00–17:30)</v>
      </c>
      <c r="X364" s="9" t="s">
        <v>39</v>
      </c>
      <c r="Y364" s="5"/>
    </row>
    <row r="365" spans="1:25" ht="16" x14ac:dyDescent="0.2">
      <c r="A365" s="5" t="s">
        <v>499</v>
      </c>
      <c r="B365" s="13" t="s">
        <v>103</v>
      </c>
      <c r="C365" s="13" t="s">
        <v>481</v>
      </c>
      <c r="D365" s="13" t="s">
        <v>62</v>
      </c>
      <c r="E365" s="5" t="s">
        <v>28</v>
      </c>
      <c r="F365" s="5" t="s">
        <v>119</v>
      </c>
      <c r="G365" s="5" t="s">
        <v>31</v>
      </c>
      <c r="H365" s="13" t="s">
        <v>8</v>
      </c>
      <c r="I365" s="10">
        <v>215000</v>
      </c>
      <c r="J365" s="12"/>
      <c r="K365" s="5" t="s">
        <v>64</v>
      </c>
      <c r="L365" s="5" t="s">
        <v>65</v>
      </c>
      <c r="M365" s="6">
        <v>45150</v>
      </c>
      <c r="N365" s="6"/>
      <c r="O365" s="6"/>
      <c r="P365" s="5" t="s">
        <v>105</v>
      </c>
      <c r="Q365" s="5" t="s">
        <v>36</v>
      </c>
      <c r="R365" s="8" t="s">
        <v>37</v>
      </c>
      <c r="S365" s="5">
        <v>40</v>
      </c>
      <c r="T365" s="5" t="s">
        <v>38</v>
      </c>
      <c r="U365" s="8" t="str">
        <f t="shared" si="10"/>
        <v/>
      </c>
      <c r="V365" s="8" t="str">
        <f t="shared" si="11"/>
        <v/>
      </c>
      <c r="W365" s="8" t="str">
        <f>_xlfn.XLOOKUP(X365,ShiftCodes[Code],ShiftCodes[Work Schedule],"Unknown code")</f>
        <v>Standard (Mon–Fri 9:00–17:30)</v>
      </c>
      <c r="X365" s="9" t="s">
        <v>39</v>
      </c>
      <c r="Y365" s="5"/>
    </row>
    <row r="366" spans="1:25" ht="16" x14ac:dyDescent="0.2">
      <c r="A366" s="5" t="s">
        <v>500</v>
      </c>
      <c r="B366" s="13" t="s">
        <v>103</v>
      </c>
      <c r="C366" s="13" t="s">
        <v>492</v>
      </c>
      <c r="D366" s="13" t="s">
        <v>62</v>
      </c>
      <c r="E366" s="5" t="s">
        <v>28</v>
      </c>
      <c r="F366" s="5" t="s">
        <v>163</v>
      </c>
      <c r="G366" s="5" t="s">
        <v>31</v>
      </c>
      <c r="H366" s="13" t="s">
        <v>8</v>
      </c>
      <c r="I366" s="10">
        <v>140000</v>
      </c>
      <c r="J366" s="12"/>
      <c r="K366" s="5" t="s">
        <v>64</v>
      </c>
      <c r="L366" s="5" t="s">
        <v>65</v>
      </c>
      <c r="M366" s="6">
        <v>46318</v>
      </c>
      <c r="N366" s="6"/>
      <c r="O366" s="6"/>
      <c r="P366" s="5" t="s">
        <v>274</v>
      </c>
      <c r="Q366" s="5" t="s">
        <v>96</v>
      </c>
      <c r="R366" s="8" t="s">
        <v>37</v>
      </c>
      <c r="S366" s="5">
        <v>40</v>
      </c>
      <c r="T366" s="5" t="s">
        <v>38</v>
      </c>
      <c r="U366" s="8" t="str">
        <f t="shared" si="10"/>
        <v/>
      </c>
      <c r="V366" s="8" t="str">
        <f t="shared" si="11"/>
        <v/>
      </c>
      <c r="W366" s="8" t="str">
        <f>_xlfn.XLOOKUP(X366,ShiftCodes[Code],ShiftCodes[Work Schedule],"Unknown code")</f>
        <v>Standard (Mon–Fri 9:00–17:30)</v>
      </c>
      <c r="X366" s="9" t="s">
        <v>39</v>
      </c>
      <c r="Y366" s="5"/>
    </row>
    <row r="367" spans="1:25" ht="16" x14ac:dyDescent="0.2">
      <c r="A367" s="5" t="s">
        <v>501</v>
      </c>
      <c r="B367" s="13" t="s">
        <v>109</v>
      </c>
      <c r="C367" s="13" t="s">
        <v>481</v>
      </c>
      <c r="D367" s="13" t="s">
        <v>62</v>
      </c>
      <c r="E367" s="5" t="s">
        <v>28</v>
      </c>
      <c r="F367" s="5" t="s">
        <v>121</v>
      </c>
      <c r="G367" s="5" t="s">
        <v>78</v>
      </c>
      <c r="H367" s="13" t="s">
        <v>79</v>
      </c>
      <c r="I367" s="10"/>
      <c r="J367" s="12">
        <v>36</v>
      </c>
      <c r="K367" s="5" t="s">
        <v>64</v>
      </c>
      <c r="L367" s="5" t="s">
        <v>65</v>
      </c>
      <c r="M367" s="6">
        <v>45830</v>
      </c>
      <c r="N367" s="6"/>
      <c r="O367" s="6"/>
      <c r="P367" s="5" t="s">
        <v>178</v>
      </c>
      <c r="Q367" s="5" t="s">
        <v>36</v>
      </c>
      <c r="R367" s="8" t="s">
        <v>37</v>
      </c>
      <c r="S367" s="5">
        <v>40</v>
      </c>
      <c r="T367" s="5" t="s">
        <v>38</v>
      </c>
      <c r="U367" s="8" t="str">
        <f t="shared" si="10"/>
        <v/>
      </c>
      <c r="V367" s="8" t="str">
        <f t="shared" si="11"/>
        <v/>
      </c>
      <c r="W367" s="8" t="str">
        <f>_xlfn.XLOOKUP(X367,ShiftCodes[Code],ShiftCodes[Work Schedule],"Unknown code")</f>
        <v>Shift A – Day (Mon–Fri 06:00–14:30)</v>
      </c>
      <c r="X367" s="9" t="s">
        <v>81</v>
      </c>
      <c r="Y367" s="5"/>
    </row>
    <row r="368" spans="1:25" ht="16" x14ac:dyDescent="0.2">
      <c r="A368" s="5" t="s">
        <v>502</v>
      </c>
      <c r="B368" s="13" t="s">
        <v>109</v>
      </c>
      <c r="C368" s="13" t="s">
        <v>481</v>
      </c>
      <c r="D368" s="13" t="s">
        <v>62</v>
      </c>
      <c r="E368" s="5" t="s">
        <v>28</v>
      </c>
      <c r="F368" s="5" t="s">
        <v>130</v>
      </c>
      <c r="G368" s="5" t="s">
        <v>78</v>
      </c>
      <c r="H368" s="13" t="s">
        <v>79</v>
      </c>
      <c r="I368" s="10"/>
      <c r="J368" s="12">
        <v>28.25</v>
      </c>
      <c r="K368" s="5" t="s">
        <v>64</v>
      </c>
      <c r="L368" s="5" t="s">
        <v>65</v>
      </c>
      <c r="M368" s="6">
        <v>46120</v>
      </c>
      <c r="N368" s="6"/>
      <c r="O368" s="6"/>
      <c r="P368" s="5" t="s">
        <v>178</v>
      </c>
      <c r="Q368" s="5" t="s">
        <v>36</v>
      </c>
      <c r="R368" s="8" t="s">
        <v>37</v>
      </c>
      <c r="S368" s="5">
        <v>40</v>
      </c>
      <c r="T368" s="5" t="s">
        <v>38</v>
      </c>
      <c r="U368" s="8" t="str">
        <f t="shared" si="10"/>
        <v/>
      </c>
      <c r="V368" s="8" t="str">
        <f t="shared" si="11"/>
        <v/>
      </c>
      <c r="W368" s="8" t="str">
        <f>_xlfn.XLOOKUP(X368,ShiftCodes[Code],ShiftCodes[Work Schedule],"Unknown code")</f>
        <v>Shift B – Swing (Mon–Fri 14:00–22:30)</v>
      </c>
      <c r="X368" s="9" t="s">
        <v>85</v>
      </c>
      <c r="Y368" s="5"/>
    </row>
    <row r="369" spans="1:25" ht="16" x14ac:dyDescent="0.2">
      <c r="A369" s="5" t="s">
        <v>503</v>
      </c>
      <c r="B369" s="13" t="s">
        <v>109</v>
      </c>
      <c r="C369" s="13" t="s">
        <v>488</v>
      </c>
      <c r="D369" s="13" t="s">
        <v>489</v>
      </c>
      <c r="E369" s="5" t="s">
        <v>28</v>
      </c>
      <c r="F369" s="5" t="s">
        <v>132</v>
      </c>
      <c r="G369" s="5" t="s">
        <v>78</v>
      </c>
      <c r="H369" s="13" t="s">
        <v>79</v>
      </c>
      <c r="I369" s="10"/>
      <c r="J369" s="12">
        <v>41</v>
      </c>
      <c r="K369" s="5" t="s">
        <v>64</v>
      </c>
      <c r="L369" s="5" t="s">
        <v>65</v>
      </c>
      <c r="M369" s="6">
        <v>45680</v>
      </c>
      <c r="N369" s="6"/>
      <c r="O369" s="6"/>
      <c r="P369" s="5" t="s">
        <v>200</v>
      </c>
      <c r="Q369" s="5" t="s">
        <v>36</v>
      </c>
      <c r="R369" s="8" t="s">
        <v>37</v>
      </c>
      <c r="S369" s="5">
        <v>40</v>
      </c>
      <c r="T369" s="5" t="s">
        <v>38</v>
      </c>
      <c r="U369" s="8" t="str">
        <f t="shared" si="10"/>
        <v/>
      </c>
      <c r="V369" s="8" t="str">
        <f t="shared" si="11"/>
        <v/>
      </c>
      <c r="W369" s="8" t="str">
        <f>_xlfn.XLOOKUP(X369,ShiftCodes[Code],ShiftCodes[Work Schedule],"Unknown code")</f>
        <v>Shift C – Night (Sun–Thu 22:00–06:30)</v>
      </c>
      <c r="X369" s="9" t="s">
        <v>239</v>
      </c>
      <c r="Y369" s="5"/>
    </row>
    <row r="370" spans="1:25" ht="16" x14ac:dyDescent="0.2">
      <c r="A370" s="5" t="s">
        <v>504</v>
      </c>
      <c r="B370" s="13" t="s">
        <v>109</v>
      </c>
      <c r="C370" s="13" t="s">
        <v>484</v>
      </c>
      <c r="D370" s="13" t="s">
        <v>485</v>
      </c>
      <c r="E370" s="5" t="s">
        <v>28</v>
      </c>
      <c r="F370" s="5" t="s">
        <v>121</v>
      </c>
      <c r="G370" s="5" t="s">
        <v>78</v>
      </c>
      <c r="H370" s="13" t="s">
        <v>79</v>
      </c>
      <c r="I370" s="10"/>
      <c r="J370" s="12">
        <v>35</v>
      </c>
      <c r="K370" s="5" t="s">
        <v>64</v>
      </c>
      <c r="L370" s="5" t="s">
        <v>65</v>
      </c>
      <c r="M370" s="6">
        <v>45990</v>
      </c>
      <c r="N370" s="6"/>
      <c r="O370" s="6"/>
      <c r="P370" s="5" t="s">
        <v>213</v>
      </c>
      <c r="Q370" s="5" t="s">
        <v>36</v>
      </c>
      <c r="R370" s="8" t="s">
        <v>37</v>
      </c>
      <c r="S370" s="5">
        <v>40</v>
      </c>
      <c r="T370" s="5" t="s">
        <v>38</v>
      </c>
      <c r="U370" s="8" t="str">
        <f t="shared" si="10"/>
        <v/>
      </c>
      <c r="V370" s="8" t="str">
        <f t="shared" si="11"/>
        <v/>
      </c>
      <c r="W370" s="8" t="str">
        <f>_xlfn.XLOOKUP(X370,ShiftCodes[Code],ShiftCodes[Work Schedule],"Unknown code")</f>
        <v>Shift A – Day (Mon–Fri 06:00–14:30)</v>
      </c>
      <c r="X370" s="9" t="s">
        <v>81</v>
      </c>
      <c r="Y370" s="5"/>
    </row>
    <row r="371" spans="1:25" ht="16" x14ac:dyDescent="0.2">
      <c r="A371" s="5" t="s">
        <v>505</v>
      </c>
      <c r="B371" s="13" t="s">
        <v>109</v>
      </c>
      <c r="C371" s="13" t="s">
        <v>481</v>
      </c>
      <c r="D371" s="13" t="s">
        <v>62</v>
      </c>
      <c r="E371" s="5" t="s">
        <v>28</v>
      </c>
      <c r="F371" s="5" t="s">
        <v>163</v>
      </c>
      <c r="G371" s="5" t="s">
        <v>31</v>
      </c>
      <c r="H371" s="13" t="s">
        <v>8</v>
      </c>
      <c r="I371" s="10">
        <v>138000</v>
      </c>
      <c r="J371" s="12"/>
      <c r="K371" s="5" t="s">
        <v>64</v>
      </c>
      <c r="L371" s="5" t="s">
        <v>65</v>
      </c>
      <c r="M371" s="6">
        <v>45560</v>
      </c>
      <c r="N371" s="6"/>
      <c r="O371" s="6"/>
      <c r="P371" s="5" t="s">
        <v>115</v>
      </c>
      <c r="Q371" s="5" t="s">
        <v>36</v>
      </c>
      <c r="R371" s="8" t="s">
        <v>37</v>
      </c>
      <c r="S371" s="5">
        <v>40</v>
      </c>
      <c r="T371" s="5" t="s">
        <v>38</v>
      </c>
      <c r="U371" s="8" t="str">
        <f t="shared" si="10"/>
        <v/>
      </c>
      <c r="V371" s="8" t="str">
        <f t="shared" si="11"/>
        <v/>
      </c>
      <c r="W371" s="8" t="str">
        <f>_xlfn.XLOOKUP(X371,ShiftCodes[Code],ShiftCodes[Work Schedule],"Unknown code")</f>
        <v>Standard (Mon–Fri 9:00–17:30)</v>
      </c>
      <c r="X371" s="9" t="s">
        <v>39</v>
      </c>
      <c r="Y371" s="5"/>
    </row>
    <row r="372" spans="1:25" ht="16" x14ac:dyDescent="0.2">
      <c r="A372" s="5" t="s">
        <v>506</v>
      </c>
      <c r="B372" s="13" t="s">
        <v>109</v>
      </c>
      <c r="C372" s="13" t="s">
        <v>488</v>
      </c>
      <c r="D372" s="13" t="s">
        <v>489</v>
      </c>
      <c r="E372" s="5" t="s">
        <v>28</v>
      </c>
      <c r="F372" s="5" t="s">
        <v>130</v>
      </c>
      <c r="G372" s="5" t="s">
        <v>78</v>
      </c>
      <c r="H372" s="13" t="s">
        <v>79</v>
      </c>
      <c r="I372" s="10"/>
      <c r="J372" s="12">
        <v>27.75</v>
      </c>
      <c r="K372" s="5" t="s">
        <v>64</v>
      </c>
      <c r="L372" s="5" t="s">
        <v>65</v>
      </c>
      <c r="M372" s="6">
        <v>46305</v>
      </c>
      <c r="N372" s="6"/>
      <c r="O372" s="6"/>
      <c r="P372" s="5" t="s">
        <v>202</v>
      </c>
      <c r="Q372" s="5" t="s">
        <v>96</v>
      </c>
      <c r="R372" s="8" t="s">
        <v>37</v>
      </c>
      <c r="S372" s="5">
        <v>40</v>
      </c>
      <c r="T372" s="5" t="s">
        <v>38</v>
      </c>
      <c r="U372" s="8" t="str">
        <f t="shared" si="10"/>
        <v/>
      </c>
      <c r="V372" s="8" t="str">
        <f t="shared" si="11"/>
        <v/>
      </c>
      <c r="W372" s="8" t="str">
        <f>_xlfn.XLOOKUP(X372,ShiftCodes[Code],ShiftCodes[Work Schedule],"Unknown code")</f>
        <v>Shift A – Day (Mon–Fri 06:00–14:30)</v>
      </c>
      <c r="X372" s="9" t="s">
        <v>81</v>
      </c>
      <c r="Y372" s="5"/>
    </row>
    <row r="373" spans="1:25" ht="16" x14ac:dyDescent="0.2">
      <c r="A373" s="5" t="s">
        <v>507</v>
      </c>
      <c r="B373" s="13" t="s">
        <v>99</v>
      </c>
      <c r="C373" s="13" t="s">
        <v>481</v>
      </c>
      <c r="D373" s="13" t="s">
        <v>62</v>
      </c>
      <c r="E373" s="5" t="s">
        <v>28</v>
      </c>
      <c r="F373" s="5" t="s">
        <v>163</v>
      </c>
      <c r="G373" s="5" t="s">
        <v>31</v>
      </c>
      <c r="H373" s="13" t="s">
        <v>8</v>
      </c>
      <c r="I373" s="10">
        <v>132000</v>
      </c>
      <c r="J373" s="12"/>
      <c r="K373" s="5" t="s">
        <v>64</v>
      </c>
      <c r="L373" s="5" t="s">
        <v>65</v>
      </c>
      <c r="M373" s="6">
        <v>45740</v>
      </c>
      <c r="N373" s="6"/>
      <c r="O373" s="6"/>
      <c r="P373" s="5" t="s">
        <v>159</v>
      </c>
      <c r="Q373" s="5" t="s">
        <v>36</v>
      </c>
      <c r="R373" s="8" t="s">
        <v>37</v>
      </c>
      <c r="S373" s="5">
        <v>40</v>
      </c>
      <c r="T373" s="5" t="s">
        <v>38</v>
      </c>
      <c r="U373" s="8" t="str">
        <f t="shared" si="10"/>
        <v/>
      </c>
      <c r="V373" s="8" t="str">
        <f t="shared" si="11"/>
        <v/>
      </c>
      <c r="W373" s="8" t="str">
        <f>_xlfn.XLOOKUP(X373,ShiftCodes[Code],ShiftCodes[Work Schedule],"Unknown code")</f>
        <v>Standard (Mon–Fri 9:00–17:30)</v>
      </c>
      <c r="X373" s="9" t="s">
        <v>39</v>
      </c>
      <c r="Y373" s="5"/>
    </row>
    <row r="374" spans="1:25" ht="16" x14ac:dyDescent="0.2">
      <c r="A374" s="5" t="s">
        <v>508</v>
      </c>
      <c r="B374" s="13" t="s">
        <v>99</v>
      </c>
      <c r="C374" s="13" t="s">
        <v>481</v>
      </c>
      <c r="D374" s="13" t="s">
        <v>62</v>
      </c>
      <c r="E374" s="5" t="s">
        <v>28</v>
      </c>
      <c r="F374" s="5" t="s">
        <v>124</v>
      </c>
      <c r="G374" s="5" t="s">
        <v>31</v>
      </c>
      <c r="H374" s="13" t="s">
        <v>8</v>
      </c>
      <c r="I374" s="10">
        <v>102000</v>
      </c>
      <c r="J374" s="12"/>
      <c r="K374" s="5" t="s">
        <v>64</v>
      </c>
      <c r="L374" s="5" t="s">
        <v>65</v>
      </c>
      <c r="M374" s="6">
        <v>46010</v>
      </c>
      <c r="N374" s="6"/>
      <c r="O374" s="6"/>
      <c r="P374" s="5" t="s">
        <v>186</v>
      </c>
      <c r="Q374" s="5" t="s">
        <v>36</v>
      </c>
      <c r="R374" s="8" t="s">
        <v>37</v>
      </c>
      <c r="S374" s="5">
        <v>40</v>
      </c>
      <c r="T374" s="5" t="s">
        <v>38</v>
      </c>
      <c r="U374" s="8" t="str">
        <f t="shared" si="10"/>
        <v/>
      </c>
      <c r="V374" s="8" t="str">
        <f t="shared" si="11"/>
        <v/>
      </c>
      <c r="W374" s="8" t="str">
        <f>_xlfn.XLOOKUP(X374,ShiftCodes[Code],ShiftCodes[Work Schedule],"Unknown code")</f>
        <v>Standard (Mon–Fri 9:00–17:30)</v>
      </c>
      <c r="X374" s="9" t="s">
        <v>39</v>
      </c>
      <c r="Y374" s="5"/>
    </row>
    <row r="375" spans="1:25" ht="16" x14ac:dyDescent="0.2">
      <c r="A375" s="5" t="s">
        <v>509</v>
      </c>
      <c r="B375" s="13" t="s">
        <v>99</v>
      </c>
      <c r="C375" s="13" t="s">
        <v>484</v>
      </c>
      <c r="D375" s="13" t="s">
        <v>485</v>
      </c>
      <c r="E375" s="5" t="s">
        <v>28</v>
      </c>
      <c r="F375" s="5" t="s">
        <v>165</v>
      </c>
      <c r="G375" s="5" t="s">
        <v>31</v>
      </c>
      <c r="H375" s="13" t="s">
        <v>8</v>
      </c>
      <c r="I375" s="10">
        <v>158000</v>
      </c>
      <c r="J375" s="12"/>
      <c r="K375" s="5" t="s">
        <v>64</v>
      </c>
      <c r="L375" s="5" t="s">
        <v>65</v>
      </c>
      <c r="M375" s="6">
        <v>45450</v>
      </c>
      <c r="N375" s="6"/>
      <c r="O375" s="6"/>
      <c r="P375" s="5" t="s">
        <v>152</v>
      </c>
      <c r="Q375" s="5" t="s">
        <v>36</v>
      </c>
      <c r="R375" s="8" t="s">
        <v>37</v>
      </c>
      <c r="S375" s="5">
        <v>40</v>
      </c>
      <c r="T375" s="5" t="s">
        <v>38</v>
      </c>
      <c r="U375" s="8" t="str">
        <f t="shared" si="10"/>
        <v/>
      </c>
      <c r="V375" s="8" t="str">
        <f t="shared" si="11"/>
        <v/>
      </c>
      <c r="W375" s="8" t="str">
        <f>_xlfn.XLOOKUP(X375,ShiftCodes[Code],ShiftCodes[Work Schedule],"Unknown code")</f>
        <v>Standard (Mon–Fri 9:00–17:30)</v>
      </c>
      <c r="X375" s="9" t="s">
        <v>39</v>
      </c>
      <c r="Y375" s="5"/>
    </row>
    <row r="376" spans="1:25" ht="16" x14ac:dyDescent="0.2">
      <c r="A376" s="5" t="s">
        <v>510</v>
      </c>
      <c r="B376" s="13" t="s">
        <v>99</v>
      </c>
      <c r="C376" s="13" t="s">
        <v>488</v>
      </c>
      <c r="D376" s="13" t="s">
        <v>489</v>
      </c>
      <c r="E376" s="5" t="s">
        <v>28</v>
      </c>
      <c r="F376" s="5" t="s">
        <v>149</v>
      </c>
      <c r="G376" s="5" t="s">
        <v>31</v>
      </c>
      <c r="H376" s="13" t="s">
        <v>8</v>
      </c>
      <c r="I376" s="10">
        <v>88000</v>
      </c>
      <c r="J376" s="12"/>
      <c r="K376" s="5" t="s">
        <v>64</v>
      </c>
      <c r="L376" s="5" t="s">
        <v>65</v>
      </c>
      <c r="M376" s="6">
        <v>46140</v>
      </c>
      <c r="N376" s="6"/>
      <c r="O376" s="6"/>
      <c r="P376" s="5" t="s">
        <v>231</v>
      </c>
      <c r="Q376" s="5" t="s">
        <v>36</v>
      </c>
      <c r="R376" s="8" t="s">
        <v>37</v>
      </c>
      <c r="S376" s="5">
        <v>40</v>
      </c>
      <c r="T376" s="5" t="s">
        <v>38</v>
      </c>
      <c r="U376" s="8" t="str">
        <f t="shared" si="10"/>
        <v/>
      </c>
      <c r="V376" s="8" t="str">
        <f t="shared" si="11"/>
        <v/>
      </c>
      <c r="W376" s="8" t="str">
        <f>_xlfn.XLOOKUP(X376,ShiftCodes[Code],ShiftCodes[Work Schedule],"Unknown code")</f>
        <v>Standard (Mon–Fri 9:00–17:30)</v>
      </c>
      <c r="X376" s="9" t="s">
        <v>39</v>
      </c>
      <c r="Y376" s="5"/>
    </row>
    <row r="377" spans="1:25" ht="16" x14ac:dyDescent="0.2">
      <c r="A377" s="7" t="s">
        <v>511</v>
      </c>
      <c r="B377" s="5" t="s">
        <v>99</v>
      </c>
      <c r="C377" s="5" t="s">
        <v>100</v>
      </c>
      <c r="D377" s="5" t="s">
        <v>28</v>
      </c>
      <c r="E377" s="18" t="s">
        <v>29</v>
      </c>
      <c r="H377" s="5" t="s">
        <v>79</v>
      </c>
      <c r="J377">
        <v>75</v>
      </c>
      <c r="K377" s="19" t="s">
        <v>33</v>
      </c>
      <c r="P377" s="19" t="s">
        <v>35</v>
      </c>
      <c r="R377" s="7" t="s">
        <v>512</v>
      </c>
      <c r="S377" s="5">
        <v>40</v>
      </c>
      <c r="T377" s="5" t="s">
        <v>38</v>
      </c>
      <c r="U377" s="8" t="str">
        <f t="shared" si="10"/>
        <v/>
      </c>
      <c r="V377" s="8" t="str">
        <f t="shared" si="11"/>
        <v/>
      </c>
      <c r="W377" s="8" t="str">
        <f>_xlfn.XLOOKUP(X377,ShiftCodes[Code],ShiftCodes[Work Schedule],"Unknown code")</f>
        <v>Standard (Mon–Fri 9:00–17:30)</v>
      </c>
      <c r="X377" s="9" t="s">
        <v>39</v>
      </c>
      <c r="Y377" s="5"/>
    </row>
    <row r="378" spans="1:25" ht="16" x14ac:dyDescent="0.2">
      <c r="A378" s="7" t="s">
        <v>513</v>
      </c>
      <c r="B378" s="5" t="s">
        <v>99</v>
      </c>
      <c r="C378" s="5" t="s">
        <v>127</v>
      </c>
      <c r="D378" s="5" t="s">
        <v>90</v>
      </c>
      <c r="E378" s="18" t="s">
        <v>29</v>
      </c>
      <c r="H378" s="5" t="s">
        <v>79</v>
      </c>
      <c r="J378">
        <v>80</v>
      </c>
      <c r="K378" s="5" t="s">
        <v>33</v>
      </c>
      <c r="P378" s="5" t="s">
        <v>35</v>
      </c>
      <c r="R378" s="7" t="s">
        <v>512</v>
      </c>
      <c r="S378" s="5">
        <v>40</v>
      </c>
      <c r="T378" s="5" t="s">
        <v>38</v>
      </c>
      <c r="U378" s="8" t="str">
        <f t="shared" si="10"/>
        <v/>
      </c>
      <c r="V378" s="8" t="str">
        <f t="shared" si="11"/>
        <v/>
      </c>
      <c r="W378" s="8" t="str">
        <f>_xlfn.XLOOKUP(X378,ShiftCodes[Code],ShiftCodes[Work Schedule],"Unknown code")</f>
        <v>Standard (Mon–Fri 9:00–17:30)</v>
      </c>
      <c r="X378" s="9" t="s">
        <v>39</v>
      </c>
      <c r="Y378" s="5"/>
    </row>
    <row r="379" spans="1:25" ht="16" x14ac:dyDescent="0.2">
      <c r="A379" s="7" t="s">
        <v>514</v>
      </c>
      <c r="B379" s="5" t="s">
        <v>109</v>
      </c>
      <c r="C379" s="5" t="s">
        <v>113</v>
      </c>
      <c r="D379" s="5" t="s">
        <v>84</v>
      </c>
      <c r="E379" s="18" t="s">
        <v>29</v>
      </c>
      <c r="H379" s="5" t="s">
        <v>79</v>
      </c>
      <c r="J379">
        <v>74.5</v>
      </c>
      <c r="K379" s="5" t="s">
        <v>33</v>
      </c>
      <c r="P379" s="5" t="s">
        <v>57</v>
      </c>
      <c r="R379" s="7" t="s">
        <v>512</v>
      </c>
      <c r="S379" s="5">
        <v>40</v>
      </c>
      <c r="T379" s="5" t="s">
        <v>38</v>
      </c>
      <c r="U379" s="8" t="str">
        <f t="shared" si="10"/>
        <v/>
      </c>
      <c r="V379" s="8" t="str">
        <f t="shared" si="11"/>
        <v/>
      </c>
      <c r="W379" s="8" t="str">
        <f>_xlfn.XLOOKUP(X379,ShiftCodes[Code],ShiftCodes[Work Schedule],"Unknown code")</f>
        <v>Standard (Mon–Fri 9:00–17:30)</v>
      </c>
      <c r="X379" s="9" t="s">
        <v>39</v>
      </c>
      <c r="Y379" s="5"/>
    </row>
    <row r="380" spans="1:25" ht="16" x14ac:dyDescent="0.2">
      <c r="A380" s="7" t="s">
        <v>515</v>
      </c>
      <c r="B380" s="5" t="s">
        <v>109</v>
      </c>
      <c r="C380" s="5" t="s">
        <v>180</v>
      </c>
      <c r="D380" s="5" t="s">
        <v>52</v>
      </c>
      <c r="E380" s="18" t="s">
        <v>52</v>
      </c>
      <c r="H380" s="5" t="s">
        <v>79</v>
      </c>
      <c r="J380">
        <v>68</v>
      </c>
      <c r="K380" s="5" t="s">
        <v>55</v>
      </c>
      <c r="P380" s="5" t="s">
        <v>57</v>
      </c>
      <c r="R380" s="7" t="s">
        <v>512</v>
      </c>
      <c r="S380" s="5">
        <v>37.5</v>
      </c>
      <c r="T380" s="5" t="s">
        <v>38</v>
      </c>
      <c r="U380" s="8" t="str">
        <f t="shared" si="10"/>
        <v/>
      </c>
      <c r="V380" s="8" t="str">
        <f t="shared" si="11"/>
        <v/>
      </c>
      <c r="W380" s="8" t="str">
        <f>_xlfn.XLOOKUP(X380,ShiftCodes[Code],ShiftCodes[Work Schedule],"Unknown code")</f>
        <v>Standard (Mon–Fri 9:00–17:30)</v>
      </c>
      <c r="X380" s="9" t="s">
        <v>39</v>
      </c>
      <c r="Y380" s="5"/>
    </row>
    <row r="381" spans="1:25" ht="16" x14ac:dyDescent="0.2">
      <c r="A381" s="7" t="s">
        <v>516</v>
      </c>
      <c r="B381" s="5" t="s">
        <v>112</v>
      </c>
      <c r="C381" s="5" t="s">
        <v>68</v>
      </c>
      <c r="D381" s="5" t="s">
        <v>69</v>
      </c>
      <c r="E381" s="18" t="s">
        <v>70</v>
      </c>
      <c r="H381" s="5" t="s">
        <v>79</v>
      </c>
      <c r="J381">
        <v>1500</v>
      </c>
      <c r="K381" s="5" t="s">
        <v>72</v>
      </c>
      <c r="P381" s="5" t="s">
        <v>66</v>
      </c>
      <c r="R381" s="7" t="s">
        <v>512</v>
      </c>
      <c r="S381" s="5">
        <v>40</v>
      </c>
      <c r="T381" s="5" t="s">
        <v>38</v>
      </c>
      <c r="U381" s="8" t="str">
        <f t="shared" si="10"/>
        <v/>
      </c>
      <c r="V381" s="8" t="str">
        <f t="shared" si="11"/>
        <v/>
      </c>
      <c r="W381" s="8" t="str">
        <f>_xlfn.XLOOKUP(X381,ShiftCodes[Code],ShiftCodes[Work Schedule],"Unknown code")</f>
        <v>Standard (Mon–Fri 9:00–17:30)</v>
      </c>
      <c r="X381" s="9" t="s">
        <v>39</v>
      </c>
      <c r="Y381" s="5"/>
    </row>
    <row r="382" spans="1:25" ht="16" x14ac:dyDescent="0.2">
      <c r="A382" s="7" t="s">
        <v>517</v>
      </c>
      <c r="B382" s="5" t="s">
        <v>109</v>
      </c>
      <c r="C382" s="5" t="s">
        <v>481</v>
      </c>
      <c r="D382" s="5" t="s">
        <v>62</v>
      </c>
      <c r="E382" s="18" t="s">
        <v>28</v>
      </c>
      <c r="H382" s="5" t="s">
        <v>79</v>
      </c>
      <c r="J382">
        <v>72</v>
      </c>
      <c r="K382" s="5" t="s">
        <v>64</v>
      </c>
      <c r="P382" s="5" t="s">
        <v>57</v>
      </c>
      <c r="R382" s="7" t="s">
        <v>512</v>
      </c>
      <c r="S382" s="5">
        <v>40</v>
      </c>
      <c r="T382" s="5" t="s">
        <v>38</v>
      </c>
      <c r="U382" s="8" t="str">
        <f t="shared" si="10"/>
        <v/>
      </c>
      <c r="V382" s="8" t="str">
        <f t="shared" si="11"/>
        <v/>
      </c>
      <c r="W382" s="8" t="str">
        <f>_xlfn.XLOOKUP(X382,ShiftCodes[Code],ShiftCodes[Work Schedule],"Unknown code")</f>
        <v>Standard (Mon–Fri 9:00–17:30)</v>
      </c>
      <c r="X382" s="9" t="s">
        <v>39</v>
      </c>
      <c r="Y382" s="5"/>
    </row>
    <row r="383" spans="1:25" ht="16" x14ac:dyDescent="0.2">
      <c r="A383" s="7" t="s">
        <v>518</v>
      </c>
      <c r="B383" s="5" t="s">
        <v>112</v>
      </c>
      <c r="C383" s="5" t="s">
        <v>68</v>
      </c>
      <c r="D383" s="5" t="s">
        <v>69</v>
      </c>
      <c r="E383" s="18" t="s">
        <v>70</v>
      </c>
      <c r="H383" s="5" t="s">
        <v>79</v>
      </c>
      <c r="J383">
        <v>2000</v>
      </c>
      <c r="K383" s="13" t="s">
        <v>72</v>
      </c>
      <c r="P383" s="13" t="s">
        <v>66</v>
      </c>
      <c r="R383" s="7" t="s">
        <v>512</v>
      </c>
      <c r="S383" s="5">
        <v>40</v>
      </c>
      <c r="T383" s="5" t="s">
        <v>38</v>
      </c>
      <c r="U383" s="8" t="str">
        <f t="shared" si="10"/>
        <v/>
      </c>
      <c r="V383" s="8" t="str">
        <f t="shared" si="11"/>
        <v/>
      </c>
      <c r="W383" s="8" t="str">
        <f>_xlfn.XLOOKUP(X383,ShiftCodes[Code],ShiftCodes[Work Schedule],"Unknown code")</f>
        <v>Standard (Mon–Fri 9:00–17:30)</v>
      </c>
      <c r="X383" s="9" t="s">
        <v>39</v>
      </c>
      <c r="Y383" s="5"/>
    </row>
    <row r="384" spans="1:25" ht="16" x14ac:dyDescent="0.2">
      <c r="A384" s="5" t="s">
        <v>519</v>
      </c>
      <c r="B384" s="19" t="s">
        <v>99</v>
      </c>
      <c r="C384" s="19" t="s">
        <v>100</v>
      </c>
      <c r="D384" s="19" t="s">
        <v>28</v>
      </c>
      <c r="E384" s="5" t="s">
        <v>29</v>
      </c>
      <c r="F384" s="5"/>
      <c r="G384" s="5"/>
      <c r="H384" s="19" t="s">
        <v>79</v>
      </c>
      <c r="I384" s="5"/>
      <c r="J384" s="12">
        <v>91.5</v>
      </c>
      <c r="K384" s="5" t="s">
        <v>33</v>
      </c>
      <c r="L384" s="5"/>
      <c r="M384" s="6">
        <v>45348</v>
      </c>
      <c r="N384" s="6"/>
      <c r="O384" s="6"/>
      <c r="P384" s="5" t="s">
        <v>135</v>
      </c>
      <c r="Q384" s="5" t="s">
        <v>36</v>
      </c>
      <c r="R384" s="5" t="s">
        <v>512</v>
      </c>
      <c r="S384" s="19">
        <v>40</v>
      </c>
      <c r="T384" s="19" t="s">
        <v>38</v>
      </c>
      <c r="U384" s="8" t="str">
        <f t="shared" si="10"/>
        <v/>
      </c>
      <c r="V384" s="8" t="str">
        <f t="shared" si="11"/>
        <v/>
      </c>
      <c r="W384" s="8" t="str">
        <f>_xlfn.XLOOKUP(X384,ShiftCodes[Code],ShiftCodes[Work Schedule],"Unknown code")</f>
        <v>Standard (Mon–Fri 9:00–17:30)</v>
      </c>
      <c r="X384" s="9" t="s">
        <v>39</v>
      </c>
      <c r="Y384" s="5"/>
    </row>
    <row r="385" spans="1:25" ht="16" x14ac:dyDescent="0.2">
      <c r="A385" s="5" t="s">
        <v>520</v>
      </c>
      <c r="B385" s="5" t="s">
        <v>103</v>
      </c>
      <c r="C385" s="5" t="s">
        <v>100</v>
      </c>
      <c r="D385" s="5" t="s">
        <v>28</v>
      </c>
      <c r="E385" s="5" t="s">
        <v>29</v>
      </c>
      <c r="F385" s="5"/>
      <c r="G385" s="5"/>
      <c r="H385" s="5" t="s">
        <v>79</v>
      </c>
      <c r="I385" s="5"/>
      <c r="J385" s="12">
        <v>71</v>
      </c>
      <c r="K385" s="5" t="s">
        <v>33</v>
      </c>
      <c r="L385" s="5"/>
      <c r="M385" s="6">
        <v>45375</v>
      </c>
      <c r="N385" s="6"/>
      <c r="O385" s="6"/>
      <c r="P385" s="5" t="s">
        <v>116</v>
      </c>
      <c r="Q385" s="5" t="s">
        <v>36</v>
      </c>
      <c r="R385" s="5" t="s">
        <v>512</v>
      </c>
      <c r="S385" s="5">
        <v>40</v>
      </c>
      <c r="T385" s="5" t="s">
        <v>38</v>
      </c>
      <c r="U385" s="8" t="str">
        <f t="shared" si="10"/>
        <v/>
      </c>
      <c r="V385" s="8" t="str">
        <f t="shared" si="11"/>
        <v/>
      </c>
      <c r="W385" s="8" t="str">
        <f>_xlfn.XLOOKUP(X385,ShiftCodes[Code],ShiftCodes[Work Schedule],"Unknown code")</f>
        <v>Standard (Mon–Fri 9:00–17:30)</v>
      </c>
      <c r="X385" s="9" t="s">
        <v>39</v>
      </c>
      <c r="Y385" s="5"/>
    </row>
    <row r="386" spans="1:25" ht="16" x14ac:dyDescent="0.2">
      <c r="A386" s="5" t="s">
        <v>521</v>
      </c>
      <c r="B386" s="5" t="s">
        <v>103</v>
      </c>
      <c r="C386" s="5" t="s">
        <v>106</v>
      </c>
      <c r="D386" s="5" t="s">
        <v>42</v>
      </c>
      <c r="E386" s="5" t="s">
        <v>29</v>
      </c>
      <c r="F386" s="5"/>
      <c r="G386" s="5"/>
      <c r="H386" s="5" t="s">
        <v>79</v>
      </c>
      <c r="I386" s="5"/>
      <c r="J386" s="12">
        <v>74.5</v>
      </c>
      <c r="K386" s="5" t="s">
        <v>33</v>
      </c>
      <c r="L386" s="5"/>
      <c r="M386" s="6">
        <v>45460</v>
      </c>
      <c r="N386" s="6"/>
      <c r="O386" s="6"/>
      <c r="P386" s="5" t="s">
        <v>122</v>
      </c>
      <c r="Q386" s="5" t="s">
        <v>36</v>
      </c>
      <c r="R386" s="5" t="s">
        <v>512</v>
      </c>
      <c r="S386" s="5">
        <v>40</v>
      </c>
      <c r="T386" s="5" t="s">
        <v>38</v>
      </c>
      <c r="U386" s="8" t="str">
        <f t="shared" ref="U386:U406" si="12">IF(AND(TRIM(E386)="US",TRIM(G386)="Non-Exempt"),"US Non-Exempt EEs","")</f>
        <v/>
      </c>
      <c r="V386" s="8" t="str">
        <f t="shared" ref="V386:V406" si="13">IF(AND(TRIM(E386)="US",TRIM(G386)="Non-Exempt"),IF(TRIM(D386)="CA","US California Non-Exempt","US Non-California Non-Exempt"),"")</f>
        <v/>
      </c>
      <c r="W386" s="8" t="str">
        <f>_xlfn.XLOOKUP(X386,ShiftCodes[Code],ShiftCodes[Work Schedule],"Unknown code")</f>
        <v>Standard (Mon–Fri 9:00–17:30)</v>
      </c>
      <c r="X386" s="9" t="s">
        <v>39</v>
      </c>
      <c r="Y386" s="5"/>
    </row>
    <row r="387" spans="1:25" ht="16" x14ac:dyDescent="0.2">
      <c r="A387" s="5" t="s">
        <v>522</v>
      </c>
      <c r="B387" s="5" t="s">
        <v>103</v>
      </c>
      <c r="C387" s="5" t="s">
        <v>100</v>
      </c>
      <c r="D387" s="5" t="s">
        <v>28</v>
      </c>
      <c r="E387" s="5" t="s">
        <v>29</v>
      </c>
      <c r="F387" s="5"/>
      <c r="G387" s="5"/>
      <c r="H387" s="5" t="s">
        <v>79</v>
      </c>
      <c r="I387" s="5"/>
      <c r="J387" s="12">
        <v>85</v>
      </c>
      <c r="K387" s="5" t="s">
        <v>33</v>
      </c>
      <c r="L387" s="5"/>
      <c r="M387" s="6">
        <v>45470</v>
      </c>
      <c r="N387" s="6"/>
      <c r="O387" s="6"/>
      <c r="P387" s="5" t="s">
        <v>175</v>
      </c>
      <c r="Q387" s="5" t="s">
        <v>36</v>
      </c>
      <c r="R387" s="5" t="s">
        <v>512</v>
      </c>
      <c r="S387" s="5">
        <v>40</v>
      </c>
      <c r="T387" s="5" t="s">
        <v>38</v>
      </c>
      <c r="U387" s="8" t="str">
        <f t="shared" si="12"/>
        <v/>
      </c>
      <c r="V387" s="8" t="str">
        <f t="shared" si="13"/>
        <v/>
      </c>
      <c r="W387" s="8" t="str">
        <f>_xlfn.XLOOKUP(X387,ShiftCodes[Code],ShiftCodes[Work Schedule],"Unknown code")</f>
        <v>Standard (Mon–Fri 9:00–17:30)</v>
      </c>
      <c r="X387" s="9" t="s">
        <v>39</v>
      </c>
      <c r="Y387" s="5"/>
    </row>
    <row r="388" spans="1:25" ht="16" x14ac:dyDescent="0.2">
      <c r="A388" s="5" t="s">
        <v>523</v>
      </c>
      <c r="B388" s="5" t="s">
        <v>112</v>
      </c>
      <c r="C388" s="5" t="s">
        <v>106</v>
      </c>
      <c r="D388" s="5" t="s">
        <v>42</v>
      </c>
      <c r="E388" s="5" t="s">
        <v>29</v>
      </c>
      <c r="F388" s="5"/>
      <c r="G388" s="5"/>
      <c r="H388" s="5" t="s">
        <v>79</v>
      </c>
      <c r="I388" s="5"/>
      <c r="J388" s="12">
        <v>98</v>
      </c>
      <c r="K388" s="5" t="s">
        <v>33</v>
      </c>
      <c r="L388" s="5"/>
      <c r="M388" s="6">
        <v>45578</v>
      </c>
      <c r="N388" s="6"/>
      <c r="O388" s="6"/>
      <c r="P388" s="5" t="s">
        <v>182</v>
      </c>
      <c r="Q388" s="5" t="s">
        <v>36</v>
      </c>
      <c r="R388" s="5" t="s">
        <v>512</v>
      </c>
      <c r="S388" s="5">
        <v>40</v>
      </c>
      <c r="T388" s="5" t="s">
        <v>38</v>
      </c>
      <c r="U388" s="8" t="str">
        <f t="shared" si="12"/>
        <v/>
      </c>
      <c r="V388" s="8" t="str">
        <f t="shared" si="13"/>
        <v/>
      </c>
      <c r="W388" s="8" t="str">
        <f>_xlfn.XLOOKUP(X388,ShiftCodes[Code],ShiftCodes[Work Schedule],"Unknown code")</f>
        <v>Standard (Mon–Fri 9:00–17:30)</v>
      </c>
      <c r="X388" s="9" t="s">
        <v>39</v>
      </c>
      <c r="Y388" s="5"/>
    </row>
    <row r="389" spans="1:25" ht="16" x14ac:dyDescent="0.2">
      <c r="A389" s="5" t="s">
        <v>524</v>
      </c>
      <c r="B389" s="5" t="s">
        <v>99</v>
      </c>
      <c r="C389" s="5" t="s">
        <v>68</v>
      </c>
      <c r="D389" s="5" t="s">
        <v>69</v>
      </c>
      <c r="E389" s="5" t="s">
        <v>70</v>
      </c>
      <c r="F389" s="5"/>
      <c r="G389" s="5"/>
      <c r="H389" s="5" t="s">
        <v>79</v>
      </c>
      <c r="I389" s="5"/>
      <c r="J389" s="16">
        <v>1700</v>
      </c>
      <c r="K389" s="5" t="s">
        <v>72</v>
      </c>
      <c r="L389" s="5"/>
      <c r="M389" s="6">
        <v>45726</v>
      </c>
      <c r="N389" s="6"/>
      <c r="O389" s="6"/>
      <c r="P389" s="5" t="s">
        <v>171</v>
      </c>
      <c r="Q389" s="5" t="s">
        <v>36</v>
      </c>
      <c r="R389" s="5" t="s">
        <v>512</v>
      </c>
      <c r="S389" s="5">
        <v>40</v>
      </c>
      <c r="T389" s="5" t="s">
        <v>38</v>
      </c>
      <c r="U389" s="8" t="str">
        <f t="shared" si="12"/>
        <v/>
      </c>
      <c r="V389" s="8" t="str">
        <f t="shared" si="13"/>
        <v/>
      </c>
      <c r="W389" s="8" t="str">
        <f>_xlfn.XLOOKUP(X389,ShiftCodes[Code],ShiftCodes[Work Schedule],"Unknown code")</f>
        <v>Standard (Mon–Fri 9:00–17:30)</v>
      </c>
      <c r="X389" s="9" t="s">
        <v>39</v>
      </c>
      <c r="Y389" s="5"/>
    </row>
    <row r="390" spans="1:25" ht="16" x14ac:dyDescent="0.2">
      <c r="A390" s="5" t="s">
        <v>525</v>
      </c>
      <c r="B390" s="5" t="s">
        <v>109</v>
      </c>
      <c r="C390" s="5" t="s">
        <v>113</v>
      </c>
      <c r="D390" s="5" t="s">
        <v>84</v>
      </c>
      <c r="E390" s="5" t="s">
        <v>29</v>
      </c>
      <c r="F390" s="5"/>
      <c r="G390" s="5"/>
      <c r="H390" s="5" t="s">
        <v>79</v>
      </c>
      <c r="I390" s="5"/>
      <c r="J390" s="12">
        <v>117.5</v>
      </c>
      <c r="K390" s="5" t="s">
        <v>33</v>
      </c>
      <c r="L390" s="5"/>
      <c r="M390" s="6">
        <v>45792</v>
      </c>
      <c r="N390" s="6"/>
      <c r="O390" s="6"/>
      <c r="P390" s="5" t="s">
        <v>178</v>
      </c>
      <c r="Q390" s="5" t="s">
        <v>36</v>
      </c>
      <c r="R390" s="5" t="s">
        <v>512</v>
      </c>
      <c r="S390" s="5">
        <v>40</v>
      </c>
      <c r="T390" s="5" t="s">
        <v>38</v>
      </c>
      <c r="U390" s="8" t="str">
        <f t="shared" si="12"/>
        <v/>
      </c>
      <c r="V390" s="8" t="str">
        <f t="shared" si="13"/>
        <v/>
      </c>
      <c r="W390" s="8" t="str">
        <f>_xlfn.XLOOKUP(X390,ShiftCodes[Code],ShiftCodes[Work Schedule],"Unknown code")</f>
        <v>Standard (Mon–Fri 9:00–17:30)</v>
      </c>
      <c r="X390" s="9" t="s">
        <v>39</v>
      </c>
      <c r="Y390" s="5"/>
    </row>
    <row r="391" spans="1:25" ht="16" x14ac:dyDescent="0.2">
      <c r="A391" s="5" t="s">
        <v>526</v>
      </c>
      <c r="B391" s="5" t="s">
        <v>112</v>
      </c>
      <c r="C391" s="5" t="s">
        <v>100</v>
      </c>
      <c r="D391" s="5" t="s">
        <v>28</v>
      </c>
      <c r="E391" s="5" t="s">
        <v>29</v>
      </c>
      <c r="F391" s="5"/>
      <c r="G391" s="5"/>
      <c r="H391" s="5" t="s">
        <v>79</v>
      </c>
      <c r="I391" s="5"/>
      <c r="J391" s="12">
        <v>67.5</v>
      </c>
      <c r="K391" s="5" t="s">
        <v>33</v>
      </c>
      <c r="L391" s="5"/>
      <c r="M391" s="6">
        <v>45797</v>
      </c>
      <c r="N391" s="6"/>
      <c r="O391" s="6"/>
      <c r="P391" s="5" t="s">
        <v>204</v>
      </c>
      <c r="Q391" s="5" t="s">
        <v>36</v>
      </c>
      <c r="R391" s="5" t="s">
        <v>512</v>
      </c>
      <c r="S391" s="5">
        <v>40</v>
      </c>
      <c r="T391" s="5" t="s">
        <v>38</v>
      </c>
      <c r="U391" s="8" t="str">
        <f t="shared" si="12"/>
        <v/>
      </c>
      <c r="V391" s="8" t="str">
        <f t="shared" si="13"/>
        <v/>
      </c>
      <c r="W391" s="8" t="str">
        <f>_xlfn.XLOOKUP(X391,ShiftCodes[Code],ShiftCodes[Work Schedule],"Unknown code")</f>
        <v>Standard (Mon–Fri 9:00–17:30)</v>
      </c>
      <c r="X391" s="9" t="s">
        <v>39</v>
      </c>
      <c r="Y391" s="5"/>
    </row>
    <row r="392" spans="1:25" ht="16" x14ac:dyDescent="0.2">
      <c r="A392" s="5" t="s">
        <v>527</v>
      </c>
      <c r="B392" s="5" t="s">
        <v>112</v>
      </c>
      <c r="C392" s="5" t="s">
        <v>68</v>
      </c>
      <c r="D392" s="5" t="s">
        <v>69</v>
      </c>
      <c r="E392" s="5" t="s">
        <v>70</v>
      </c>
      <c r="F392" s="5"/>
      <c r="G392" s="5"/>
      <c r="H392" s="5" t="s">
        <v>79</v>
      </c>
      <c r="I392" s="5"/>
      <c r="J392" s="16">
        <v>2350</v>
      </c>
      <c r="K392" s="5" t="s">
        <v>72</v>
      </c>
      <c r="L392" s="5"/>
      <c r="M392" s="6">
        <v>45807</v>
      </c>
      <c r="N392" s="6"/>
      <c r="O392" s="6"/>
      <c r="P392" s="5" t="s">
        <v>209</v>
      </c>
      <c r="Q392" s="5" t="s">
        <v>36</v>
      </c>
      <c r="R392" s="5" t="s">
        <v>512</v>
      </c>
      <c r="S392" s="5">
        <v>40</v>
      </c>
      <c r="T392" s="5" t="s">
        <v>38</v>
      </c>
      <c r="U392" s="8" t="str">
        <f t="shared" si="12"/>
        <v/>
      </c>
      <c r="V392" s="8" t="str">
        <f t="shared" si="13"/>
        <v/>
      </c>
      <c r="W392" s="8" t="str">
        <f>_xlfn.XLOOKUP(X392,ShiftCodes[Code],ShiftCodes[Work Schedule],"Unknown code")</f>
        <v>Standard (Mon–Fri 9:00–17:30)</v>
      </c>
      <c r="X392" s="9" t="s">
        <v>39</v>
      </c>
      <c r="Y392" s="5"/>
    </row>
    <row r="393" spans="1:25" ht="16" x14ac:dyDescent="0.2">
      <c r="A393" s="5" t="s">
        <v>528</v>
      </c>
      <c r="B393" s="5" t="s">
        <v>103</v>
      </c>
      <c r="C393" s="5" t="s">
        <v>106</v>
      </c>
      <c r="D393" s="5" t="s">
        <v>42</v>
      </c>
      <c r="E393" s="5" t="s">
        <v>29</v>
      </c>
      <c r="F393" s="5"/>
      <c r="G393" s="5"/>
      <c r="H393" s="5" t="s">
        <v>79</v>
      </c>
      <c r="I393" s="5"/>
      <c r="J393" s="12">
        <v>119.5</v>
      </c>
      <c r="K393" s="5" t="s">
        <v>33</v>
      </c>
      <c r="L393" s="5"/>
      <c r="M393" s="6">
        <v>45921</v>
      </c>
      <c r="N393" s="6"/>
      <c r="O393" s="6"/>
      <c r="P393" s="5" t="s">
        <v>145</v>
      </c>
      <c r="Q393" s="5" t="s">
        <v>36</v>
      </c>
      <c r="R393" s="5" t="s">
        <v>512</v>
      </c>
      <c r="S393" s="5">
        <v>40</v>
      </c>
      <c r="T393" s="5" t="s">
        <v>38</v>
      </c>
      <c r="U393" s="8" t="str">
        <f t="shared" si="12"/>
        <v/>
      </c>
      <c r="V393" s="8" t="str">
        <f t="shared" si="13"/>
        <v/>
      </c>
      <c r="W393" s="8" t="str">
        <f>_xlfn.XLOOKUP(X393,ShiftCodes[Code],ShiftCodes[Work Schedule],"Unknown code")</f>
        <v>Standard (Mon–Fri 9:00–17:30)</v>
      </c>
      <c r="X393" s="9" t="s">
        <v>39</v>
      </c>
      <c r="Y393" s="5"/>
    </row>
    <row r="394" spans="1:25" ht="16" x14ac:dyDescent="0.2">
      <c r="A394" s="5" t="s">
        <v>529</v>
      </c>
      <c r="B394" s="5" t="s">
        <v>103</v>
      </c>
      <c r="C394" s="5" t="s">
        <v>106</v>
      </c>
      <c r="D394" s="5" t="s">
        <v>42</v>
      </c>
      <c r="E394" s="5" t="s">
        <v>29</v>
      </c>
      <c r="F394" s="5"/>
      <c r="G394" s="5"/>
      <c r="H394" s="5" t="s">
        <v>79</v>
      </c>
      <c r="I394" s="5"/>
      <c r="J394" s="12">
        <v>95</v>
      </c>
      <c r="K394" s="5" t="s">
        <v>33</v>
      </c>
      <c r="L394" s="5"/>
      <c r="M394" s="6">
        <v>45923</v>
      </c>
      <c r="N394" s="6"/>
      <c r="O394" s="6"/>
      <c r="P394" s="5" t="s">
        <v>122</v>
      </c>
      <c r="Q394" s="5" t="s">
        <v>36</v>
      </c>
      <c r="R394" s="5" t="s">
        <v>512</v>
      </c>
      <c r="S394" s="5">
        <v>40</v>
      </c>
      <c r="T394" s="5" t="s">
        <v>38</v>
      </c>
      <c r="U394" s="8" t="str">
        <f t="shared" si="12"/>
        <v/>
      </c>
      <c r="V394" s="8" t="str">
        <f t="shared" si="13"/>
        <v/>
      </c>
      <c r="W394" s="8" t="str">
        <f>_xlfn.XLOOKUP(X394,ShiftCodes[Code],ShiftCodes[Work Schedule],"Unknown code")</f>
        <v>Standard (Mon–Fri 9:00–17:30)</v>
      </c>
      <c r="X394" s="9" t="s">
        <v>39</v>
      </c>
      <c r="Y394" s="5"/>
    </row>
    <row r="395" spans="1:25" ht="16" x14ac:dyDescent="0.2">
      <c r="A395" s="5" t="s">
        <v>530</v>
      </c>
      <c r="B395" s="5" t="s">
        <v>109</v>
      </c>
      <c r="C395" s="5" t="s">
        <v>113</v>
      </c>
      <c r="D395" s="5" t="s">
        <v>84</v>
      </c>
      <c r="E395" s="5" t="s">
        <v>29</v>
      </c>
      <c r="F395" s="5"/>
      <c r="G395" s="5"/>
      <c r="H395" s="5" t="s">
        <v>79</v>
      </c>
      <c r="I395" s="5"/>
      <c r="J395" s="12">
        <v>95.5</v>
      </c>
      <c r="K395" s="5" t="s">
        <v>33</v>
      </c>
      <c r="L395" s="5"/>
      <c r="M395" s="6">
        <v>45930</v>
      </c>
      <c r="N395" s="6"/>
      <c r="O395" s="6"/>
      <c r="P395" s="5" t="s">
        <v>202</v>
      </c>
      <c r="Q395" s="5" t="s">
        <v>36</v>
      </c>
      <c r="R395" s="5" t="s">
        <v>512</v>
      </c>
      <c r="S395" s="5">
        <v>40</v>
      </c>
      <c r="T395" s="5" t="s">
        <v>38</v>
      </c>
      <c r="U395" s="8" t="str">
        <f t="shared" si="12"/>
        <v/>
      </c>
      <c r="V395" s="8" t="str">
        <f t="shared" si="13"/>
        <v/>
      </c>
      <c r="W395" s="8" t="str">
        <f>_xlfn.XLOOKUP(X395,ShiftCodes[Code],ShiftCodes[Work Schedule],"Unknown code")</f>
        <v>Standard (Mon–Fri 9:00–17:30)</v>
      </c>
      <c r="X395" s="9" t="s">
        <v>39</v>
      </c>
      <c r="Y395" s="5"/>
    </row>
    <row r="396" spans="1:25" ht="16" x14ac:dyDescent="0.2">
      <c r="A396" s="5" t="s">
        <v>531</v>
      </c>
      <c r="B396" s="5" t="s">
        <v>103</v>
      </c>
      <c r="C396" s="5" t="s">
        <v>100</v>
      </c>
      <c r="D396" s="5" t="s">
        <v>28</v>
      </c>
      <c r="E396" s="5" t="s">
        <v>29</v>
      </c>
      <c r="F396" s="5"/>
      <c r="G396" s="5"/>
      <c r="H396" s="5" t="s">
        <v>79</v>
      </c>
      <c r="I396" s="5"/>
      <c r="J396" s="12">
        <v>71.5</v>
      </c>
      <c r="K396" s="5" t="s">
        <v>33</v>
      </c>
      <c r="L396" s="5"/>
      <c r="M396" s="6">
        <v>45948</v>
      </c>
      <c r="N396" s="6"/>
      <c r="O396" s="6"/>
      <c r="P396" s="5" t="s">
        <v>274</v>
      </c>
      <c r="Q396" s="5" t="s">
        <v>36</v>
      </c>
      <c r="R396" s="5" t="s">
        <v>512</v>
      </c>
      <c r="S396" s="5">
        <v>40</v>
      </c>
      <c r="T396" s="5" t="s">
        <v>38</v>
      </c>
      <c r="U396" s="8" t="str">
        <f t="shared" si="12"/>
        <v/>
      </c>
      <c r="V396" s="8" t="str">
        <f t="shared" si="13"/>
        <v/>
      </c>
      <c r="W396" s="8" t="str">
        <f>_xlfn.XLOOKUP(X396,ShiftCodes[Code],ShiftCodes[Work Schedule],"Unknown code")</f>
        <v>Standard (Mon–Fri 9:00–17:30)</v>
      </c>
      <c r="X396" s="9" t="s">
        <v>39</v>
      </c>
      <c r="Y396" s="5"/>
    </row>
    <row r="397" spans="1:25" ht="16" x14ac:dyDescent="0.2">
      <c r="A397" s="5" t="s">
        <v>532</v>
      </c>
      <c r="B397" s="5" t="s">
        <v>112</v>
      </c>
      <c r="C397" s="5" t="s">
        <v>100</v>
      </c>
      <c r="D397" s="5" t="s">
        <v>28</v>
      </c>
      <c r="E397" s="5" t="s">
        <v>29</v>
      </c>
      <c r="F397" s="5"/>
      <c r="G397" s="5"/>
      <c r="H397" s="5" t="s">
        <v>79</v>
      </c>
      <c r="I397" s="5"/>
      <c r="J397" s="12">
        <v>65</v>
      </c>
      <c r="K397" s="5" t="s">
        <v>33</v>
      </c>
      <c r="L397" s="5"/>
      <c r="M397" s="6">
        <v>45990</v>
      </c>
      <c r="N397" s="6"/>
      <c r="O397" s="6"/>
      <c r="P397" s="5" t="s">
        <v>229</v>
      </c>
      <c r="Q397" s="5" t="s">
        <v>36</v>
      </c>
      <c r="R397" s="5" t="s">
        <v>512</v>
      </c>
      <c r="S397" s="5">
        <v>40</v>
      </c>
      <c r="T397" s="5" t="s">
        <v>38</v>
      </c>
      <c r="U397" s="8" t="str">
        <f t="shared" si="12"/>
        <v/>
      </c>
      <c r="V397" s="8" t="str">
        <f t="shared" si="13"/>
        <v/>
      </c>
      <c r="W397" s="8" t="str">
        <f>_xlfn.XLOOKUP(X397,ShiftCodes[Code],ShiftCodes[Work Schedule],"Unknown code")</f>
        <v>Standard (Mon–Fri 9:00–17:30)</v>
      </c>
      <c r="X397" s="9" t="s">
        <v>39</v>
      </c>
      <c r="Y397" s="5"/>
    </row>
    <row r="398" spans="1:25" ht="16" x14ac:dyDescent="0.2">
      <c r="A398" s="5" t="s">
        <v>533</v>
      </c>
      <c r="B398" s="5" t="s">
        <v>99</v>
      </c>
      <c r="C398" s="5" t="s">
        <v>68</v>
      </c>
      <c r="D398" s="5" t="s">
        <v>69</v>
      </c>
      <c r="E398" s="5" t="s">
        <v>70</v>
      </c>
      <c r="F398" s="5"/>
      <c r="G398" s="5"/>
      <c r="H398" s="5" t="s">
        <v>79</v>
      </c>
      <c r="I398" s="5"/>
      <c r="J398" s="16">
        <v>2450</v>
      </c>
      <c r="K398" s="5" t="s">
        <v>72</v>
      </c>
      <c r="L398" s="5"/>
      <c r="M398" s="6">
        <v>46002</v>
      </c>
      <c r="N398" s="6"/>
      <c r="O398" s="6"/>
      <c r="P398" s="5" t="s">
        <v>171</v>
      </c>
      <c r="Q398" s="5" t="s">
        <v>36</v>
      </c>
      <c r="R398" s="5" t="s">
        <v>512</v>
      </c>
      <c r="S398" s="5">
        <v>40</v>
      </c>
      <c r="T398" s="5" t="s">
        <v>38</v>
      </c>
      <c r="U398" s="8" t="str">
        <f t="shared" si="12"/>
        <v/>
      </c>
      <c r="V398" s="8" t="str">
        <f t="shared" si="13"/>
        <v/>
      </c>
      <c r="W398" s="8" t="str">
        <f>_xlfn.XLOOKUP(X398,ShiftCodes[Code],ShiftCodes[Work Schedule],"Unknown code")</f>
        <v>Standard (Mon–Fri 9:00–17:30)</v>
      </c>
      <c r="X398" s="9" t="s">
        <v>39</v>
      </c>
      <c r="Y398" s="5"/>
    </row>
    <row r="399" spans="1:25" ht="16" x14ac:dyDescent="0.2">
      <c r="A399" s="5" t="s">
        <v>534</v>
      </c>
      <c r="B399" s="5" t="s">
        <v>103</v>
      </c>
      <c r="C399" s="5" t="s">
        <v>100</v>
      </c>
      <c r="D399" s="5" t="s">
        <v>28</v>
      </c>
      <c r="E399" s="5" t="s">
        <v>29</v>
      </c>
      <c r="F399" s="5"/>
      <c r="G399" s="5"/>
      <c r="H399" s="5" t="s">
        <v>79</v>
      </c>
      <c r="I399" s="5"/>
      <c r="J399" s="12">
        <v>114</v>
      </c>
      <c r="K399" s="5" t="s">
        <v>33</v>
      </c>
      <c r="L399" s="5"/>
      <c r="M399" s="6">
        <v>46010</v>
      </c>
      <c r="N399" s="6"/>
      <c r="O399" s="6"/>
      <c r="P399" s="5" t="s">
        <v>116</v>
      </c>
      <c r="Q399" s="5" t="s">
        <v>36</v>
      </c>
      <c r="R399" s="5" t="s">
        <v>512</v>
      </c>
      <c r="S399" s="5">
        <v>40</v>
      </c>
      <c r="T399" s="5" t="s">
        <v>38</v>
      </c>
      <c r="U399" s="8" t="str">
        <f t="shared" si="12"/>
        <v/>
      </c>
      <c r="V399" s="8" t="str">
        <f t="shared" si="13"/>
        <v/>
      </c>
      <c r="W399" s="8" t="str">
        <f>_xlfn.XLOOKUP(X399,ShiftCodes[Code],ShiftCodes[Work Schedule],"Unknown code")</f>
        <v>Standard (Mon–Fri 9:00–17:30)</v>
      </c>
      <c r="X399" s="9" t="s">
        <v>39</v>
      </c>
      <c r="Y399" s="5"/>
    </row>
    <row r="400" spans="1:25" ht="16" x14ac:dyDescent="0.2">
      <c r="A400" s="5" t="s">
        <v>535</v>
      </c>
      <c r="B400" s="5" t="s">
        <v>99</v>
      </c>
      <c r="C400" s="5" t="s">
        <v>100</v>
      </c>
      <c r="D400" s="5" t="s">
        <v>28</v>
      </c>
      <c r="E400" s="5" t="s">
        <v>29</v>
      </c>
      <c r="F400" s="5"/>
      <c r="G400" s="5"/>
      <c r="H400" s="5" t="s">
        <v>79</v>
      </c>
      <c r="I400" s="5"/>
      <c r="J400" s="12">
        <v>69</v>
      </c>
      <c r="K400" s="5" t="s">
        <v>33</v>
      </c>
      <c r="L400" s="5"/>
      <c r="M400" s="6">
        <v>46015</v>
      </c>
      <c r="N400" s="6"/>
      <c r="O400" s="6"/>
      <c r="P400" s="5" t="s">
        <v>135</v>
      </c>
      <c r="Q400" s="5" t="s">
        <v>36</v>
      </c>
      <c r="R400" s="5" t="s">
        <v>512</v>
      </c>
      <c r="S400" s="5">
        <v>40</v>
      </c>
      <c r="T400" s="5" t="s">
        <v>38</v>
      </c>
      <c r="U400" s="8" t="str">
        <f t="shared" si="12"/>
        <v/>
      </c>
      <c r="V400" s="8" t="str">
        <f t="shared" si="13"/>
        <v/>
      </c>
      <c r="W400" s="8" t="str">
        <f>_xlfn.XLOOKUP(X400,ShiftCodes[Code],ShiftCodes[Work Schedule],"Unknown code")</f>
        <v>Standard (Mon–Fri 9:00–17:30)</v>
      </c>
      <c r="X400" s="9" t="s">
        <v>39</v>
      </c>
      <c r="Y400" s="5"/>
    </row>
    <row r="401" spans="1:25" ht="16" x14ac:dyDescent="0.2">
      <c r="A401" s="5" t="s">
        <v>536</v>
      </c>
      <c r="B401" s="5" t="s">
        <v>112</v>
      </c>
      <c r="C401" s="5" t="s">
        <v>100</v>
      </c>
      <c r="D401" s="5" t="s">
        <v>28</v>
      </c>
      <c r="E401" s="5" t="s">
        <v>29</v>
      </c>
      <c r="F401" s="5"/>
      <c r="G401" s="5"/>
      <c r="H401" s="5" t="s">
        <v>79</v>
      </c>
      <c r="I401" s="5"/>
      <c r="J401" s="12">
        <v>107.5</v>
      </c>
      <c r="K401" s="5" t="s">
        <v>33</v>
      </c>
      <c r="L401" s="5"/>
      <c r="M401" s="6">
        <v>46046</v>
      </c>
      <c r="N401" s="6"/>
      <c r="O401" s="6"/>
      <c r="P401" s="5" t="s">
        <v>133</v>
      </c>
      <c r="Q401" s="5" t="s">
        <v>36</v>
      </c>
      <c r="R401" s="5" t="s">
        <v>512</v>
      </c>
      <c r="S401" s="5">
        <v>40</v>
      </c>
      <c r="T401" s="5" t="s">
        <v>38</v>
      </c>
      <c r="U401" s="8" t="str">
        <f t="shared" si="12"/>
        <v/>
      </c>
      <c r="V401" s="8" t="str">
        <f t="shared" si="13"/>
        <v/>
      </c>
      <c r="W401" s="8" t="str">
        <f>_xlfn.XLOOKUP(X401,ShiftCodes[Code],ShiftCodes[Work Schedule],"Unknown code")</f>
        <v>Standard (Mon–Fri 9:00–17:30)</v>
      </c>
      <c r="X401" s="9" t="s">
        <v>39</v>
      </c>
      <c r="Y401" s="5"/>
    </row>
    <row r="402" spans="1:25" ht="16" x14ac:dyDescent="0.2">
      <c r="A402" s="5" t="s">
        <v>537</v>
      </c>
      <c r="B402" s="5" t="s">
        <v>109</v>
      </c>
      <c r="C402" s="5" t="s">
        <v>76</v>
      </c>
      <c r="D402" s="5" t="s">
        <v>28</v>
      </c>
      <c r="E402" s="5" t="s">
        <v>29</v>
      </c>
      <c r="F402" s="5"/>
      <c r="G402" s="5"/>
      <c r="H402" s="5" t="s">
        <v>79</v>
      </c>
      <c r="I402" s="5"/>
      <c r="J402" s="12">
        <v>72</v>
      </c>
      <c r="K402" s="5" t="s">
        <v>33</v>
      </c>
      <c r="L402" s="5"/>
      <c r="M402" s="6">
        <v>46061</v>
      </c>
      <c r="N402" s="6"/>
      <c r="O402" s="6"/>
      <c r="P402" s="5" t="s">
        <v>161</v>
      </c>
      <c r="Q402" s="5" t="s">
        <v>36</v>
      </c>
      <c r="R402" s="5" t="s">
        <v>512</v>
      </c>
      <c r="S402" s="5">
        <v>40</v>
      </c>
      <c r="T402" s="5" t="s">
        <v>38</v>
      </c>
      <c r="U402" s="8" t="str">
        <f t="shared" si="12"/>
        <v/>
      </c>
      <c r="V402" s="8" t="str">
        <f t="shared" si="13"/>
        <v/>
      </c>
      <c r="W402" s="8" t="str">
        <f>_xlfn.XLOOKUP(X402,ShiftCodes[Code],ShiftCodes[Work Schedule],"Unknown code")</f>
        <v>Standard (Mon–Fri 9:00–17:30)</v>
      </c>
      <c r="X402" s="9" t="s">
        <v>39</v>
      </c>
      <c r="Y402" s="5"/>
    </row>
    <row r="403" spans="1:25" ht="16" x14ac:dyDescent="0.2">
      <c r="A403" s="5" t="s">
        <v>538</v>
      </c>
      <c r="B403" s="5" t="s">
        <v>103</v>
      </c>
      <c r="C403" s="5" t="s">
        <v>106</v>
      </c>
      <c r="D403" s="5" t="s">
        <v>42</v>
      </c>
      <c r="E403" s="5" t="s">
        <v>29</v>
      </c>
      <c r="F403" s="5"/>
      <c r="G403" s="5"/>
      <c r="H403" s="5" t="s">
        <v>79</v>
      </c>
      <c r="I403" s="5"/>
      <c r="J403" s="12">
        <v>104.5</v>
      </c>
      <c r="K403" s="5" t="s">
        <v>33</v>
      </c>
      <c r="L403" s="5"/>
      <c r="M403" s="6">
        <v>46063</v>
      </c>
      <c r="N403" s="6"/>
      <c r="O403" s="6"/>
      <c r="P403" s="5" t="s">
        <v>122</v>
      </c>
      <c r="Q403" s="5" t="s">
        <v>36</v>
      </c>
      <c r="R403" s="5" t="s">
        <v>512</v>
      </c>
      <c r="S403" s="5">
        <v>40</v>
      </c>
      <c r="T403" s="5" t="s">
        <v>38</v>
      </c>
      <c r="U403" s="8" t="str">
        <f t="shared" si="12"/>
        <v/>
      </c>
      <c r="V403" s="8" t="str">
        <f t="shared" si="13"/>
        <v/>
      </c>
      <c r="W403" s="8" t="str">
        <f>_xlfn.XLOOKUP(X403,ShiftCodes[Code],ShiftCodes[Work Schedule],"Unknown code")</f>
        <v>Standard (Mon–Fri 9:00–17:30)</v>
      </c>
      <c r="X403" s="9" t="s">
        <v>39</v>
      </c>
      <c r="Y403" s="5"/>
    </row>
    <row r="404" spans="1:25" ht="16" x14ac:dyDescent="0.2">
      <c r="A404" s="5" t="s">
        <v>539</v>
      </c>
      <c r="B404" s="5" t="s">
        <v>103</v>
      </c>
      <c r="C404" s="5" t="s">
        <v>100</v>
      </c>
      <c r="D404" s="5" t="s">
        <v>28</v>
      </c>
      <c r="E404" s="5" t="s">
        <v>29</v>
      </c>
      <c r="F404" s="5"/>
      <c r="G404" s="5"/>
      <c r="H404" s="5" t="s">
        <v>79</v>
      </c>
      <c r="I404" s="5"/>
      <c r="J404" s="12">
        <v>71.5</v>
      </c>
      <c r="K404" s="5" t="s">
        <v>33</v>
      </c>
      <c r="L404" s="5"/>
      <c r="M404" s="6">
        <v>46197</v>
      </c>
      <c r="N404" s="6"/>
      <c r="O404" s="6"/>
      <c r="P404" s="5" t="s">
        <v>116</v>
      </c>
      <c r="Q404" s="5" t="s">
        <v>36</v>
      </c>
      <c r="R404" s="5" t="s">
        <v>512</v>
      </c>
      <c r="S404" s="5">
        <v>40</v>
      </c>
      <c r="T404" s="5" t="s">
        <v>38</v>
      </c>
      <c r="U404" s="8" t="str">
        <f t="shared" si="12"/>
        <v/>
      </c>
      <c r="V404" s="8" t="str">
        <f t="shared" si="13"/>
        <v/>
      </c>
      <c r="W404" s="8" t="str">
        <f>_xlfn.XLOOKUP(X404,ShiftCodes[Code],ShiftCodes[Work Schedule],"Unknown code")</f>
        <v>Standard (Mon–Fri 9:00–17:30)</v>
      </c>
      <c r="X404" s="9" t="s">
        <v>39</v>
      </c>
      <c r="Y404" s="5"/>
    </row>
    <row r="405" spans="1:25" ht="16" x14ac:dyDescent="0.2">
      <c r="A405" s="5" t="s">
        <v>540</v>
      </c>
      <c r="B405" s="5" t="s">
        <v>109</v>
      </c>
      <c r="C405" s="5" t="s">
        <v>76</v>
      </c>
      <c r="D405" s="5" t="s">
        <v>28</v>
      </c>
      <c r="E405" s="5" t="s">
        <v>29</v>
      </c>
      <c r="F405" s="5"/>
      <c r="G405" s="5"/>
      <c r="H405" s="5" t="s">
        <v>79</v>
      </c>
      <c r="I405" s="5"/>
      <c r="J405" s="12">
        <v>112.5</v>
      </c>
      <c r="K405" s="5" t="s">
        <v>33</v>
      </c>
      <c r="L405" s="5"/>
      <c r="M405" s="6">
        <v>46215</v>
      </c>
      <c r="N405" s="6"/>
      <c r="O405" s="6"/>
      <c r="P405" s="5" t="s">
        <v>213</v>
      </c>
      <c r="Q405" s="5" t="s">
        <v>36</v>
      </c>
      <c r="R405" s="5" t="s">
        <v>512</v>
      </c>
      <c r="S405" s="5">
        <v>40</v>
      </c>
      <c r="T405" s="5" t="s">
        <v>38</v>
      </c>
      <c r="U405" s="8" t="str">
        <f t="shared" si="12"/>
        <v/>
      </c>
      <c r="V405" s="8" t="str">
        <f t="shared" si="13"/>
        <v/>
      </c>
      <c r="W405" s="8" t="str">
        <f>_xlfn.XLOOKUP(X405,ShiftCodes[Code],ShiftCodes[Work Schedule],"Unknown code")</f>
        <v>Standard (Mon–Fri 9:00–17:30)</v>
      </c>
      <c r="X405" s="9" t="s">
        <v>39</v>
      </c>
      <c r="Y405" s="5"/>
    </row>
    <row r="406" spans="1:25" ht="16" x14ac:dyDescent="0.2">
      <c r="A406" s="5" t="s">
        <v>541</v>
      </c>
      <c r="B406" s="5" t="s">
        <v>112</v>
      </c>
      <c r="C406" s="5" t="s">
        <v>100</v>
      </c>
      <c r="D406" s="5" t="s">
        <v>28</v>
      </c>
      <c r="E406" s="5" t="s">
        <v>29</v>
      </c>
      <c r="F406" s="5"/>
      <c r="G406" s="5"/>
      <c r="H406" s="5" t="s">
        <v>79</v>
      </c>
      <c r="I406" s="5"/>
      <c r="J406" s="12">
        <v>99.5</v>
      </c>
      <c r="K406" s="5" t="s">
        <v>33</v>
      </c>
      <c r="L406" s="5"/>
      <c r="M406" s="6">
        <v>46232</v>
      </c>
      <c r="N406" s="6"/>
      <c r="O406" s="6"/>
      <c r="P406" s="5" t="s">
        <v>229</v>
      </c>
      <c r="Q406" s="5" t="s">
        <v>36</v>
      </c>
      <c r="R406" s="5" t="s">
        <v>512</v>
      </c>
      <c r="S406" s="5">
        <v>40</v>
      </c>
      <c r="T406" s="5" t="s">
        <v>38</v>
      </c>
      <c r="U406" s="8" t="str">
        <f t="shared" si="12"/>
        <v/>
      </c>
      <c r="V406" s="8" t="str">
        <f t="shared" si="13"/>
        <v/>
      </c>
      <c r="W406" s="8" t="str">
        <f>_xlfn.XLOOKUP(X406,ShiftCodes[Code],ShiftCodes[Work Schedule],"Unknown code")</f>
        <v>Standard (Mon–Fri 9:00–17:30)</v>
      </c>
      <c r="X406" s="9" t="s">
        <v>39</v>
      </c>
      <c r="Y406" s="5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'Shift Codes'!$A$2:$A$7</xm:f>
          </x14:formula1>
          <x14:formula2>
            <xm:f>0</xm:f>
          </x14:formula2>
          <xm:sqref>X2:X406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3"/>
  <sheetViews>
    <sheetView zoomScaleNormal="100" workbookViewId="0">
      <pane ySplit="1" topLeftCell="A612" activePane="bottomLeft" state="frozen"/>
      <selection pane="bottomLeft" activeCell="B6" sqref="B6"/>
    </sheetView>
  </sheetViews>
  <sheetFormatPr baseColWidth="10" defaultColWidth="10.5" defaultRowHeight="15" x14ac:dyDescent="0.2"/>
  <cols>
    <col min="1" max="1" width="13.6640625" customWidth="1"/>
    <col min="2" max="2" width="27.83203125" customWidth="1"/>
    <col min="3" max="3" width="24.33203125" customWidth="1"/>
    <col min="4" max="4" width="19.83203125" customWidth="1"/>
    <col min="5" max="5" width="72.6640625" customWidth="1"/>
    <col min="6" max="6" width="5.5" customWidth="1"/>
    <col min="8" max="8" width="34.1640625" customWidth="1"/>
    <col min="9" max="9" width="19.83203125" customWidth="1"/>
  </cols>
  <sheetData>
    <row r="1" spans="1:9" ht="16" x14ac:dyDescent="0.2">
      <c r="A1" s="4" t="s">
        <v>542</v>
      </c>
      <c r="B1" s="4" t="s">
        <v>543</v>
      </c>
      <c r="C1" s="4" t="s">
        <v>544</v>
      </c>
      <c r="D1" s="4" t="s">
        <v>545</v>
      </c>
      <c r="E1" s="4" t="s">
        <v>24</v>
      </c>
      <c r="F1" s="4" t="s">
        <v>546</v>
      </c>
      <c r="H1" s="1" t="s">
        <v>547</v>
      </c>
      <c r="I1" s="20"/>
    </row>
    <row r="2" spans="1:9" ht="16" x14ac:dyDescent="0.2">
      <c r="A2" s="5" t="s">
        <v>25</v>
      </c>
      <c r="B2" s="5" t="s">
        <v>548</v>
      </c>
      <c r="C2" s="21" t="s">
        <v>549</v>
      </c>
      <c r="D2" s="22" t="str">
        <f t="array" ref="D2">IF(F2="n/a","—",IF(_xlfn.XLOOKUP(TRIM(SUBSTITUTE(A2,_xlfn.UNICHAR(160)," ")),TRIM(SUBSTITUTE('worker file'!$A$2:$A$406,_xlfn.UNICHAR(160)," ")),'worker file'!$L$2:$L$406,"")="US Biweekly",$I$3,$I$2))</f>
        <v>—</v>
      </c>
      <c r="E2" s="5"/>
      <c r="F2" s="5" t="s">
        <v>550</v>
      </c>
      <c r="H2" s="20" t="s">
        <v>551</v>
      </c>
      <c r="I2" s="23">
        <v>46295</v>
      </c>
    </row>
    <row r="3" spans="1:9" ht="16" x14ac:dyDescent="0.2">
      <c r="A3" s="5" t="s">
        <v>75</v>
      </c>
      <c r="B3" s="5" t="s">
        <v>552</v>
      </c>
      <c r="C3" s="24">
        <v>46.5</v>
      </c>
      <c r="D3" s="22">
        <f t="array" ref="D3">IF(F3="n/a","—",IF(_xlfn.XLOOKUP(TRIM(SUBSTITUTE(A3,_xlfn.UNICHAR(160)," ")),TRIM(SUBSTITUTE('worker file'!$A$2:$A$406,_xlfn.UNICHAR(160)," ")),'worker file'!$L$2:$L$406,"")="US Biweekly",$I$3,$I$2))</f>
        <v>46298</v>
      </c>
      <c r="E3" s="5" t="s">
        <v>553</v>
      </c>
      <c r="F3" s="5" t="s">
        <v>554</v>
      </c>
      <c r="H3" s="20" t="s">
        <v>555</v>
      </c>
      <c r="I3" s="23">
        <v>46298</v>
      </c>
    </row>
    <row r="4" spans="1:9" ht="16" x14ac:dyDescent="0.2">
      <c r="A4" s="5" t="s">
        <v>75</v>
      </c>
      <c r="B4" s="5" t="s">
        <v>556</v>
      </c>
      <c r="C4" s="24">
        <v>28</v>
      </c>
      <c r="D4" s="22">
        <f t="array" ref="D4">IF(F4="n/a","—",IF(_xlfn.XLOOKUP(TRIM(SUBSTITUTE(A4,_xlfn.UNICHAR(160)," ")),TRIM(SUBSTITUTE('worker file'!$A$2:$A$406,_xlfn.UNICHAR(160)," ")),'worker file'!$L$2:$L$406,"")="US Biweekly",$I$3,$I$2))</f>
        <v>46298</v>
      </c>
      <c r="E4" s="5"/>
      <c r="F4" s="5" t="s">
        <v>554</v>
      </c>
    </row>
    <row r="5" spans="1:9" ht="16" x14ac:dyDescent="0.2">
      <c r="A5" s="5" t="s">
        <v>48</v>
      </c>
      <c r="B5" s="5" t="s">
        <v>557</v>
      </c>
      <c r="C5" s="25">
        <v>14.5</v>
      </c>
      <c r="D5" s="22">
        <f t="array" ref="D5">IF(F5="n/a","—",IF(_xlfn.XLOOKUP(TRIM(SUBSTITUTE(A5,_xlfn.UNICHAR(160)," ")),TRIM(SUBSTITUTE('worker file'!$A$2:$A$406,_xlfn.UNICHAR(160)," ")),'worker file'!$L$2:$L$406,"")="US Biweekly",$I$3,$I$2))</f>
        <v>46295</v>
      </c>
      <c r="E5" s="5" t="s">
        <v>558</v>
      </c>
      <c r="F5" s="5" t="s">
        <v>559</v>
      </c>
    </row>
    <row r="6" spans="1:9" ht="16" x14ac:dyDescent="0.2">
      <c r="A6" s="5" t="s">
        <v>59</v>
      </c>
      <c r="B6" s="5" t="s">
        <v>560</v>
      </c>
      <c r="C6" s="25">
        <v>9</v>
      </c>
      <c r="D6" s="22">
        <f t="array" ref="D6">IF(F6="n/a","—",IF(_xlfn.XLOOKUP(TRIM(SUBSTITUTE(A6,_xlfn.UNICHAR(160)," ")),TRIM(SUBSTITUTE('worker file'!$A$2:$A$406,_xlfn.UNICHAR(160)," ")),'worker file'!$L$2:$L$406,"")="US Biweekly",$I$3,$I$2))</f>
        <v>46295</v>
      </c>
      <c r="E6" s="5" t="s">
        <v>561</v>
      </c>
      <c r="F6" s="5" t="s">
        <v>559</v>
      </c>
    </row>
    <row r="7" spans="1:9" ht="16" x14ac:dyDescent="0.2">
      <c r="A7" s="5" t="s">
        <v>67</v>
      </c>
      <c r="B7" s="5" t="s">
        <v>562</v>
      </c>
      <c r="C7" s="25">
        <v>11</v>
      </c>
      <c r="D7" s="22">
        <f t="array" ref="D7">IF(F7="n/a","—",IF(_xlfn.XLOOKUP(TRIM(SUBSTITUTE(A7,_xlfn.UNICHAR(160)," ")),TRIM(SUBSTITUTE('worker file'!$A$2:$A$406,_xlfn.UNICHAR(160)," ")),'worker file'!$L$2:$L$406,"")="US Biweekly",$I$3,$I$2))</f>
        <v>46295</v>
      </c>
      <c r="E7" s="5" t="s">
        <v>563</v>
      </c>
      <c r="F7" s="5" t="s">
        <v>559</v>
      </c>
    </row>
    <row r="8" spans="1:9" ht="16" x14ac:dyDescent="0.2">
      <c r="A8" s="5" t="s">
        <v>86</v>
      </c>
      <c r="B8" s="5" t="s">
        <v>552</v>
      </c>
      <c r="C8" s="24">
        <v>31</v>
      </c>
      <c r="D8" s="22">
        <f t="array" ref="D8">IF(F8="n/a","—",IF(_xlfn.XLOOKUP(TRIM(SUBSTITUTE(A8,_xlfn.UNICHAR(160)," ")),TRIM(SUBSTITUTE('worker file'!$A$2:$A$406,_xlfn.UNICHAR(160)," ")),'worker file'!$L$2:$L$406,"")="US Biweekly",$I$3,$I$2))</f>
        <v>46298</v>
      </c>
      <c r="E8" s="5" t="s">
        <v>564</v>
      </c>
      <c r="F8" s="5" t="s">
        <v>554</v>
      </c>
    </row>
    <row r="9" spans="1:9" ht="16" x14ac:dyDescent="0.2">
      <c r="A9" s="5" t="s">
        <v>565</v>
      </c>
      <c r="B9" s="5" t="s">
        <v>566</v>
      </c>
      <c r="C9" s="26"/>
      <c r="D9" s="22">
        <f t="array" ref="D9">IF(F9="n/a","—",IF(_xlfn.XLOOKUP(TRIM(SUBSTITUTE(A9,_xlfn.UNICHAR(160)," ")),TRIM(SUBSTITUTE('worker file'!$A$2:$A$406,_xlfn.UNICHAR(160)," ")),'worker file'!$L$2:$L$406,"")="US Biweekly",$I$3,$I$2))</f>
        <v>46298</v>
      </c>
      <c r="E9" s="5" t="s">
        <v>567</v>
      </c>
      <c r="F9" s="5" t="s">
        <v>554</v>
      </c>
    </row>
    <row r="10" spans="1:9" ht="16" x14ac:dyDescent="0.2">
      <c r="A10" s="5" t="s">
        <v>98</v>
      </c>
      <c r="B10" s="5" t="s">
        <v>568</v>
      </c>
      <c r="C10" s="21" t="s">
        <v>569</v>
      </c>
      <c r="D10" s="22" t="str">
        <f t="array" ref="D10">IF(F10="n/a","—",IF(_xlfn.XLOOKUP(TRIM(SUBSTITUTE(A10,_xlfn.UNICHAR(160)," ")),TRIM(SUBSTITUTE('worker file'!$A$2:$A$406,_xlfn.UNICHAR(160)," ")),'worker file'!$L$2:$L$406,"")="US Biweekly",$I$3,$I$2))</f>
        <v>—</v>
      </c>
      <c r="E10" s="5" t="s">
        <v>570</v>
      </c>
      <c r="F10" s="5" t="s">
        <v>550</v>
      </c>
    </row>
    <row r="11" spans="1:9" ht="16" x14ac:dyDescent="0.2">
      <c r="A11" s="5" t="s">
        <v>98</v>
      </c>
      <c r="B11" s="5" t="s">
        <v>566</v>
      </c>
      <c r="C11" s="24">
        <v>67.75</v>
      </c>
      <c r="D11" s="22">
        <f t="array" ref="D11">IF(F11="n/a","—",IF(_xlfn.XLOOKUP(TRIM(SUBSTITUTE(A11,_xlfn.UNICHAR(160)," ")),TRIM(SUBSTITUTE('worker file'!$A$2:$A$406,_xlfn.UNICHAR(160)," ")),'worker file'!$L$2:$L$406,"")="US Biweekly",$I$3,$I$2))</f>
        <v>46295</v>
      </c>
      <c r="E11" s="5" t="s">
        <v>571</v>
      </c>
      <c r="F11" s="5" t="s">
        <v>554</v>
      </c>
    </row>
    <row r="12" spans="1:9" ht="16" x14ac:dyDescent="0.2">
      <c r="A12" s="5" t="s">
        <v>102</v>
      </c>
      <c r="B12" s="5" t="s">
        <v>568</v>
      </c>
      <c r="C12" s="21" t="s">
        <v>569</v>
      </c>
      <c r="D12" s="22" t="str">
        <f t="array" ref="D12">IF(F12="n/a","—",IF(_xlfn.XLOOKUP(TRIM(SUBSTITUTE(A12,_xlfn.UNICHAR(160)," ")),TRIM(SUBSTITUTE('worker file'!$A$2:$A$406,_xlfn.UNICHAR(160)," ")),'worker file'!$L$2:$L$406,"")="US Biweekly",$I$3,$I$2))</f>
        <v>—</v>
      </c>
      <c r="E12" s="5" t="s">
        <v>570</v>
      </c>
      <c r="F12" s="5" t="s">
        <v>550</v>
      </c>
    </row>
    <row r="13" spans="1:9" ht="16" x14ac:dyDescent="0.2">
      <c r="A13" s="5" t="s">
        <v>102</v>
      </c>
      <c r="B13" s="5" t="s">
        <v>566</v>
      </c>
      <c r="C13" s="24">
        <v>24.25</v>
      </c>
      <c r="D13" s="22">
        <f t="array" ref="D13">IF(F13="n/a","—",IF(_xlfn.XLOOKUP(TRIM(SUBSTITUTE(A13,_xlfn.UNICHAR(160)," ")),TRIM(SUBSTITUTE('worker file'!$A$2:$A$406,_xlfn.UNICHAR(160)," ")),'worker file'!$L$2:$L$406,"")="US Biweekly",$I$3,$I$2))</f>
        <v>46295</v>
      </c>
      <c r="E13" s="5" t="s">
        <v>571</v>
      </c>
      <c r="F13" s="5" t="s">
        <v>554</v>
      </c>
    </row>
    <row r="14" spans="1:9" ht="16" x14ac:dyDescent="0.2">
      <c r="A14" s="5" t="s">
        <v>105</v>
      </c>
      <c r="B14" s="5" t="s">
        <v>568</v>
      </c>
      <c r="C14" s="21" t="s">
        <v>569</v>
      </c>
      <c r="D14" s="22" t="str">
        <f t="array" ref="D14">IF(F14="n/a","—",IF(_xlfn.XLOOKUP(TRIM(SUBSTITUTE(A14,_xlfn.UNICHAR(160)," ")),TRIM(SUBSTITUTE('worker file'!$A$2:$A$406,_xlfn.UNICHAR(160)," ")),'worker file'!$L$2:$L$406,"")="US Biweekly",$I$3,$I$2))</f>
        <v>—</v>
      </c>
      <c r="E14" s="5" t="s">
        <v>570</v>
      </c>
      <c r="F14" s="5" t="s">
        <v>550</v>
      </c>
    </row>
    <row r="15" spans="1:9" ht="16" x14ac:dyDescent="0.2">
      <c r="A15" s="5" t="s">
        <v>572</v>
      </c>
      <c r="B15" s="5" t="s">
        <v>568</v>
      </c>
      <c r="C15" s="21" t="s">
        <v>569</v>
      </c>
      <c r="D15" s="22" t="str">
        <f t="array" ref="D15">IF(F15="n/a","—",IF(_xlfn.XLOOKUP(TRIM(SUBSTITUTE(A15,_xlfn.UNICHAR(160)," ")),TRIM(SUBSTITUTE('worker file'!$A$2:$A$406,_xlfn.UNICHAR(160)," ")),'worker file'!$L$2:$L$406,"")="US Biweekly",$I$3,$I$2))</f>
        <v>—</v>
      </c>
      <c r="E15" s="5" t="s">
        <v>570</v>
      </c>
      <c r="F15" s="5" t="s">
        <v>550</v>
      </c>
    </row>
    <row r="16" spans="1:9" ht="16" x14ac:dyDescent="0.2">
      <c r="A16" s="5" t="s">
        <v>108</v>
      </c>
      <c r="B16" s="5" t="s">
        <v>568</v>
      </c>
      <c r="C16" s="21" t="s">
        <v>569</v>
      </c>
      <c r="D16" s="22" t="str">
        <f t="array" ref="D16">IF(F16="n/a","—",IF(_xlfn.XLOOKUP(TRIM(SUBSTITUTE(A16,_xlfn.UNICHAR(160)," ")),TRIM(SUBSTITUTE('worker file'!$A$2:$A$406,_xlfn.UNICHAR(160)," ")),'worker file'!$L$2:$L$406,"")="US Biweekly",$I$3,$I$2))</f>
        <v>—</v>
      </c>
      <c r="E16" s="5" t="s">
        <v>570</v>
      </c>
      <c r="F16" s="5" t="s">
        <v>550</v>
      </c>
    </row>
    <row r="17" spans="1:6" ht="16" x14ac:dyDescent="0.2">
      <c r="A17" s="5" t="s">
        <v>108</v>
      </c>
      <c r="B17" s="5" t="s">
        <v>566</v>
      </c>
      <c r="C17" s="24">
        <v>63.5</v>
      </c>
      <c r="D17" s="22">
        <f t="array" ref="D17">IF(F17="n/a","—",IF(_xlfn.XLOOKUP(TRIM(SUBSTITUTE(A17,_xlfn.UNICHAR(160)," ")),TRIM(SUBSTITUTE('worker file'!$A$2:$A$406,_xlfn.UNICHAR(160)," ")),'worker file'!$L$2:$L$406,"")="US Biweekly",$I$3,$I$2))</f>
        <v>46295</v>
      </c>
      <c r="E17" s="5" t="s">
        <v>571</v>
      </c>
      <c r="F17" s="5" t="s">
        <v>554</v>
      </c>
    </row>
    <row r="18" spans="1:6" ht="16" x14ac:dyDescent="0.2">
      <c r="A18" s="5" t="s">
        <v>111</v>
      </c>
      <c r="B18" s="5" t="s">
        <v>568</v>
      </c>
      <c r="C18" s="21" t="s">
        <v>569</v>
      </c>
      <c r="D18" s="22" t="str">
        <f t="array" ref="D18">IF(F18="n/a","—",IF(_xlfn.XLOOKUP(TRIM(SUBSTITUTE(A18,_xlfn.UNICHAR(160)," ")),TRIM(SUBSTITUTE('worker file'!$A$2:$A$406,_xlfn.UNICHAR(160)," ")),'worker file'!$L$2:$L$406,"")="US Biweekly",$I$3,$I$2))</f>
        <v>—</v>
      </c>
      <c r="E18" s="5" t="s">
        <v>570</v>
      </c>
      <c r="F18" s="5" t="s">
        <v>550</v>
      </c>
    </row>
    <row r="19" spans="1:6" ht="16" x14ac:dyDescent="0.2">
      <c r="A19" s="5" t="s">
        <v>111</v>
      </c>
      <c r="B19" s="5" t="s">
        <v>566</v>
      </c>
      <c r="C19" s="24">
        <v>68</v>
      </c>
      <c r="D19" s="22">
        <f t="array" ref="D19">IF(F19="n/a","—",IF(_xlfn.XLOOKUP(TRIM(SUBSTITUTE(A19,_xlfn.UNICHAR(160)," ")),TRIM(SUBSTITUTE('worker file'!$A$2:$A$406,_xlfn.UNICHAR(160)," ")),'worker file'!$L$2:$L$406,"")="US Biweekly",$I$3,$I$2))</f>
        <v>46295</v>
      </c>
      <c r="E19" s="5" t="s">
        <v>571</v>
      </c>
      <c r="F19" s="5" t="s">
        <v>554</v>
      </c>
    </row>
    <row r="20" spans="1:6" ht="16" x14ac:dyDescent="0.2">
      <c r="A20" s="5" t="s">
        <v>114</v>
      </c>
      <c r="B20" s="5" t="s">
        <v>568</v>
      </c>
      <c r="C20" s="21" t="s">
        <v>569</v>
      </c>
      <c r="D20" s="22" t="str">
        <f t="array" ref="D20">IF(F20="n/a","—",IF(_xlfn.XLOOKUP(TRIM(SUBSTITUTE(A20,_xlfn.UNICHAR(160)," ")),TRIM(SUBSTITUTE('worker file'!$A$2:$A$406,_xlfn.UNICHAR(160)," ")),'worker file'!$L$2:$L$406,"")="US Biweekly",$I$3,$I$2))</f>
        <v>—</v>
      </c>
      <c r="E20" s="5" t="s">
        <v>570</v>
      </c>
      <c r="F20" s="5" t="s">
        <v>550</v>
      </c>
    </row>
    <row r="21" spans="1:6" ht="16" x14ac:dyDescent="0.2">
      <c r="A21" s="5" t="s">
        <v>114</v>
      </c>
      <c r="B21" s="5" t="s">
        <v>566</v>
      </c>
      <c r="C21" s="24">
        <v>61.75</v>
      </c>
      <c r="D21" s="22">
        <f t="array" ref="D21">IF(F21="n/a","—",IF(_xlfn.XLOOKUP(TRIM(SUBSTITUTE(A21,_xlfn.UNICHAR(160)," ")),TRIM(SUBSTITUTE('worker file'!$A$2:$A$406,_xlfn.UNICHAR(160)," ")),'worker file'!$L$2:$L$406,"")="US Biweekly",$I$3,$I$2))</f>
        <v>46295</v>
      </c>
      <c r="E21" s="5" t="s">
        <v>571</v>
      </c>
      <c r="F21" s="5" t="s">
        <v>554</v>
      </c>
    </row>
    <row r="22" spans="1:6" ht="16" x14ac:dyDescent="0.2">
      <c r="A22" s="5" t="s">
        <v>115</v>
      </c>
      <c r="B22" s="5" t="s">
        <v>568</v>
      </c>
      <c r="C22" s="21" t="s">
        <v>569</v>
      </c>
      <c r="D22" s="22" t="str">
        <f t="array" ref="D22">IF(F22="n/a","—",IF(_xlfn.XLOOKUP(TRIM(SUBSTITUTE(A22,_xlfn.UNICHAR(160)," ")),TRIM(SUBSTITUTE('worker file'!$A$2:$A$406,_xlfn.UNICHAR(160)," ")),'worker file'!$L$2:$L$406,"")="US Biweekly",$I$3,$I$2))</f>
        <v>—</v>
      </c>
      <c r="E22" s="5" t="s">
        <v>570</v>
      </c>
      <c r="F22" s="5" t="s">
        <v>550</v>
      </c>
    </row>
    <row r="23" spans="1:6" ht="16" x14ac:dyDescent="0.2">
      <c r="A23" s="5" t="s">
        <v>115</v>
      </c>
      <c r="B23" s="5" t="s">
        <v>566</v>
      </c>
      <c r="C23" s="24">
        <v>63</v>
      </c>
      <c r="D23" s="22">
        <f t="array" ref="D23">IF(F23="n/a","—",IF(_xlfn.XLOOKUP(TRIM(SUBSTITUTE(A23,_xlfn.UNICHAR(160)," ")),TRIM(SUBSTITUTE('worker file'!$A$2:$A$406,_xlfn.UNICHAR(160)," ")),'worker file'!$L$2:$L$406,"")="US Biweekly",$I$3,$I$2))</f>
        <v>46295</v>
      </c>
      <c r="E23" s="5" t="s">
        <v>571</v>
      </c>
      <c r="F23" s="5" t="s">
        <v>554</v>
      </c>
    </row>
    <row r="24" spans="1:6" ht="16" x14ac:dyDescent="0.2">
      <c r="A24" s="5" t="s">
        <v>116</v>
      </c>
      <c r="B24" s="5" t="s">
        <v>568</v>
      </c>
      <c r="C24" s="21" t="s">
        <v>569</v>
      </c>
      <c r="D24" s="22" t="str">
        <f t="array" ref="D24">IF(F24="n/a","—",IF(_xlfn.XLOOKUP(TRIM(SUBSTITUTE(A24,_xlfn.UNICHAR(160)," ")),TRIM(SUBSTITUTE('worker file'!$A$2:$A$406,_xlfn.UNICHAR(160)," ")),'worker file'!$L$2:$L$406,"")="US Biweekly",$I$3,$I$2))</f>
        <v>—</v>
      </c>
      <c r="E24" s="5" t="s">
        <v>570</v>
      </c>
      <c r="F24" s="5" t="s">
        <v>550</v>
      </c>
    </row>
    <row r="25" spans="1:6" ht="16" x14ac:dyDescent="0.2">
      <c r="A25" s="5" t="s">
        <v>116</v>
      </c>
      <c r="B25" s="5" t="s">
        <v>566</v>
      </c>
      <c r="C25" s="24">
        <v>54.25</v>
      </c>
      <c r="D25" s="22">
        <f t="array" ref="D25">IF(F25="n/a","—",IF(_xlfn.XLOOKUP(TRIM(SUBSTITUTE(A25,_xlfn.UNICHAR(160)," ")),TRIM(SUBSTITUTE('worker file'!$A$2:$A$406,_xlfn.UNICHAR(160)," ")),'worker file'!$L$2:$L$406,"")="US Biweekly",$I$3,$I$2))</f>
        <v>46295</v>
      </c>
      <c r="E25" s="5" t="s">
        <v>571</v>
      </c>
      <c r="F25" s="5" t="s">
        <v>554</v>
      </c>
    </row>
    <row r="26" spans="1:6" ht="16" x14ac:dyDescent="0.2">
      <c r="A26" s="5" t="s">
        <v>117</v>
      </c>
      <c r="B26" s="5" t="s">
        <v>568</v>
      </c>
      <c r="C26" s="21" t="s">
        <v>569</v>
      </c>
      <c r="D26" s="22" t="str">
        <f t="array" ref="D26">IF(F26="n/a","—",IF(_xlfn.XLOOKUP(TRIM(SUBSTITUTE(A26,_xlfn.UNICHAR(160)," ")),TRIM(SUBSTITUTE('worker file'!$A$2:$A$406,_xlfn.UNICHAR(160)," ")),'worker file'!$L$2:$L$406,"")="US Biweekly",$I$3,$I$2))</f>
        <v>—</v>
      </c>
      <c r="E26" s="5" t="s">
        <v>570</v>
      </c>
      <c r="F26" s="5" t="s">
        <v>550</v>
      </c>
    </row>
    <row r="27" spans="1:6" ht="16" x14ac:dyDescent="0.2">
      <c r="A27" s="5" t="s">
        <v>117</v>
      </c>
      <c r="B27" s="5" t="s">
        <v>566</v>
      </c>
      <c r="C27" s="24">
        <v>73.5</v>
      </c>
      <c r="D27" s="22">
        <f t="array" ref="D27">IF(F27="n/a","—",IF(_xlfn.XLOOKUP(TRIM(SUBSTITUTE(A27,_xlfn.UNICHAR(160)," ")),TRIM(SUBSTITUTE('worker file'!$A$2:$A$406,_xlfn.UNICHAR(160)," ")),'worker file'!$L$2:$L$406,"")="US Biweekly",$I$3,$I$2))</f>
        <v>46295</v>
      </c>
      <c r="E27" s="5" t="s">
        <v>571</v>
      </c>
      <c r="F27" s="5" t="s">
        <v>554</v>
      </c>
    </row>
    <row r="28" spans="1:6" ht="16" x14ac:dyDescent="0.2">
      <c r="A28" s="5" t="s">
        <v>118</v>
      </c>
      <c r="B28" s="5" t="s">
        <v>568</v>
      </c>
      <c r="C28" s="21" t="s">
        <v>569</v>
      </c>
      <c r="D28" s="22" t="str">
        <f t="array" ref="D28">IF(F28="n/a","—",IF(_xlfn.XLOOKUP(TRIM(SUBSTITUTE(A28,_xlfn.UNICHAR(160)," ")),TRIM(SUBSTITUTE('worker file'!$A$2:$A$406,_xlfn.UNICHAR(160)," ")),'worker file'!$L$2:$L$406,"")="US Biweekly",$I$3,$I$2))</f>
        <v>—</v>
      </c>
      <c r="E28" s="5" t="s">
        <v>570</v>
      </c>
      <c r="F28" s="5" t="s">
        <v>550</v>
      </c>
    </row>
    <row r="29" spans="1:6" ht="16" x14ac:dyDescent="0.2">
      <c r="A29" s="5" t="s">
        <v>120</v>
      </c>
      <c r="B29" s="5" t="s">
        <v>573</v>
      </c>
      <c r="C29" s="24">
        <v>120</v>
      </c>
      <c r="D29" s="22">
        <f t="array" ref="D29">IF(F29="n/a","—",IF(_xlfn.XLOOKUP(TRIM(SUBSTITUTE(A29,_xlfn.UNICHAR(160)," ")),TRIM(SUBSTITUTE('worker file'!$A$2:$A$406,_xlfn.UNICHAR(160)," ")),'worker file'!$L$2:$L$406,"")="US Biweekly",$I$3,$I$2))</f>
        <v>46298</v>
      </c>
      <c r="E29" s="5" t="s">
        <v>574</v>
      </c>
      <c r="F29" s="5" t="s">
        <v>554</v>
      </c>
    </row>
    <row r="30" spans="1:6" ht="16" x14ac:dyDescent="0.2">
      <c r="A30" s="5" t="s">
        <v>120</v>
      </c>
      <c r="B30" s="5" t="s">
        <v>575</v>
      </c>
      <c r="C30" s="24">
        <v>6.5</v>
      </c>
      <c r="D30" s="22">
        <f t="array" ref="D30">IF(F30="n/a","—",IF(_xlfn.XLOOKUP(TRIM(SUBSTITUTE(A30,_xlfn.UNICHAR(160)," ")),TRIM(SUBSTITUTE('worker file'!$A$2:$A$406,_xlfn.UNICHAR(160)," ")),'worker file'!$L$2:$L$406,"")="US Biweekly",$I$3,$I$2))</f>
        <v>46298</v>
      </c>
      <c r="E30" s="5" t="s">
        <v>576</v>
      </c>
      <c r="F30" s="5" t="s">
        <v>554</v>
      </c>
    </row>
    <row r="31" spans="1:6" ht="16" x14ac:dyDescent="0.2">
      <c r="A31" s="5" t="s">
        <v>122</v>
      </c>
      <c r="B31" s="5" t="s">
        <v>568</v>
      </c>
      <c r="C31" s="21" t="s">
        <v>569</v>
      </c>
      <c r="D31" s="22" t="str">
        <f t="array" ref="D31">IF(F31="n/a","—",IF(_xlfn.XLOOKUP(TRIM(SUBSTITUTE(A31,_xlfn.UNICHAR(160)," ")),TRIM(SUBSTITUTE('worker file'!$A$2:$A$406,_xlfn.UNICHAR(160)," ")),'worker file'!$L$2:$L$406,"")="US Biweekly",$I$3,$I$2))</f>
        <v>—</v>
      </c>
      <c r="E31" s="5" t="s">
        <v>570</v>
      </c>
      <c r="F31" s="5" t="s">
        <v>550</v>
      </c>
    </row>
    <row r="32" spans="1:6" ht="16" x14ac:dyDescent="0.2">
      <c r="A32" s="5" t="s">
        <v>123</v>
      </c>
      <c r="B32" s="5" t="s">
        <v>568</v>
      </c>
      <c r="C32" s="21" t="s">
        <v>569</v>
      </c>
      <c r="D32" s="22" t="str">
        <f t="array" ref="D32">IF(F32="n/a","—",IF(_xlfn.XLOOKUP(TRIM(SUBSTITUTE(A32,_xlfn.UNICHAR(160)," ")),TRIM(SUBSTITUTE('worker file'!$A$2:$A$406,_xlfn.UNICHAR(160)," ")),'worker file'!$L$2:$L$406,"")="US Biweekly",$I$3,$I$2))</f>
        <v>—</v>
      </c>
      <c r="E32" s="5" t="s">
        <v>570</v>
      </c>
      <c r="F32" s="5" t="s">
        <v>550</v>
      </c>
    </row>
    <row r="33" spans="1:6" ht="16" x14ac:dyDescent="0.2">
      <c r="A33" s="5" t="s">
        <v>126</v>
      </c>
      <c r="B33" s="5" t="s">
        <v>568</v>
      </c>
      <c r="C33" s="21" t="s">
        <v>569</v>
      </c>
      <c r="D33" s="22" t="str">
        <f t="array" ref="D33">IF(F33="n/a","—",IF(_xlfn.XLOOKUP(TRIM(SUBSTITUTE(A33,_xlfn.UNICHAR(160)," ")),TRIM(SUBSTITUTE('worker file'!$A$2:$A$406,_xlfn.UNICHAR(160)," ")),'worker file'!$L$2:$L$406,"")="US Biweekly",$I$3,$I$2))</f>
        <v>—</v>
      </c>
      <c r="E33" s="5" t="s">
        <v>570</v>
      </c>
      <c r="F33" s="5" t="s">
        <v>550</v>
      </c>
    </row>
    <row r="34" spans="1:6" ht="16" x14ac:dyDescent="0.2">
      <c r="A34" s="5" t="s">
        <v>126</v>
      </c>
      <c r="B34" s="5" t="s">
        <v>577</v>
      </c>
      <c r="C34" s="24">
        <v>47.25</v>
      </c>
      <c r="D34" s="22">
        <f t="array" ref="D34">IF(F34="n/a","—",IF(_xlfn.XLOOKUP(TRIM(SUBSTITUTE(A34,_xlfn.UNICHAR(160)," ")),TRIM(SUBSTITUTE('worker file'!$A$2:$A$406,_xlfn.UNICHAR(160)," ")),'worker file'!$L$2:$L$406,"")="US Biweekly",$I$3,$I$2))</f>
        <v>46295</v>
      </c>
      <c r="E34" s="5" t="s">
        <v>578</v>
      </c>
      <c r="F34" s="5" t="s">
        <v>554</v>
      </c>
    </row>
    <row r="35" spans="1:6" ht="16" x14ac:dyDescent="0.2">
      <c r="A35" s="5" t="s">
        <v>128</v>
      </c>
      <c r="B35" s="5" t="s">
        <v>568</v>
      </c>
      <c r="C35" s="21" t="s">
        <v>569</v>
      </c>
      <c r="D35" s="22" t="str">
        <f t="array" ref="D35">IF(F35="n/a","—",IF(_xlfn.XLOOKUP(TRIM(SUBSTITUTE(A35,_xlfn.UNICHAR(160)," ")),TRIM(SUBSTITUTE('worker file'!$A$2:$A$406,_xlfn.UNICHAR(160)," ")),'worker file'!$L$2:$L$406,"")="US Biweekly",$I$3,$I$2))</f>
        <v>—</v>
      </c>
      <c r="E35" s="5" t="s">
        <v>570</v>
      </c>
      <c r="F35" s="5" t="s">
        <v>550</v>
      </c>
    </row>
    <row r="36" spans="1:6" ht="16" x14ac:dyDescent="0.2">
      <c r="A36" s="5" t="s">
        <v>128</v>
      </c>
      <c r="B36" s="5" t="s">
        <v>566</v>
      </c>
      <c r="C36" s="24">
        <v>47.5</v>
      </c>
      <c r="D36" s="22">
        <f t="array" ref="D36">IF(F36="n/a","—",IF(_xlfn.XLOOKUP(TRIM(SUBSTITUTE(A36,_xlfn.UNICHAR(160)," ")),TRIM(SUBSTITUTE('worker file'!$A$2:$A$406,_xlfn.UNICHAR(160)," ")),'worker file'!$L$2:$L$406,"")="US Biweekly",$I$3,$I$2))</f>
        <v>46295</v>
      </c>
      <c r="E36" s="5" t="s">
        <v>571</v>
      </c>
      <c r="F36" s="5" t="s">
        <v>554</v>
      </c>
    </row>
    <row r="37" spans="1:6" ht="16" x14ac:dyDescent="0.2">
      <c r="A37" s="5" t="s">
        <v>129</v>
      </c>
      <c r="B37" s="5" t="s">
        <v>573</v>
      </c>
      <c r="C37" s="24">
        <v>120</v>
      </c>
      <c r="D37" s="22">
        <f t="array" ref="D37">IF(F37="n/a","—",IF(_xlfn.XLOOKUP(TRIM(SUBSTITUTE(A37,_xlfn.UNICHAR(160)," ")),TRIM(SUBSTITUTE('worker file'!$A$2:$A$406,_xlfn.UNICHAR(160)," ")),'worker file'!$L$2:$L$406,"")="US Biweekly",$I$3,$I$2))</f>
        <v>46298</v>
      </c>
      <c r="E37" s="5" t="s">
        <v>574</v>
      </c>
      <c r="F37" s="5" t="s">
        <v>554</v>
      </c>
    </row>
    <row r="38" spans="1:6" ht="16" x14ac:dyDescent="0.2">
      <c r="A38" s="5" t="s">
        <v>129</v>
      </c>
      <c r="B38" s="5" t="s">
        <v>566</v>
      </c>
      <c r="C38" s="24">
        <v>31.75</v>
      </c>
      <c r="D38" s="22">
        <f t="array" ref="D38">IF(F38="n/a","—",IF(_xlfn.XLOOKUP(TRIM(SUBSTITUTE(A38,_xlfn.UNICHAR(160)," ")),TRIM(SUBSTITUTE('worker file'!$A$2:$A$406,_xlfn.UNICHAR(160)," ")),'worker file'!$L$2:$L$406,"")="US Biweekly",$I$3,$I$2))</f>
        <v>46298</v>
      </c>
      <c r="E38" s="5" t="s">
        <v>571</v>
      </c>
      <c r="F38" s="5" t="s">
        <v>554</v>
      </c>
    </row>
    <row r="39" spans="1:6" ht="16" x14ac:dyDescent="0.2">
      <c r="A39" s="5" t="s">
        <v>579</v>
      </c>
      <c r="B39" s="5" t="s">
        <v>573</v>
      </c>
      <c r="C39" s="24">
        <v>77.25</v>
      </c>
      <c r="D39" s="22">
        <f t="array" ref="D39">IF(F39="n/a","—",IF(_xlfn.XLOOKUP(TRIM(SUBSTITUTE(A39,_xlfn.UNICHAR(160)," ")),TRIM(SUBSTITUTE('worker file'!$A$2:$A$406,_xlfn.UNICHAR(160)," ")),'worker file'!$L$2:$L$406,"")="US Biweekly",$I$3,$I$2))</f>
        <v>46298</v>
      </c>
      <c r="E39" s="5" t="s">
        <v>574</v>
      </c>
      <c r="F39" s="5" t="s">
        <v>554</v>
      </c>
    </row>
    <row r="40" spans="1:6" ht="16" x14ac:dyDescent="0.2">
      <c r="A40" s="5" t="s">
        <v>579</v>
      </c>
      <c r="B40" s="5" t="s">
        <v>575</v>
      </c>
      <c r="C40" s="24">
        <v>28</v>
      </c>
      <c r="D40" s="22">
        <f t="array" ref="D40">IF(F40="n/a","—",IF(_xlfn.XLOOKUP(TRIM(SUBSTITUTE(A40,_xlfn.UNICHAR(160)," ")),TRIM(SUBSTITUTE('worker file'!$A$2:$A$406,_xlfn.UNICHAR(160)," ")),'worker file'!$L$2:$L$406,"")="US Biweekly",$I$3,$I$2))</f>
        <v>46298</v>
      </c>
      <c r="E40" s="5" t="s">
        <v>576</v>
      </c>
      <c r="F40" s="5" t="s">
        <v>554</v>
      </c>
    </row>
    <row r="41" spans="1:6" ht="16" x14ac:dyDescent="0.2">
      <c r="A41" s="5" t="s">
        <v>131</v>
      </c>
      <c r="B41" s="5" t="s">
        <v>573</v>
      </c>
      <c r="C41" s="24">
        <v>120</v>
      </c>
      <c r="D41" s="22">
        <f t="array" ref="D41">IF(F41="n/a","—",IF(_xlfn.XLOOKUP(TRIM(SUBSTITUTE(A41,_xlfn.UNICHAR(160)," ")),TRIM(SUBSTITUTE('worker file'!$A$2:$A$406,_xlfn.UNICHAR(160)," ")),'worker file'!$L$2:$L$406,"")="US Biweekly",$I$3,$I$2))</f>
        <v>46298</v>
      </c>
      <c r="E41" s="5" t="s">
        <v>580</v>
      </c>
      <c r="F41" s="5" t="s">
        <v>554</v>
      </c>
    </row>
    <row r="42" spans="1:6" ht="16" x14ac:dyDescent="0.2">
      <c r="A42" s="5" t="s">
        <v>131</v>
      </c>
      <c r="B42" s="5" t="s">
        <v>566</v>
      </c>
      <c r="C42" s="24">
        <v>35.5</v>
      </c>
      <c r="D42" s="22">
        <f t="array" ref="D42">IF(F42="n/a","—",IF(_xlfn.XLOOKUP(TRIM(SUBSTITUTE(A42,_xlfn.UNICHAR(160)," ")),TRIM(SUBSTITUTE('worker file'!$A$2:$A$406,_xlfn.UNICHAR(160)," ")),'worker file'!$L$2:$L$406,"")="US Biweekly",$I$3,$I$2))</f>
        <v>46298</v>
      </c>
      <c r="E42" s="5" t="s">
        <v>571</v>
      </c>
      <c r="F42" s="5" t="s">
        <v>554</v>
      </c>
    </row>
    <row r="43" spans="1:6" ht="16" x14ac:dyDescent="0.2">
      <c r="A43" s="5" t="s">
        <v>133</v>
      </c>
      <c r="B43" s="5" t="s">
        <v>568</v>
      </c>
      <c r="C43" s="21" t="s">
        <v>569</v>
      </c>
      <c r="D43" s="22" t="str">
        <f t="array" ref="D43">IF(F43="n/a","—",IF(_xlfn.XLOOKUP(TRIM(SUBSTITUTE(A43,_xlfn.UNICHAR(160)," ")),TRIM(SUBSTITUTE('worker file'!$A$2:$A$406,_xlfn.UNICHAR(160)," ")),'worker file'!$L$2:$L$406,"")="US Biweekly",$I$3,$I$2))</f>
        <v>—</v>
      </c>
      <c r="E43" s="5" t="s">
        <v>570</v>
      </c>
      <c r="F43" s="5" t="s">
        <v>550</v>
      </c>
    </row>
    <row r="44" spans="1:6" ht="16" x14ac:dyDescent="0.2">
      <c r="A44" s="5" t="s">
        <v>133</v>
      </c>
      <c r="B44" s="5" t="s">
        <v>566</v>
      </c>
      <c r="C44" s="24">
        <v>46.75</v>
      </c>
      <c r="D44" s="22">
        <f t="array" ref="D44">IF(F44="n/a","—",IF(_xlfn.XLOOKUP(TRIM(SUBSTITUTE(A44,_xlfn.UNICHAR(160)," ")),TRIM(SUBSTITUTE('worker file'!$A$2:$A$406,_xlfn.UNICHAR(160)," ")),'worker file'!$L$2:$L$406,"")="US Biweekly",$I$3,$I$2))</f>
        <v>46295</v>
      </c>
      <c r="E44" s="5" t="s">
        <v>571</v>
      </c>
      <c r="F44" s="5" t="s">
        <v>554</v>
      </c>
    </row>
    <row r="45" spans="1:6" ht="16" x14ac:dyDescent="0.2">
      <c r="A45" s="5" t="s">
        <v>134</v>
      </c>
      <c r="B45" s="5" t="s">
        <v>573</v>
      </c>
      <c r="C45" s="24">
        <v>120</v>
      </c>
      <c r="D45" s="22">
        <f t="array" ref="D45">IF(F45="n/a","—",IF(_xlfn.XLOOKUP(TRIM(SUBSTITUTE(A45,_xlfn.UNICHAR(160)," ")),TRIM(SUBSTITUTE('worker file'!$A$2:$A$406,_xlfn.UNICHAR(160)," ")),'worker file'!$L$2:$L$406,"")="US Biweekly",$I$3,$I$2))</f>
        <v>46298</v>
      </c>
      <c r="E45" s="5" t="s">
        <v>574</v>
      </c>
      <c r="F45" s="5" t="s">
        <v>554</v>
      </c>
    </row>
    <row r="46" spans="1:6" ht="16" x14ac:dyDescent="0.2">
      <c r="A46" s="5" t="s">
        <v>134</v>
      </c>
      <c r="B46" s="5" t="s">
        <v>566</v>
      </c>
      <c r="C46" s="24">
        <v>46.5</v>
      </c>
      <c r="D46" s="22">
        <f t="array" ref="D46">IF(F46="n/a","—",IF(_xlfn.XLOOKUP(TRIM(SUBSTITUTE(A46,_xlfn.UNICHAR(160)," ")),TRIM(SUBSTITUTE('worker file'!$A$2:$A$406,_xlfn.UNICHAR(160)," ")),'worker file'!$L$2:$L$406,"")="US Biweekly",$I$3,$I$2))</f>
        <v>46298</v>
      </c>
      <c r="E46" s="5" t="s">
        <v>571</v>
      </c>
      <c r="F46" s="5" t="s">
        <v>554</v>
      </c>
    </row>
    <row r="47" spans="1:6" ht="16" x14ac:dyDescent="0.2">
      <c r="A47" s="5" t="s">
        <v>135</v>
      </c>
      <c r="B47" s="5" t="s">
        <v>568</v>
      </c>
      <c r="C47" s="21" t="s">
        <v>569</v>
      </c>
      <c r="D47" s="22" t="str">
        <f t="array" ref="D47">IF(F47="n/a","—",IF(_xlfn.XLOOKUP(TRIM(SUBSTITUTE(A47,_xlfn.UNICHAR(160)," ")),TRIM(SUBSTITUTE('worker file'!$A$2:$A$406,_xlfn.UNICHAR(160)," ")),'worker file'!$L$2:$L$406,"")="US Biweekly",$I$3,$I$2))</f>
        <v>—</v>
      </c>
      <c r="E47" s="5" t="s">
        <v>570</v>
      </c>
      <c r="F47" s="5" t="s">
        <v>550</v>
      </c>
    </row>
    <row r="48" spans="1:6" ht="16" x14ac:dyDescent="0.2">
      <c r="A48" s="5" t="s">
        <v>135</v>
      </c>
      <c r="B48" s="5" t="s">
        <v>566</v>
      </c>
      <c r="C48" s="24">
        <v>65.75</v>
      </c>
      <c r="D48" s="22">
        <f t="array" ref="D48">IF(F48="n/a","—",IF(_xlfn.XLOOKUP(TRIM(SUBSTITUTE(A48,_xlfn.UNICHAR(160)," ")),TRIM(SUBSTITUTE('worker file'!$A$2:$A$406,_xlfn.UNICHAR(160)," ")),'worker file'!$L$2:$L$406,"")="US Biweekly",$I$3,$I$2))</f>
        <v>46295</v>
      </c>
      <c r="E48" s="5" t="s">
        <v>571</v>
      </c>
      <c r="F48" s="5" t="s">
        <v>554</v>
      </c>
    </row>
    <row r="49" spans="1:6" ht="16" x14ac:dyDescent="0.2">
      <c r="A49" s="5" t="s">
        <v>136</v>
      </c>
      <c r="B49" s="5" t="s">
        <v>568</v>
      </c>
      <c r="C49" s="21" t="s">
        <v>569</v>
      </c>
      <c r="D49" s="22" t="str">
        <f t="array" ref="D49">IF(F49="n/a","—",IF(_xlfn.XLOOKUP(TRIM(SUBSTITUTE(A49,_xlfn.UNICHAR(160)," ")),TRIM(SUBSTITUTE('worker file'!$A$2:$A$406,_xlfn.UNICHAR(160)," ")),'worker file'!$L$2:$L$406,"")="US Biweekly",$I$3,$I$2))</f>
        <v>—</v>
      </c>
      <c r="E49" s="5" t="s">
        <v>570</v>
      </c>
      <c r="F49" s="5" t="s">
        <v>550</v>
      </c>
    </row>
    <row r="50" spans="1:6" ht="16" x14ac:dyDescent="0.2">
      <c r="A50" s="5" t="s">
        <v>136</v>
      </c>
      <c r="B50" s="5" t="s">
        <v>566</v>
      </c>
      <c r="C50" s="24">
        <v>28.75</v>
      </c>
      <c r="D50" s="22">
        <f t="array" ref="D50">IF(F50="n/a","—",IF(_xlfn.XLOOKUP(TRIM(SUBSTITUTE(A50,_xlfn.UNICHAR(160)," ")),TRIM(SUBSTITUTE('worker file'!$A$2:$A$406,_xlfn.UNICHAR(160)," ")),'worker file'!$L$2:$L$406,"")="US Biweekly",$I$3,$I$2))</f>
        <v>46295</v>
      </c>
      <c r="E50" s="5" t="s">
        <v>571</v>
      </c>
      <c r="F50" s="5" t="s">
        <v>554</v>
      </c>
    </row>
    <row r="51" spans="1:6" ht="16" x14ac:dyDescent="0.2">
      <c r="A51" s="5" t="s">
        <v>137</v>
      </c>
      <c r="B51" s="5" t="s">
        <v>573</v>
      </c>
      <c r="C51" s="24">
        <v>120</v>
      </c>
      <c r="D51" s="22">
        <f t="array" ref="D51">IF(F51="n/a","—",IF(_xlfn.XLOOKUP(TRIM(SUBSTITUTE(A51,_xlfn.UNICHAR(160)," ")),TRIM(SUBSTITUTE('worker file'!$A$2:$A$406,_xlfn.UNICHAR(160)," ")),'worker file'!$L$2:$L$406,"")="US Biweekly",$I$3,$I$2))</f>
        <v>46298</v>
      </c>
      <c r="E51" s="5" t="s">
        <v>581</v>
      </c>
      <c r="F51" s="5" t="s">
        <v>554</v>
      </c>
    </row>
    <row r="52" spans="1:6" ht="16" x14ac:dyDescent="0.2">
      <c r="A52" s="5" t="s">
        <v>137</v>
      </c>
      <c r="B52" s="5" t="s">
        <v>566</v>
      </c>
      <c r="C52" s="24">
        <v>11</v>
      </c>
      <c r="D52" s="22">
        <f t="array" ref="D52">IF(F52="n/a","—",IF(_xlfn.XLOOKUP(TRIM(SUBSTITUTE(A52,_xlfn.UNICHAR(160)," ")),TRIM(SUBSTITUTE('worker file'!$A$2:$A$406,_xlfn.UNICHAR(160)," ")),'worker file'!$L$2:$L$406,"")="US Biweekly",$I$3,$I$2))</f>
        <v>46298</v>
      </c>
      <c r="E52" s="5" t="s">
        <v>571</v>
      </c>
      <c r="F52" s="5" t="s">
        <v>554</v>
      </c>
    </row>
    <row r="53" spans="1:6" ht="16" x14ac:dyDescent="0.2">
      <c r="A53" s="5" t="s">
        <v>139</v>
      </c>
      <c r="B53" s="5" t="s">
        <v>573</v>
      </c>
      <c r="C53" s="24">
        <v>74.5</v>
      </c>
      <c r="D53" s="22">
        <f t="array" ref="D53">IF(F53="n/a","—",IF(_xlfn.XLOOKUP(TRIM(SUBSTITUTE(A53,_xlfn.UNICHAR(160)," ")),TRIM(SUBSTITUTE('worker file'!$A$2:$A$406,_xlfn.UNICHAR(160)," ")),'worker file'!$L$2:$L$406,"")="US Biweekly",$I$3,$I$2))</f>
        <v>46298</v>
      </c>
      <c r="E53" s="5" t="s">
        <v>581</v>
      </c>
      <c r="F53" s="5" t="s">
        <v>554</v>
      </c>
    </row>
    <row r="54" spans="1:6" ht="16" x14ac:dyDescent="0.2">
      <c r="A54" s="5" t="s">
        <v>139</v>
      </c>
      <c r="B54" s="5" t="s">
        <v>566</v>
      </c>
      <c r="C54" s="24">
        <v>0</v>
      </c>
      <c r="D54" s="22">
        <f t="array" ref="D54">IF(F54="n/a","—",IF(_xlfn.XLOOKUP(TRIM(SUBSTITUTE(A54,_xlfn.UNICHAR(160)," ")),TRIM(SUBSTITUTE('worker file'!$A$2:$A$406,_xlfn.UNICHAR(160)," ")),'worker file'!$L$2:$L$406,"")="US Biweekly",$I$3,$I$2))</f>
        <v>46298</v>
      </c>
      <c r="E54" s="5" t="s">
        <v>571</v>
      </c>
      <c r="F54" s="5" t="s">
        <v>554</v>
      </c>
    </row>
    <row r="55" spans="1:6" ht="16" x14ac:dyDescent="0.2">
      <c r="A55" s="5" t="s">
        <v>143</v>
      </c>
      <c r="B55" s="5" t="s">
        <v>568</v>
      </c>
      <c r="C55" s="21" t="s">
        <v>569</v>
      </c>
      <c r="D55" s="22" t="str">
        <f t="array" ref="D55">IF(F55="n/a","—",IF(_xlfn.XLOOKUP(TRIM(SUBSTITUTE(A55,_xlfn.UNICHAR(160)," ")),TRIM(SUBSTITUTE('worker file'!$A$2:$A$406,_xlfn.UNICHAR(160)," ")),'worker file'!$L$2:$L$406,"")="US Biweekly",$I$3,$I$2))</f>
        <v>—</v>
      </c>
      <c r="E55" s="5" t="s">
        <v>570</v>
      </c>
      <c r="F55" s="5" t="s">
        <v>550</v>
      </c>
    </row>
    <row r="56" spans="1:6" ht="16" x14ac:dyDescent="0.2">
      <c r="A56" s="5" t="s">
        <v>143</v>
      </c>
      <c r="B56" s="5" t="s">
        <v>566</v>
      </c>
      <c r="C56" s="24">
        <v>33.5</v>
      </c>
      <c r="D56" s="22">
        <f t="array" ref="D56">IF(F56="n/a","—",IF(_xlfn.XLOOKUP(TRIM(SUBSTITUTE(A56,_xlfn.UNICHAR(160)," ")),TRIM(SUBSTITUTE('worker file'!$A$2:$A$406,_xlfn.UNICHAR(160)," ")),'worker file'!$L$2:$L$406,"")="US Biweekly",$I$3,$I$2))</f>
        <v>46295</v>
      </c>
      <c r="E56" s="5" t="s">
        <v>571</v>
      </c>
      <c r="F56" s="5" t="s">
        <v>554</v>
      </c>
    </row>
    <row r="57" spans="1:6" ht="16" x14ac:dyDescent="0.2">
      <c r="A57" s="5" t="s">
        <v>144</v>
      </c>
      <c r="B57" s="5" t="s">
        <v>568</v>
      </c>
      <c r="C57" s="21" t="s">
        <v>569</v>
      </c>
      <c r="D57" s="22" t="str">
        <f t="array" ref="D57">IF(F57="n/a","—",IF(_xlfn.XLOOKUP(TRIM(SUBSTITUTE(A57,_xlfn.UNICHAR(160)," ")),TRIM(SUBSTITUTE('worker file'!$A$2:$A$406,_xlfn.UNICHAR(160)," ")),'worker file'!$L$2:$L$406,"")="US Biweekly",$I$3,$I$2))</f>
        <v>—</v>
      </c>
      <c r="E57" s="5" t="s">
        <v>570</v>
      </c>
      <c r="F57" s="5" t="s">
        <v>550</v>
      </c>
    </row>
    <row r="58" spans="1:6" ht="16" x14ac:dyDescent="0.2">
      <c r="A58" s="5" t="s">
        <v>144</v>
      </c>
      <c r="B58" s="5" t="s">
        <v>566</v>
      </c>
      <c r="C58" s="24">
        <v>25.5</v>
      </c>
      <c r="D58" s="22">
        <f t="array" ref="D58">IF(F58="n/a","—",IF(_xlfn.XLOOKUP(TRIM(SUBSTITUTE(A58,_xlfn.UNICHAR(160)," ")),TRIM(SUBSTITUTE('worker file'!$A$2:$A$406,_xlfn.UNICHAR(160)," ")),'worker file'!$L$2:$L$406,"")="US Biweekly",$I$3,$I$2))</f>
        <v>46295</v>
      </c>
      <c r="E58" s="5" t="s">
        <v>571</v>
      </c>
      <c r="F58" s="5" t="s">
        <v>554</v>
      </c>
    </row>
    <row r="59" spans="1:6" ht="16" x14ac:dyDescent="0.2">
      <c r="A59" s="5" t="s">
        <v>145</v>
      </c>
      <c r="B59" s="5" t="s">
        <v>568</v>
      </c>
      <c r="C59" s="21" t="s">
        <v>569</v>
      </c>
      <c r="D59" s="22" t="str">
        <f t="array" ref="D59">IF(F59="n/a","—",IF(_xlfn.XLOOKUP(TRIM(SUBSTITUTE(A59,_xlfn.UNICHAR(160)," ")),TRIM(SUBSTITUTE('worker file'!$A$2:$A$406,_xlfn.UNICHAR(160)," ")),'worker file'!$L$2:$L$406,"")="US Biweekly",$I$3,$I$2))</f>
        <v>—</v>
      </c>
      <c r="E59" s="5" t="s">
        <v>570</v>
      </c>
      <c r="F59" s="5" t="s">
        <v>550</v>
      </c>
    </row>
    <row r="60" spans="1:6" ht="16" x14ac:dyDescent="0.2">
      <c r="A60" s="5" t="s">
        <v>146</v>
      </c>
      <c r="B60" s="5" t="s">
        <v>568</v>
      </c>
      <c r="C60" s="21" t="s">
        <v>569</v>
      </c>
      <c r="D60" s="22" t="str">
        <f t="array" ref="D60">IF(F60="n/a","—",IF(_xlfn.XLOOKUP(TRIM(SUBSTITUTE(A60,_xlfn.UNICHAR(160)," ")),TRIM(SUBSTITUTE('worker file'!$A$2:$A$406,_xlfn.UNICHAR(160)," ")),'worker file'!$L$2:$L$406,"")="US Biweekly",$I$3,$I$2))</f>
        <v>—</v>
      </c>
      <c r="E60" s="5" t="s">
        <v>570</v>
      </c>
      <c r="F60" s="5" t="s">
        <v>550</v>
      </c>
    </row>
    <row r="61" spans="1:6" ht="16" x14ac:dyDescent="0.2">
      <c r="A61" s="5" t="s">
        <v>147</v>
      </c>
      <c r="B61" s="5" t="s">
        <v>573</v>
      </c>
      <c r="C61" s="24">
        <v>93.75</v>
      </c>
      <c r="D61" s="22">
        <f t="array" ref="D61">IF(F61="n/a","—",IF(_xlfn.XLOOKUP(TRIM(SUBSTITUTE(A61,_xlfn.UNICHAR(160)," ")),TRIM(SUBSTITUTE('worker file'!$A$2:$A$406,_xlfn.UNICHAR(160)," ")),'worker file'!$L$2:$L$406,"")="US Biweekly",$I$3,$I$2))</f>
        <v>46298</v>
      </c>
      <c r="E61" s="5" t="s">
        <v>574</v>
      </c>
      <c r="F61" s="5" t="s">
        <v>554</v>
      </c>
    </row>
    <row r="62" spans="1:6" ht="16" x14ac:dyDescent="0.2">
      <c r="A62" s="5" t="s">
        <v>147</v>
      </c>
      <c r="B62" s="5" t="s">
        <v>566</v>
      </c>
      <c r="C62" s="24">
        <v>28.5</v>
      </c>
      <c r="D62" s="22">
        <f t="array" ref="D62">IF(F62="n/a","—",IF(_xlfn.XLOOKUP(TRIM(SUBSTITUTE(A62,_xlfn.UNICHAR(160)," ")),TRIM(SUBSTITUTE('worker file'!$A$2:$A$406,_xlfn.UNICHAR(160)," ")),'worker file'!$L$2:$L$406,"")="US Biweekly",$I$3,$I$2))</f>
        <v>46298</v>
      </c>
      <c r="E62" s="5" t="s">
        <v>571</v>
      </c>
      <c r="F62" s="5" t="s">
        <v>554</v>
      </c>
    </row>
    <row r="63" spans="1:6" ht="16" x14ac:dyDescent="0.2">
      <c r="A63" s="5" t="s">
        <v>148</v>
      </c>
      <c r="B63" s="5" t="s">
        <v>568</v>
      </c>
      <c r="C63" s="21" t="s">
        <v>569</v>
      </c>
      <c r="D63" s="22" t="str">
        <f t="array" ref="D63">IF(F63="n/a","—",IF(_xlfn.XLOOKUP(TRIM(SUBSTITUTE(A63,_xlfn.UNICHAR(160)," ")),TRIM(SUBSTITUTE('worker file'!$A$2:$A$406,_xlfn.UNICHAR(160)," ")),'worker file'!$L$2:$L$406,"")="US Biweekly",$I$3,$I$2))</f>
        <v>—</v>
      </c>
      <c r="E63" s="5" t="s">
        <v>570</v>
      </c>
      <c r="F63" s="5" t="s">
        <v>550</v>
      </c>
    </row>
    <row r="64" spans="1:6" ht="16" x14ac:dyDescent="0.2">
      <c r="A64" s="5" t="s">
        <v>148</v>
      </c>
      <c r="B64" s="5" t="s">
        <v>566</v>
      </c>
      <c r="C64" s="24">
        <v>54.75</v>
      </c>
      <c r="D64" s="22">
        <f t="array" ref="D64">IF(F64="n/a","—",IF(_xlfn.XLOOKUP(TRIM(SUBSTITUTE(A64,_xlfn.UNICHAR(160)," ")),TRIM(SUBSTITUTE('worker file'!$A$2:$A$406,_xlfn.UNICHAR(160)," ")),'worker file'!$L$2:$L$406,"")="US Biweekly",$I$3,$I$2))</f>
        <v>46295</v>
      </c>
      <c r="E64" s="5" t="s">
        <v>571</v>
      </c>
      <c r="F64" s="5" t="s">
        <v>554</v>
      </c>
    </row>
    <row r="65" spans="1:6" ht="16" x14ac:dyDescent="0.2">
      <c r="A65" s="5" t="s">
        <v>150</v>
      </c>
      <c r="B65" s="5" t="s">
        <v>573</v>
      </c>
      <c r="C65" s="24">
        <v>120</v>
      </c>
      <c r="D65" s="22">
        <f t="array" ref="D65">IF(F65="n/a","—",IF(_xlfn.XLOOKUP(TRIM(SUBSTITUTE(A65,_xlfn.UNICHAR(160)," ")),TRIM(SUBSTITUTE('worker file'!$A$2:$A$406,_xlfn.UNICHAR(160)," ")),'worker file'!$L$2:$L$406,"")="US Biweekly",$I$3,$I$2))</f>
        <v>46298</v>
      </c>
      <c r="E65" s="5" t="s">
        <v>574</v>
      </c>
      <c r="F65" s="5" t="s">
        <v>554</v>
      </c>
    </row>
    <row r="66" spans="1:6" ht="16" x14ac:dyDescent="0.2">
      <c r="A66" s="5" t="s">
        <v>150</v>
      </c>
      <c r="B66" s="5" t="s">
        <v>575</v>
      </c>
      <c r="C66" s="24">
        <v>14</v>
      </c>
      <c r="D66" s="22">
        <f t="array" ref="D66">IF(F66="n/a","—",IF(_xlfn.XLOOKUP(TRIM(SUBSTITUTE(A66,_xlfn.UNICHAR(160)," ")),TRIM(SUBSTITUTE('worker file'!$A$2:$A$406,_xlfn.UNICHAR(160)," ")),'worker file'!$L$2:$L$406,"")="US Biweekly",$I$3,$I$2))</f>
        <v>46298</v>
      </c>
      <c r="E66" s="5" t="s">
        <v>576</v>
      </c>
      <c r="F66" s="5" t="s">
        <v>554</v>
      </c>
    </row>
    <row r="67" spans="1:6" ht="16" x14ac:dyDescent="0.2">
      <c r="A67" s="5" t="s">
        <v>152</v>
      </c>
      <c r="B67" s="5" t="s">
        <v>568</v>
      </c>
      <c r="C67" s="21" t="s">
        <v>569</v>
      </c>
      <c r="D67" s="22" t="str">
        <f t="array" ref="D67">IF(F67="n/a","—",IF(_xlfn.XLOOKUP(TRIM(SUBSTITUTE(A67,_xlfn.UNICHAR(160)," ")),TRIM(SUBSTITUTE('worker file'!$A$2:$A$406,_xlfn.UNICHAR(160)," ")),'worker file'!$L$2:$L$406,"")="US Biweekly",$I$3,$I$2))</f>
        <v>—</v>
      </c>
      <c r="E67" s="5" t="s">
        <v>570</v>
      </c>
      <c r="F67" s="5" t="s">
        <v>550</v>
      </c>
    </row>
    <row r="68" spans="1:6" ht="16" x14ac:dyDescent="0.2">
      <c r="A68" s="5" t="s">
        <v>152</v>
      </c>
      <c r="B68" s="5" t="s">
        <v>566</v>
      </c>
      <c r="C68" s="24">
        <v>67.25</v>
      </c>
      <c r="D68" s="22">
        <f t="array" ref="D68">IF(F68="n/a","—",IF(_xlfn.XLOOKUP(TRIM(SUBSTITUTE(A68,_xlfn.UNICHAR(160)," ")),TRIM(SUBSTITUTE('worker file'!$A$2:$A$406,_xlfn.UNICHAR(160)," ")),'worker file'!$L$2:$L$406,"")="US Biweekly",$I$3,$I$2))</f>
        <v>46295</v>
      </c>
      <c r="E68" s="5" t="s">
        <v>571</v>
      </c>
      <c r="F68" s="5" t="s">
        <v>554</v>
      </c>
    </row>
    <row r="69" spans="1:6" ht="16" x14ac:dyDescent="0.2">
      <c r="A69" s="5" t="s">
        <v>153</v>
      </c>
      <c r="B69" s="5" t="s">
        <v>568</v>
      </c>
      <c r="C69" s="21" t="s">
        <v>569</v>
      </c>
      <c r="D69" s="22" t="str">
        <f t="array" ref="D69">IF(F69="n/a","—",IF(_xlfn.XLOOKUP(TRIM(SUBSTITUTE(A69,_xlfn.UNICHAR(160)," ")),TRIM(SUBSTITUTE('worker file'!$A$2:$A$406,_xlfn.UNICHAR(160)," ")),'worker file'!$L$2:$L$406,"")="US Biweekly",$I$3,$I$2))</f>
        <v>—</v>
      </c>
      <c r="E69" s="5" t="s">
        <v>570</v>
      </c>
      <c r="F69" s="5" t="s">
        <v>550</v>
      </c>
    </row>
    <row r="70" spans="1:6" ht="16" x14ac:dyDescent="0.2">
      <c r="A70" s="5" t="s">
        <v>153</v>
      </c>
      <c r="B70" s="5" t="s">
        <v>582</v>
      </c>
      <c r="C70" s="24">
        <v>23.5</v>
      </c>
      <c r="D70" s="22">
        <f t="array" ref="D70">IF(F70="n/a","—",IF(_xlfn.XLOOKUP(TRIM(SUBSTITUTE(A70,_xlfn.UNICHAR(160)," ")),TRIM(SUBSTITUTE('worker file'!$A$2:$A$406,_xlfn.UNICHAR(160)," ")),'worker file'!$L$2:$L$406,"")="US Biweekly",$I$3,$I$2))</f>
        <v>46295</v>
      </c>
      <c r="E70" s="5" t="s">
        <v>583</v>
      </c>
      <c r="F70" s="5" t="s">
        <v>554</v>
      </c>
    </row>
    <row r="71" spans="1:6" ht="16" x14ac:dyDescent="0.2">
      <c r="A71" s="5" t="s">
        <v>155</v>
      </c>
      <c r="B71" s="5" t="s">
        <v>568</v>
      </c>
      <c r="C71" s="21" t="s">
        <v>569</v>
      </c>
      <c r="D71" s="22" t="str">
        <f t="array" ref="D71">IF(F71="n/a","—",IF(_xlfn.XLOOKUP(TRIM(SUBSTITUTE(A71,_xlfn.UNICHAR(160)," ")),TRIM(SUBSTITUTE('worker file'!$A$2:$A$406,_xlfn.UNICHAR(160)," ")),'worker file'!$L$2:$L$406,"")="US Biweekly",$I$3,$I$2))</f>
        <v>—</v>
      </c>
      <c r="E71" s="5" t="s">
        <v>570</v>
      </c>
      <c r="F71" s="5" t="s">
        <v>550</v>
      </c>
    </row>
    <row r="72" spans="1:6" ht="16" x14ac:dyDescent="0.2">
      <c r="A72" s="5" t="s">
        <v>157</v>
      </c>
      <c r="B72" s="5" t="s">
        <v>573</v>
      </c>
      <c r="C72" s="24">
        <v>120</v>
      </c>
      <c r="D72" s="22">
        <f t="array" ref="D72">IF(F72="n/a","—",IF(_xlfn.XLOOKUP(TRIM(SUBSTITUTE(A72,_xlfn.UNICHAR(160)," ")),TRIM(SUBSTITUTE('worker file'!$A$2:$A$406,_xlfn.UNICHAR(160)," ")),'worker file'!$L$2:$L$406,"")="US Biweekly",$I$3,$I$2))</f>
        <v>46298</v>
      </c>
      <c r="E72" s="5" t="s">
        <v>574</v>
      </c>
      <c r="F72" s="5" t="s">
        <v>554</v>
      </c>
    </row>
    <row r="73" spans="1:6" ht="16" x14ac:dyDescent="0.2">
      <c r="A73" s="5" t="s">
        <v>157</v>
      </c>
      <c r="B73" s="5" t="s">
        <v>566</v>
      </c>
      <c r="C73" s="24">
        <v>39.75</v>
      </c>
      <c r="D73" s="22">
        <f t="array" ref="D73">IF(F73="n/a","—",IF(_xlfn.XLOOKUP(TRIM(SUBSTITUTE(A73,_xlfn.UNICHAR(160)," ")),TRIM(SUBSTITUTE('worker file'!$A$2:$A$406,_xlfn.UNICHAR(160)," ")),'worker file'!$L$2:$L$406,"")="US Biweekly",$I$3,$I$2))</f>
        <v>46298</v>
      </c>
      <c r="E73" s="5" t="s">
        <v>571</v>
      </c>
      <c r="F73" s="5" t="s">
        <v>554</v>
      </c>
    </row>
    <row r="74" spans="1:6" ht="16" x14ac:dyDescent="0.2">
      <c r="A74" s="5" t="s">
        <v>158</v>
      </c>
      <c r="B74" s="5" t="s">
        <v>568</v>
      </c>
      <c r="C74" s="21" t="s">
        <v>569</v>
      </c>
      <c r="D74" s="22" t="str">
        <f t="array" ref="D74">IF(F74="n/a","—",IF(_xlfn.XLOOKUP(TRIM(SUBSTITUTE(A74,_xlfn.UNICHAR(160)," ")),TRIM(SUBSTITUTE('worker file'!$A$2:$A$406,_xlfn.UNICHAR(160)," ")),'worker file'!$L$2:$L$406,"")="US Biweekly",$I$3,$I$2))</f>
        <v>—</v>
      </c>
      <c r="E74" s="5" t="s">
        <v>570</v>
      </c>
      <c r="F74" s="5" t="s">
        <v>550</v>
      </c>
    </row>
    <row r="75" spans="1:6" ht="16" x14ac:dyDescent="0.2">
      <c r="A75" s="5" t="s">
        <v>158</v>
      </c>
      <c r="B75" s="5" t="s">
        <v>582</v>
      </c>
      <c r="C75" s="24">
        <v>36.5</v>
      </c>
      <c r="D75" s="22">
        <f t="array" ref="D75">IF(F75="n/a","—",IF(_xlfn.XLOOKUP(TRIM(SUBSTITUTE(A75,_xlfn.UNICHAR(160)," ")),TRIM(SUBSTITUTE('worker file'!$A$2:$A$406,_xlfn.UNICHAR(160)," ")),'worker file'!$L$2:$L$406,"")="US Biweekly",$I$3,$I$2))</f>
        <v>46295</v>
      </c>
      <c r="E75" s="5" t="s">
        <v>583</v>
      </c>
      <c r="F75" s="5" t="s">
        <v>554</v>
      </c>
    </row>
    <row r="76" spans="1:6" ht="16" x14ac:dyDescent="0.2">
      <c r="A76" s="5" t="s">
        <v>159</v>
      </c>
      <c r="B76" s="5" t="s">
        <v>568</v>
      </c>
      <c r="C76" s="21" t="s">
        <v>569</v>
      </c>
      <c r="D76" s="22" t="str">
        <f t="array" ref="D76">IF(F76="n/a","—",IF(_xlfn.XLOOKUP(TRIM(SUBSTITUTE(A76,_xlfn.UNICHAR(160)," ")),TRIM(SUBSTITUTE('worker file'!$A$2:$A$406,_xlfn.UNICHAR(160)," ")),'worker file'!$L$2:$L$406,"")="US Biweekly",$I$3,$I$2))</f>
        <v>—</v>
      </c>
      <c r="E76" s="5" t="s">
        <v>570</v>
      </c>
      <c r="F76" s="5" t="s">
        <v>550</v>
      </c>
    </row>
    <row r="77" spans="1:6" ht="16" x14ac:dyDescent="0.2">
      <c r="A77" s="5" t="s">
        <v>159</v>
      </c>
      <c r="B77" s="5" t="s">
        <v>566</v>
      </c>
      <c r="C77" s="24">
        <v>65</v>
      </c>
      <c r="D77" s="22">
        <f t="array" ref="D77">IF(F77="n/a","—",IF(_xlfn.XLOOKUP(TRIM(SUBSTITUTE(A77,_xlfn.UNICHAR(160)," ")),TRIM(SUBSTITUTE('worker file'!$A$2:$A$406,_xlfn.UNICHAR(160)," ")),'worker file'!$L$2:$L$406,"")="US Biweekly",$I$3,$I$2))</f>
        <v>46295</v>
      </c>
      <c r="E77" s="5" t="s">
        <v>571</v>
      </c>
      <c r="F77" s="5" t="s">
        <v>554</v>
      </c>
    </row>
    <row r="78" spans="1:6" ht="16" x14ac:dyDescent="0.2">
      <c r="A78" s="5" t="s">
        <v>160</v>
      </c>
      <c r="B78" s="5" t="s">
        <v>568</v>
      </c>
      <c r="C78" s="21" t="s">
        <v>569</v>
      </c>
      <c r="D78" s="22" t="str">
        <f t="array" ref="D78">IF(F78="n/a","—",IF(_xlfn.XLOOKUP(TRIM(SUBSTITUTE(A78,_xlfn.UNICHAR(160)," ")),TRIM(SUBSTITUTE('worker file'!$A$2:$A$406,_xlfn.UNICHAR(160)," ")),'worker file'!$L$2:$L$406,"")="US Biweekly",$I$3,$I$2))</f>
        <v>—</v>
      </c>
      <c r="E78" s="5" t="s">
        <v>570</v>
      </c>
      <c r="F78" s="5" t="s">
        <v>550</v>
      </c>
    </row>
    <row r="79" spans="1:6" ht="16" x14ac:dyDescent="0.2">
      <c r="A79" s="5" t="s">
        <v>160</v>
      </c>
      <c r="B79" s="5" t="s">
        <v>566</v>
      </c>
      <c r="C79" s="24">
        <v>79</v>
      </c>
      <c r="D79" s="22">
        <f t="array" ref="D79">IF(F79="n/a","—",IF(_xlfn.XLOOKUP(TRIM(SUBSTITUTE(A79,_xlfn.UNICHAR(160)," ")),TRIM(SUBSTITUTE('worker file'!$A$2:$A$406,_xlfn.UNICHAR(160)," ")),'worker file'!$L$2:$L$406,"")="US Biweekly",$I$3,$I$2))</f>
        <v>46295</v>
      </c>
      <c r="E79" s="5" t="s">
        <v>571</v>
      </c>
      <c r="F79" s="5" t="s">
        <v>554</v>
      </c>
    </row>
    <row r="80" spans="1:6" ht="16" x14ac:dyDescent="0.2">
      <c r="A80" s="5" t="s">
        <v>161</v>
      </c>
      <c r="B80" s="5" t="s">
        <v>568</v>
      </c>
      <c r="C80" s="21" t="s">
        <v>569</v>
      </c>
      <c r="D80" s="22" t="str">
        <f t="array" ref="D80">IF(F80="n/a","—",IF(_xlfn.XLOOKUP(TRIM(SUBSTITUTE(A80,_xlfn.UNICHAR(160)," ")),TRIM(SUBSTITUTE('worker file'!$A$2:$A$406,_xlfn.UNICHAR(160)," ")),'worker file'!$L$2:$L$406,"")="US Biweekly",$I$3,$I$2))</f>
        <v>—</v>
      </c>
      <c r="E80" s="5" t="s">
        <v>570</v>
      </c>
      <c r="F80" s="5" t="s">
        <v>550</v>
      </c>
    </row>
    <row r="81" spans="1:6" ht="16" x14ac:dyDescent="0.2">
      <c r="A81" s="5" t="s">
        <v>161</v>
      </c>
      <c r="B81" s="5" t="s">
        <v>566</v>
      </c>
      <c r="C81" s="24">
        <v>31.25</v>
      </c>
      <c r="D81" s="22">
        <f t="array" ref="D81">IF(F81="n/a","—",IF(_xlfn.XLOOKUP(TRIM(SUBSTITUTE(A81,_xlfn.UNICHAR(160)," ")),TRIM(SUBSTITUTE('worker file'!$A$2:$A$406,_xlfn.UNICHAR(160)," ")),'worker file'!$L$2:$L$406,"")="US Biweekly",$I$3,$I$2))</f>
        <v>46295</v>
      </c>
      <c r="E81" s="5" t="s">
        <v>571</v>
      </c>
      <c r="F81" s="5" t="s">
        <v>554</v>
      </c>
    </row>
    <row r="82" spans="1:6" ht="16" x14ac:dyDescent="0.2">
      <c r="A82" s="5" t="s">
        <v>162</v>
      </c>
      <c r="B82" s="5" t="s">
        <v>568</v>
      </c>
      <c r="C82" s="21" t="s">
        <v>569</v>
      </c>
      <c r="D82" s="22" t="str">
        <f t="array" ref="D82">IF(F82="n/a","—",IF(_xlfn.XLOOKUP(TRIM(SUBSTITUTE(A82,_xlfn.UNICHAR(160)," ")),TRIM(SUBSTITUTE('worker file'!$A$2:$A$406,_xlfn.UNICHAR(160)," ")),'worker file'!$L$2:$L$406,"")="US Biweekly",$I$3,$I$2))</f>
        <v>—</v>
      </c>
      <c r="E82" s="5" t="s">
        <v>570</v>
      </c>
      <c r="F82" s="5" t="s">
        <v>550</v>
      </c>
    </row>
    <row r="83" spans="1:6" ht="16" x14ac:dyDescent="0.2">
      <c r="A83" s="5" t="s">
        <v>162</v>
      </c>
      <c r="B83" s="5" t="s">
        <v>582</v>
      </c>
      <c r="C83" s="24">
        <v>36.5</v>
      </c>
      <c r="D83" s="22">
        <f t="array" ref="D83">IF(F83="n/a","—",IF(_xlfn.XLOOKUP(TRIM(SUBSTITUTE(A83,_xlfn.UNICHAR(160)," ")),TRIM(SUBSTITUTE('worker file'!$A$2:$A$406,_xlfn.UNICHAR(160)," ")),'worker file'!$L$2:$L$406,"")="US Biweekly",$I$3,$I$2))</f>
        <v>46295</v>
      </c>
      <c r="E83" s="5" t="s">
        <v>583</v>
      </c>
      <c r="F83" s="5" t="s">
        <v>554</v>
      </c>
    </row>
    <row r="84" spans="1:6" ht="16" x14ac:dyDescent="0.2">
      <c r="A84" s="5" t="s">
        <v>164</v>
      </c>
      <c r="B84" s="5" t="s">
        <v>568</v>
      </c>
      <c r="C84" s="21" t="s">
        <v>569</v>
      </c>
      <c r="D84" s="22" t="str">
        <f t="array" ref="D84">IF(F84="n/a","—",IF(_xlfn.XLOOKUP(TRIM(SUBSTITUTE(A84,_xlfn.UNICHAR(160)," ")),TRIM(SUBSTITUTE('worker file'!$A$2:$A$406,_xlfn.UNICHAR(160)," ")),'worker file'!$L$2:$L$406,"")="US Biweekly",$I$3,$I$2))</f>
        <v>—</v>
      </c>
      <c r="E84" s="5" t="s">
        <v>570</v>
      </c>
      <c r="F84" s="5" t="s">
        <v>550</v>
      </c>
    </row>
    <row r="85" spans="1:6" ht="16" x14ac:dyDescent="0.2">
      <c r="A85" s="5" t="s">
        <v>166</v>
      </c>
      <c r="B85" s="5" t="s">
        <v>573</v>
      </c>
      <c r="C85" s="24">
        <v>93.5</v>
      </c>
      <c r="D85" s="22">
        <f t="array" ref="D85">IF(F85="n/a","—",IF(_xlfn.XLOOKUP(TRIM(SUBSTITUTE(A85,_xlfn.UNICHAR(160)," ")),TRIM(SUBSTITUTE('worker file'!$A$2:$A$406,_xlfn.UNICHAR(160)," ")),'worker file'!$L$2:$L$406,"")="US Biweekly",$I$3,$I$2))</f>
        <v>46298</v>
      </c>
      <c r="E85" s="5" t="s">
        <v>581</v>
      </c>
      <c r="F85" s="5" t="s">
        <v>554</v>
      </c>
    </row>
    <row r="86" spans="1:6" ht="16" x14ac:dyDescent="0.2">
      <c r="A86" s="5" t="s">
        <v>166</v>
      </c>
      <c r="B86" s="5" t="s">
        <v>575</v>
      </c>
      <c r="C86" s="24">
        <v>5.5</v>
      </c>
      <c r="D86" s="22">
        <f t="array" ref="D86">IF(F86="n/a","—",IF(_xlfn.XLOOKUP(TRIM(SUBSTITUTE(A86,_xlfn.UNICHAR(160)," ")),TRIM(SUBSTITUTE('worker file'!$A$2:$A$406,_xlfn.UNICHAR(160)," ")),'worker file'!$L$2:$L$406,"")="US Biweekly",$I$3,$I$2))</f>
        <v>46298</v>
      </c>
      <c r="E86" s="5" t="s">
        <v>576</v>
      </c>
      <c r="F86" s="5" t="s">
        <v>554</v>
      </c>
    </row>
    <row r="87" spans="1:6" ht="16" x14ac:dyDescent="0.2">
      <c r="A87" s="5" t="s">
        <v>167</v>
      </c>
      <c r="B87" s="5" t="s">
        <v>568</v>
      </c>
      <c r="C87" s="21" t="s">
        <v>569</v>
      </c>
      <c r="D87" s="22" t="str">
        <f t="array" ref="D87">IF(F87="n/a","—",IF(_xlfn.XLOOKUP(TRIM(SUBSTITUTE(A87,_xlfn.UNICHAR(160)," ")),TRIM(SUBSTITUTE('worker file'!$A$2:$A$406,_xlfn.UNICHAR(160)," ")),'worker file'!$L$2:$L$406,"")="US Biweekly",$I$3,$I$2))</f>
        <v>—</v>
      </c>
      <c r="E87" s="5" t="s">
        <v>570</v>
      </c>
      <c r="F87" s="5" t="s">
        <v>550</v>
      </c>
    </row>
    <row r="88" spans="1:6" ht="16" x14ac:dyDescent="0.2">
      <c r="A88" s="5" t="s">
        <v>167</v>
      </c>
      <c r="B88" s="5" t="s">
        <v>566</v>
      </c>
      <c r="C88" s="24">
        <v>31</v>
      </c>
      <c r="D88" s="22">
        <f t="array" ref="D88">IF(F88="n/a","—",IF(_xlfn.XLOOKUP(TRIM(SUBSTITUTE(A88,_xlfn.UNICHAR(160)," ")),TRIM(SUBSTITUTE('worker file'!$A$2:$A$406,_xlfn.UNICHAR(160)," ")),'worker file'!$L$2:$L$406,"")="US Biweekly",$I$3,$I$2))</f>
        <v>46295</v>
      </c>
      <c r="E88" s="5" t="s">
        <v>571</v>
      </c>
      <c r="F88" s="5" t="s">
        <v>554</v>
      </c>
    </row>
    <row r="89" spans="1:6" ht="16" x14ac:dyDescent="0.2">
      <c r="A89" s="5" t="s">
        <v>168</v>
      </c>
      <c r="B89" s="5" t="s">
        <v>573</v>
      </c>
      <c r="C89" s="24">
        <v>61.5</v>
      </c>
      <c r="D89" s="22">
        <f t="array" ref="D89">IF(F89="n/a","—",IF(_xlfn.XLOOKUP(TRIM(SUBSTITUTE(A89,_xlfn.UNICHAR(160)," ")),TRIM(SUBSTITUTE('worker file'!$A$2:$A$406,_xlfn.UNICHAR(160)," ")),'worker file'!$L$2:$L$406,"")="US Biweekly",$I$3,$I$2))</f>
        <v>46298</v>
      </c>
      <c r="E89" s="5" t="s">
        <v>574</v>
      </c>
      <c r="F89" s="5" t="s">
        <v>554</v>
      </c>
    </row>
    <row r="90" spans="1:6" ht="16" x14ac:dyDescent="0.2">
      <c r="A90" s="5" t="s">
        <v>168</v>
      </c>
      <c r="B90" s="5" t="s">
        <v>566</v>
      </c>
      <c r="C90" s="24">
        <v>23.75</v>
      </c>
      <c r="D90" s="22">
        <f t="array" ref="D90">IF(F90="n/a","—",IF(_xlfn.XLOOKUP(TRIM(SUBSTITUTE(A90,_xlfn.UNICHAR(160)," ")),TRIM(SUBSTITUTE('worker file'!$A$2:$A$406,_xlfn.UNICHAR(160)," ")),'worker file'!$L$2:$L$406,"")="US Biweekly",$I$3,$I$2))</f>
        <v>46298</v>
      </c>
      <c r="E90" s="5" t="s">
        <v>571</v>
      </c>
      <c r="F90" s="5" t="s">
        <v>554</v>
      </c>
    </row>
    <row r="91" spans="1:6" ht="16" x14ac:dyDescent="0.2">
      <c r="A91" s="5" t="s">
        <v>169</v>
      </c>
      <c r="B91" s="5" t="s">
        <v>584</v>
      </c>
      <c r="C91" s="25">
        <v>21.5</v>
      </c>
      <c r="D91" s="22">
        <f t="array" ref="D91">IF(F91="n/a","—",IF(_xlfn.XLOOKUP(TRIM(SUBSTITUTE(A91,_xlfn.UNICHAR(160)," ")),TRIM(SUBSTITUTE('worker file'!$A$2:$A$406,_xlfn.UNICHAR(160)," ")),'worker file'!$L$2:$L$406,"")="US Biweekly",$I$3,$I$2))</f>
        <v>46295</v>
      </c>
      <c r="E91" s="5" t="s">
        <v>585</v>
      </c>
      <c r="F91" s="5" t="s">
        <v>559</v>
      </c>
    </row>
    <row r="92" spans="1:6" ht="16" x14ac:dyDescent="0.2">
      <c r="A92" s="5" t="s">
        <v>169</v>
      </c>
      <c r="B92" s="5" t="s">
        <v>586</v>
      </c>
      <c r="C92" s="25">
        <v>1</v>
      </c>
      <c r="D92" s="22">
        <f t="array" ref="D92">IF(F92="n/a","—",IF(_xlfn.XLOOKUP(TRIM(SUBSTITUTE(A92,_xlfn.UNICHAR(160)," ")),TRIM(SUBSTITUTE('worker file'!$A$2:$A$406,_xlfn.UNICHAR(160)," ")),'worker file'!$L$2:$L$406,"")="US Biweekly",$I$3,$I$2))</f>
        <v>46295</v>
      </c>
      <c r="E92" s="5" t="s">
        <v>587</v>
      </c>
      <c r="F92" s="5" t="s">
        <v>559</v>
      </c>
    </row>
    <row r="93" spans="1:6" ht="16" x14ac:dyDescent="0.2">
      <c r="A93" s="5" t="s">
        <v>170</v>
      </c>
      <c r="B93" s="5" t="s">
        <v>568</v>
      </c>
      <c r="C93" s="21" t="s">
        <v>569</v>
      </c>
      <c r="D93" s="22" t="str">
        <f t="array" ref="D93">IF(F93="n/a","—",IF(_xlfn.XLOOKUP(TRIM(SUBSTITUTE(A93,_xlfn.UNICHAR(160)," ")),TRIM(SUBSTITUTE('worker file'!$A$2:$A$406,_xlfn.UNICHAR(160)," ")),'worker file'!$L$2:$L$406,"")="US Biweekly",$I$3,$I$2))</f>
        <v>—</v>
      </c>
      <c r="E93" s="5" t="s">
        <v>570</v>
      </c>
      <c r="F93" s="5" t="s">
        <v>550</v>
      </c>
    </row>
    <row r="94" spans="1:6" ht="16" x14ac:dyDescent="0.2">
      <c r="A94" s="5" t="s">
        <v>171</v>
      </c>
      <c r="B94" s="5" t="s">
        <v>584</v>
      </c>
      <c r="C94" s="25">
        <v>14</v>
      </c>
      <c r="D94" s="22">
        <f t="array" ref="D94">IF(F94="n/a","—",IF(_xlfn.XLOOKUP(TRIM(SUBSTITUTE(A94,_xlfn.UNICHAR(160)," ")),TRIM(SUBSTITUTE('worker file'!$A$2:$A$406,_xlfn.UNICHAR(160)," ")),'worker file'!$L$2:$L$406,"")="US Biweekly",$I$3,$I$2))</f>
        <v>46295</v>
      </c>
      <c r="E94" s="5" t="s">
        <v>585</v>
      </c>
      <c r="F94" s="5" t="s">
        <v>559</v>
      </c>
    </row>
    <row r="95" spans="1:6" ht="16" x14ac:dyDescent="0.2">
      <c r="A95" s="5" t="s">
        <v>171</v>
      </c>
      <c r="B95" s="5" t="s">
        <v>586</v>
      </c>
      <c r="C95" s="25">
        <v>7</v>
      </c>
      <c r="D95" s="22">
        <f t="array" ref="D95">IF(F95="n/a","—",IF(_xlfn.XLOOKUP(TRIM(SUBSTITUTE(A95,_xlfn.UNICHAR(160)," ")),TRIM(SUBSTITUTE('worker file'!$A$2:$A$406,_xlfn.UNICHAR(160)," ")),'worker file'!$L$2:$L$406,"")="US Biweekly",$I$3,$I$2))</f>
        <v>46295</v>
      </c>
      <c r="E95" s="5" t="s">
        <v>587</v>
      </c>
      <c r="F95" s="5" t="s">
        <v>559</v>
      </c>
    </row>
    <row r="96" spans="1:6" ht="16" x14ac:dyDescent="0.2">
      <c r="A96" s="5" t="s">
        <v>172</v>
      </c>
      <c r="B96" s="5" t="s">
        <v>568</v>
      </c>
      <c r="C96" s="21" t="s">
        <v>569</v>
      </c>
      <c r="D96" s="22" t="str">
        <f t="array" ref="D96">IF(F96="n/a","—",IF(_xlfn.XLOOKUP(TRIM(SUBSTITUTE(A96,_xlfn.UNICHAR(160)," ")),TRIM(SUBSTITUTE('worker file'!$A$2:$A$406,_xlfn.UNICHAR(160)," ")),'worker file'!$L$2:$L$406,"")="US Biweekly",$I$3,$I$2))</f>
        <v>—</v>
      </c>
      <c r="E96" s="5" t="s">
        <v>570</v>
      </c>
      <c r="F96" s="5" t="s">
        <v>550</v>
      </c>
    </row>
    <row r="97" spans="1:6" ht="16" x14ac:dyDescent="0.2">
      <c r="A97" s="5" t="s">
        <v>172</v>
      </c>
      <c r="B97" s="5" t="s">
        <v>566</v>
      </c>
      <c r="C97" s="24">
        <v>55.25</v>
      </c>
      <c r="D97" s="22">
        <f t="array" ref="D97">IF(F97="n/a","—",IF(_xlfn.XLOOKUP(TRIM(SUBSTITUTE(A97,_xlfn.UNICHAR(160)," ")),TRIM(SUBSTITUTE('worker file'!$A$2:$A$406,_xlfn.UNICHAR(160)," ")),'worker file'!$L$2:$L$406,"")="US Biweekly",$I$3,$I$2))</f>
        <v>46295</v>
      </c>
      <c r="E97" s="5" t="s">
        <v>571</v>
      </c>
      <c r="F97" s="5" t="s">
        <v>554</v>
      </c>
    </row>
    <row r="98" spans="1:6" ht="16" x14ac:dyDescent="0.2">
      <c r="A98" s="5" t="s">
        <v>173</v>
      </c>
      <c r="B98" s="5" t="s">
        <v>568</v>
      </c>
      <c r="C98" s="21" t="s">
        <v>569</v>
      </c>
      <c r="D98" s="22" t="str">
        <f t="array" ref="D98">IF(F98="n/a","—",IF(_xlfn.XLOOKUP(TRIM(SUBSTITUTE(A98,_xlfn.UNICHAR(160)," ")),TRIM(SUBSTITUTE('worker file'!$A$2:$A$406,_xlfn.UNICHAR(160)," ")),'worker file'!$L$2:$L$406,"")="US Biweekly",$I$3,$I$2))</f>
        <v>—</v>
      </c>
      <c r="E98" s="5" t="s">
        <v>570</v>
      </c>
      <c r="F98" s="5" t="s">
        <v>550</v>
      </c>
    </row>
    <row r="99" spans="1:6" ht="16" x14ac:dyDescent="0.2">
      <c r="A99" s="5" t="s">
        <v>173</v>
      </c>
      <c r="B99" s="5" t="s">
        <v>566</v>
      </c>
      <c r="C99" s="24">
        <v>64.75</v>
      </c>
      <c r="D99" s="22">
        <f t="array" ref="D99">IF(F99="n/a","—",IF(_xlfn.XLOOKUP(TRIM(SUBSTITUTE(A99,_xlfn.UNICHAR(160)," ")),TRIM(SUBSTITUTE('worker file'!$A$2:$A$406,_xlfn.UNICHAR(160)," ")),'worker file'!$L$2:$L$406,"")="US Biweekly",$I$3,$I$2))</f>
        <v>46295</v>
      </c>
      <c r="E99" s="5" t="s">
        <v>571</v>
      </c>
      <c r="F99" s="5" t="s">
        <v>554</v>
      </c>
    </row>
    <row r="100" spans="1:6" ht="16" x14ac:dyDescent="0.2">
      <c r="A100" s="5" t="s">
        <v>174</v>
      </c>
      <c r="B100" s="5" t="s">
        <v>568</v>
      </c>
      <c r="C100" s="21" t="s">
        <v>569</v>
      </c>
      <c r="D100" s="22" t="str">
        <f t="array" ref="D100">IF(F100="n/a","—",IF(_xlfn.XLOOKUP(TRIM(SUBSTITUTE(A100,_xlfn.UNICHAR(160)," ")),TRIM(SUBSTITUTE('worker file'!$A$2:$A$406,_xlfn.UNICHAR(160)," ")),'worker file'!$L$2:$L$406,"")="US Biweekly",$I$3,$I$2))</f>
        <v>—</v>
      </c>
      <c r="E100" s="5" t="s">
        <v>570</v>
      </c>
      <c r="F100" s="5" t="s">
        <v>550</v>
      </c>
    </row>
    <row r="101" spans="1:6" ht="16" x14ac:dyDescent="0.2">
      <c r="A101" s="5" t="s">
        <v>174</v>
      </c>
      <c r="B101" s="5" t="s">
        <v>566</v>
      </c>
      <c r="C101" s="24">
        <v>48</v>
      </c>
      <c r="D101" s="22">
        <f t="array" ref="D101">IF(F101="n/a","—",IF(_xlfn.XLOOKUP(TRIM(SUBSTITUTE(A101,_xlfn.UNICHAR(160)," ")),TRIM(SUBSTITUTE('worker file'!$A$2:$A$406,_xlfn.UNICHAR(160)," ")),'worker file'!$L$2:$L$406,"")="US Biweekly",$I$3,$I$2))</f>
        <v>46295</v>
      </c>
      <c r="E101" s="5" t="s">
        <v>571</v>
      </c>
      <c r="F101" s="5" t="s">
        <v>554</v>
      </c>
    </row>
    <row r="102" spans="1:6" ht="16" x14ac:dyDescent="0.2">
      <c r="A102" s="5" t="s">
        <v>175</v>
      </c>
      <c r="B102" s="5" t="s">
        <v>568</v>
      </c>
      <c r="C102" s="21" t="s">
        <v>569</v>
      </c>
      <c r="D102" s="22" t="str">
        <f t="array" ref="D102">IF(F102="n/a","—",IF(_xlfn.XLOOKUP(TRIM(SUBSTITUTE(A102,_xlfn.UNICHAR(160)," ")),TRIM(SUBSTITUTE('worker file'!$A$2:$A$406,_xlfn.UNICHAR(160)," ")),'worker file'!$L$2:$L$406,"")="US Biweekly",$I$3,$I$2))</f>
        <v>—</v>
      </c>
      <c r="E102" s="5" t="s">
        <v>570</v>
      </c>
      <c r="F102" s="5" t="s">
        <v>550</v>
      </c>
    </row>
    <row r="103" spans="1:6" ht="16" x14ac:dyDescent="0.2">
      <c r="A103" s="5" t="s">
        <v>175</v>
      </c>
      <c r="B103" s="5" t="s">
        <v>566</v>
      </c>
      <c r="C103" s="24">
        <v>73.5</v>
      </c>
      <c r="D103" s="22">
        <f t="array" ref="D103">IF(F103="n/a","—",IF(_xlfn.XLOOKUP(TRIM(SUBSTITUTE(A103,_xlfn.UNICHAR(160)," ")),TRIM(SUBSTITUTE('worker file'!$A$2:$A$406,_xlfn.UNICHAR(160)," ")),'worker file'!$L$2:$L$406,"")="US Biweekly",$I$3,$I$2))</f>
        <v>46295</v>
      </c>
      <c r="E103" s="5" t="s">
        <v>571</v>
      </c>
      <c r="F103" s="5" t="s">
        <v>554</v>
      </c>
    </row>
    <row r="104" spans="1:6" ht="16" x14ac:dyDescent="0.2">
      <c r="A104" s="5" t="s">
        <v>177</v>
      </c>
      <c r="B104" s="5" t="s">
        <v>573</v>
      </c>
      <c r="C104" s="24">
        <v>39.5</v>
      </c>
      <c r="D104" s="22">
        <f t="array" ref="D104">IF(F104="n/a","—",IF(_xlfn.XLOOKUP(TRIM(SUBSTITUTE(A104,_xlfn.UNICHAR(160)," ")),TRIM(SUBSTITUTE('worker file'!$A$2:$A$406,_xlfn.UNICHAR(160)," ")),'worker file'!$L$2:$L$406,"")="US Biweekly",$I$3,$I$2))</f>
        <v>46298</v>
      </c>
      <c r="E104" s="5" t="s">
        <v>581</v>
      </c>
      <c r="F104" s="5" t="s">
        <v>554</v>
      </c>
    </row>
    <row r="105" spans="1:6" ht="16" x14ac:dyDescent="0.2">
      <c r="A105" s="5" t="s">
        <v>177</v>
      </c>
      <c r="B105" s="5" t="s">
        <v>566</v>
      </c>
      <c r="C105" s="24">
        <v>65.5</v>
      </c>
      <c r="D105" s="22">
        <f t="array" ref="D105">IF(F105="n/a","—",IF(_xlfn.XLOOKUP(TRIM(SUBSTITUTE(A105,_xlfn.UNICHAR(160)," ")),TRIM(SUBSTITUTE('worker file'!$A$2:$A$406,_xlfn.UNICHAR(160)," ")),'worker file'!$L$2:$L$406,"")="US Biweekly",$I$3,$I$2))</f>
        <v>46298</v>
      </c>
      <c r="E105" s="5" t="s">
        <v>571</v>
      </c>
      <c r="F105" s="5" t="s">
        <v>554</v>
      </c>
    </row>
    <row r="106" spans="1:6" ht="16" x14ac:dyDescent="0.2">
      <c r="A106" s="5" t="s">
        <v>178</v>
      </c>
      <c r="B106" s="5" t="s">
        <v>568</v>
      </c>
      <c r="C106" s="21" t="s">
        <v>569</v>
      </c>
      <c r="D106" s="22" t="str">
        <f t="array" ref="D106">IF(F106="n/a","—",IF(_xlfn.XLOOKUP(TRIM(SUBSTITUTE(A106,_xlfn.UNICHAR(160)," ")),TRIM(SUBSTITUTE('worker file'!$A$2:$A$406,_xlfn.UNICHAR(160)," ")),'worker file'!$L$2:$L$406,"")="US Biweekly",$I$3,$I$2))</f>
        <v>—</v>
      </c>
      <c r="E106" s="5" t="s">
        <v>570</v>
      </c>
      <c r="F106" s="5" t="s">
        <v>550</v>
      </c>
    </row>
    <row r="107" spans="1:6" ht="16" x14ac:dyDescent="0.2">
      <c r="A107" s="5" t="s">
        <v>179</v>
      </c>
      <c r="B107" s="5" t="s">
        <v>588</v>
      </c>
      <c r="C107" s="25">
        <v>10</v>
      </c>
      <c r="D107" s="22">
        <f t="array" ref="D107">IF(F107="n/a","—",IF(_xlfn.XLOOKUP(TRIM(SUBSTITUTE(A107,_xlfn.UNICHAR(160)," ")),TRIM(SUBSTITUTE('worker file'!$A$2:$A$406,_xlfn.UNICHAR(160)," ")),'worker file'!$L$2:$L$406,"")="US Biweekly",$I$3,$I$2))</f>
        <v>46295</v>
      </c>
      <c r="E107" s="5" t="s">
        <v>589</v>
      </c>
      <c r="F107" s="5" t="s">
        <v>559</v>
      </c>
    </row>
    <row r="108" spans="1:6" ht="16" x14ac:dyDescent="0.2">
      <c r="A108" s="5" t="s">
        <v>181</v>
      </c>
      <c r="B108" s="5" t="s">
        <v>568</v>
      </c>
      <c r="C108" s="21" t="s">
        <v>569</v>
      </c>
      <c r="D108" s="22" t="str">
        <f t="array" ref="D108">IF(F108="n/a","—",IF(_xlfn.XLOOKUP(TRIM(SUBSTITUTE(A108,_xlfn.UNICHAR(160)," ")),TRIM(SUBSTITUTE('worker file'!$A$2:$A$406,_xlfn.UNICHAR(160)," ")),'worker file'!$L$2:$L$406,"")="US Biweekly",$I$3,$I$2))</f>
        <v>—</v>
      </c>
      <c r="E108" s="5" t="s">
        <v>570</v>
      </c>
      <c r="F108" s="5" t="s">
        <v>550</v>
      </c>
    </row>
    <row r="109" spans="1:6" ht="16" x14ac:dyDescent="0.2">
      <c r="A109" s="5" t="s">
        <v>181</v>
      </c>
      <c r="B109" s="5" t="s">
        <v>577</v>
      </c>
      <c r="C109" s="24">
        <v>28</v>
      </c>
      <c r="D109" s="22">
        <f t="array" ref="D109">IF(F109="n/a","—",IF(_xlfn.XLOOKUP(TRIM(SUBSTITUTE(A109,_xlfn.UNICHAR(160)," ")),TRIM(SUBSTITUTE('worker file'!$A$2:$A$406,_xlfn.UNICHAR(160)," ")),'worker file'!$L$2:$L$406,"")="US Biweekly",$I$3,$I$2))</f>
        <v>46295</v>
      </c>
      <c r="E109" s="5" t="s">
        <v>578</v>
      </c>
      <c r="F109" s="5" t="s">
        <v>554</v>
      </c>
    </row>
    <row r="110" spans="1:6" ht="16" x14ac:dyDescent="0.2">
      <c r="A110" s="5" t="s">
        <v>182</v>
      </c>
      <c r="B110" s="5" t="s">
        <v>568</v>
      </c>
      <c r="C110" s="21" t="s">
        <v>569</v>
      </c>
      <c r="D110" s="22" t="str">
        <f t="array" ref="D110">IF(F110="n/a","—",IF(_xlfn.XLOOKUP(TRIM(SUBSTITUTE(A110,_xlfn.UNICHAR(160)," ")),TRIM(SUBSTITUTE('worker file'!$A$2:$A$406,_xlfn.UNICHAR(160)," ")),'worker file'!$L$2:$L$406,"")="US Biweekly",$I$3,$I$2))</f>
        <v>—</v>
      </c>
      <c r="E110" s="5" t="s">
        <v>570</v>
      </c>
      <c r="F110" s="5" t="s">
        <v>550</v>
      </c>
    </row>
    <row r="111" spans="1:6" ht="16" x14ac:dyDescent="0.2">
      <c r="A111" s="5" t="s">
        <v>183</v>
      </c>
      <c r="B111" s="5" t="s">
        <v>568</v>
      </c>
      <c r="C111" s="21" t="s">
        <v>569</v>
      </c>
      <c r="D111" s="22" t="str">
        <f t="array" ref="D111">IF(F111="n/a","—",IF(_xlfn.XLOOKUP(TRIM(SUBSTITUTE(A111,_xlfn.UNICHAR(160)," ")),TRIM(SUBSTITUTE('worker file'!$A$2:$A$406,_xlfn.UNICHAR(160)," ")),'worker file'!$L$2:$L$406,"")="US Biweekly",$I$3,$I$2))</f>
        <v>—</v>
      </c>
      <c r="E111" s="5" t="s">
        <v>570</v>
      </c>
      <c r="F111" s="5" t="s">
        <v>550</v>
      </c>
    </row>
    <row r="112" spans="1:6" ht="16" x14ac:dyDescent="0.2">
      <c r="A112" s="5" t="s">
        <v>183</v>
      </c>
      <c r="B112" s="5" t="s">
        <v>566</v>
      </c>
      <c r="C112" s="24">
        <v>59.5</v>
      </c>
      <c r="D112" s="22">
        <f t="array" ref="D112">IF(F112="n/a","—",IF(_xlfn.XLOOKUP(TRIM(SUBSTITUTE(A112,_xlfn.UNICHAR(160)," ")),TRIM(SUBSTITUTE('worker file'!$A$2:$A$406,_xlfn.UNICHAR(160)," ")),'worker file'!$L$2:$L$406,"")="US Biweekly",$I$3,$I$2))</f>
        <v>46295</v>
      </c>
      <c r="E112" s="5" t="s">
        <v>571</v>
      </c>
      <c r="F112" s="5" t="s">
        <v>554</v>
      </c>
    </row>
    <row r="113" spans="1:6" ht="16" x14ac:dyDescent="0.2">
      <c r="A113" s="5" t="s">
        <v>184</v>
      </c>
      <c r="B113" s="5" t="s">
        <v>568</v>
      </c>
      <c r="C113" s="21" t="s">
        <v>569</v>
      </c>
      <c r="D113" s="22" t="str">
        <f t="array" ref="D113">IF(F113="n/a","—",IF(_xlfn.XLOOKUP(TRIM(SUBSTITUTE(A113,_xlfn.UNICHAR(160)," ")),TRIM(SUBSTITUTE('worker file'!$A$2:$A$406,_xlfn.UNICHAR(160)," ")),'worker file'!$L$2:$L$406,"")="US Biweekly",$I$3,$I$2))</f>
        <v>—</v>
      </c>
      <c r="E113" s="5" t="s">
        <v>570</v>
      </c>
      <c r="F113" s="5" t="s">
        <v>550</v>
      </c>
    </row>
    <row r="114" spans="1:6" ht="16" x14ac:dyDescent="0.2">
      <c r="A114" s="5" t="s">
        <v>186</v>
      </c>
      <c r="B114" s="5" t="s">
        <v>568</v>
      </c>
      <c r="C114" s="21" t="s">
        <v>569</v>
      </c>
      <c r="D114" s="22" t="str">
        <f t="array" ref="D114">IF(F114="n/a","—",IF(_xlfn.XLOOKUP(TRIM(SUBSTITUTE(A114,_xlfn.UNICHAR(160)," ")),TRIM(SUBSTITUTE('worker file'!$A$2:$A$406,_xlfn.UNICHAR(160)," ")),'worker file'!$L$2:$L$406,"")="US Biweekly",$I$3,$I$2))</f>
        <v>—</v>
      </c>
      <c r="E114" s="5" t="s">
        <v>570</v>
      </c>
      <c r="F114" s="5" t="s">
        <v>550</v>
      </c>
    </row>
    <row r="115" spans="1:6" ht="16" x14ac:dyDescent="0.2">
      <c r="A115" s="5" t="s">
        <v>186</v>
      </c>
      <c r="B115" s="5" t="s">
        <v>566</v>
      </c>
      <c r="C115" s="24">
        <v>30.25</v>
      </c>
      <c r="D115" s="22">
        <f t="array" ref="D115">IF(F115="n/a","—",IF(_xlfn.XLOOKUP(TRIM(SUBSTITUTE(A115,_xlfn.UNICHAR(160)," ")),TRIM(SUBSTITUTE('worker file'!$A$2:$A$406,_xlfn.UNICHAR(160)," ")),'worker file'!$L$2:$L$406,"")="US Biweekly",$I$3,$I$2))</f>
        <v>46295</v>
      </c>
      <c r="E115" s="5" t="s">
        <v>571</v>
      </c>
      <c r="F115" s="5" t="s">
        <v>554</v>
      </c>
    </row>
    <row r="116" spans="1:6" ht="16" x14ac:dyDescent="0.2">
      <c r="A116" s="5" t="s">
        <v>187</v>
      </c>
      <c r="B116" s="5" t="s">
        <v>568</v>
      </c>
      <c r="C116" s="21" t="s">
        <v>569</v>
      </c>
      <c r="D116" s="22" t="str">
        <f t="array" ref="D116">IF(F116="n/a","—",IF(_xlfn.XLOOKUP(TRIM(SUBSTITUTE(A116,_xlfn.UNICHAR(160)," ")),TRIM(SUBSTITUTE('worker file'!$A$2:$A$406,_xlfn.UNICHAR(160)," ")),'worker file'!$L$2:$L$406,"")="US Biweekly",$I$3,$I$2))</f>
        <v>—</v>
      </c>
      <c r="E116" s="5" t="s">
        <v>570</v>
      </c>
      <c r="F116" s="5" t="s">
        <v>550</v>
      </c>
    </row>
    <row r="117" spans="1:6" ht="16" x14ac:dyDescent="0.2">
      <c r="A117" s="5" t="s">
        <v>188</v>
      </c>
      <c r="B117" s="5" t="s">
        <v>568</v>
      </c>
      <c r="C117" s="21" t="s">
        <v>569</v>
      </c>
      <c r="D117" s="22" t="str">
        <f t="array" ref="D117">IF(F117="n/a","—",IF(_xlfn.XLOOKUP(TRIM(SUBSTITUTE(A117,_xlfn.UNICHAR(160)," ")),TRIM(SUBSTITUTE('worker file'!$A$2:$A$406,_xlfn.UNICHAR(160)," ")),'worker file'!$L$2:$L$406,"")="US Biweekly",$I$3,$I$2))</f>
        <v>—</v>
      </c>
      <c r="E117" s="5" t="s">
        <v>570</v>
      </c>
      <c r="F117" s="5" t="s">
        <v>550</v>
      </c>
    </row>
    <row r="118" spans="1:6" ht="16" x14ac:dyDescent="0.2">
      <c r="A118" s="5" t="s">
        <v>188</v>
      </c>
      <c r="B118" s="5" t="s">
        <v>590</v>
      </c>
      <c r="C118" s="24">
        <v>20.75</v>
      </c>
      <c r="D118" s="22">
        <f t="array" ref="D118">IF(F118="n/a","—",IF(_xlfn.XLOOKUP(TRIM(SUBSTITUTE(A118,_xlfn.UNICHAR(160)," ")),TRIM(SUBSTITUTE('worker file'!$A$2:$A$406,_xlfn.UNICHAR(160)," ")),'worker file'!$L$2:$L$406,"")="US Biweekly",$I$3,$I$2))</f>
        <v>46295</v>
      </c>
      <c r="E118" s="5" t="s">
        <v>591</v>
      </c>
      <c r="F118" s="5" t="s">
        <v>554</v>
      </c>
    </row>
    <row r="119" spans="1:6" ht="16" x14ac:dyDescent="0.2">
      <c r="A119" s="5" t="s">
        <v>190</v>
      </c>
      <c r="B119" s="5" t="s">
        <v>568</v>
      </c>
      <c r="C119" s="21" t="s">
        <v>569</v>
      </c>
      <c r="D119" s="22" t="str">
        <f t="array" ref="D119">IF(F119="n/a","—",IF(_xlfn.XLOOKUP(TRIM(SUBSTITUTE(A119,_xlfn.UNICHAR(160)," ")),TRIM(SUBSTITUTE('worker file'!$A$2:$A$406,_xlfn.UNICHAR(160)," ")),'worker file'!$L$2:$L$406,"")="US Biweekly",$I$3,$I$2))</f>
        <v>—</v>
      </c>
      <c r="E119" s="5" t="s">
        <v>570</v>
      </c>
      <c r="F119" s="5" t="s">
        <v>550</v>
      </c>
    </row>
    <row r="120" spans="1:6" ht="16" x14ac:dyDescent="0.2">
      <c r="A120" s="5" t="s">
        <v>191</v>
      </c>
      <c r="B120" s="5" t="s">
        <v>588</v>
      </c>
      <c r="C120" s="25">
        <v>10.5</v>
      </c>
      <c r="D120" s="22">
        <f t="array" ref="D120">IF(F120="n/a","—",IF(_xlfn.XLOOKUP(TRIM(SUBSTITUTE(A120,_xlfn.UNICHAR(160)," ")),TRIM(SUBSTITUTE('worker file'!$A$2:$A$406,_xlfn.UNICHAR(160)," ")),'worker file'!$L$2:$L$406,"")="US Biweekly",$I$3,$I$2))</f>
        <v>46295</v>
      </c>
      <c r="E120" s="5" t="s">
        <v>589</v>
      </c>
      <c r="F120" s="5" t="s">
        <v>559</v>
      </c>
    </row>
    <row r="121" spans="1:6" ht="16" x14ac:dyDescent="0.2">
      <c r="A121" s="5" t="s">
        <v>192</v>
      </c>
      <c r="B121" s="5" t="s">
        <v>568</v>
      </c>
      <c r="C121" s="21" t="s">
        <v>569</v>
      </c>
      <c r="D121" s="22" t="str">
        <f t="array" ref="D121">IF(F121="n/a","—",IF(_xlfn.XLOOKUP(TRIM(SUBSTITUTE(A121,_xlfn.UNICHAR(160)," ")),TRIM(SUBSTITUTE('worker file'!$A$2:$A$406,_xlfn.UNICHAR(160)," ")),'worker file'!$L$2:$L$406,"")="US Biweekly",$I$3,$I$2))</f>
        <v>—</v>
      </c>
      <c r="E121" s="5" t="s">
        <v>570</v>
      </c>
      <c r="F121" s="5" t="s">
        <v>550</v>
      </c>
    </row>
    <row r="122" spans="1:6" ht="16" x14ac:dyDescent="0.2">
      <c r="A122" s="5" t="s">
        <v>193</v>
      </c>
      <c r="B122" s="5" t="s">
        <v>588</v>
      </c>
      <c r="C122" s="25">
        <v>2</v>
      </c>
      <c r="D122" s="22">
        <f t="array" ref="D122">IF(F122="n/a","—",IF(_xlfn.XLOOKUP(TRIM(SUBSTITUTE(A122,_xlfn.UNICHAR(160)," ")),TRIM(SUBSTITUTE('worker file'!$A$2:$A$406,_xlfn.UNICHAR(160)," ")),'worker file'!$L$2:$L$406,"")="US Biweekly",$I$3,$I$2))</f>
        <v>46295</v>
      </c>
      <c r="E122" s="5" t="s">
        <v>589</v>
      </c>
      <c r="F122" s="5" t="s">
        <v>559</v>
      </c>
    </row>
    <row r="123" spans="1:6" ht="16" x14ac:dyDescent="0.2">
      <c r="A123" s="5" t="s">
        <v>194</v>
      </c>
      <c r="B123" s="5" t="s">
        <v>573</v>
      </c>
      <c r="C123" s="24">
        <v>80.25</v>
      </c>
      <c r="D123" s="22">
        <f t="array" ref="D123">IF(F123="n/a","—",IF(_xlfn.XLOOKUP(TRIM(SUBSTITUTE(A123,_xlfn.UNICHAR(160)," ")),TRIM(SUBSTITUTE('worker file'!$A$2:$A$406,_xlfn.UNICHAR(160)," ")),'worker file'!$L$2:$L$406,"")="US Biweekly",$I$3,$I$2))</f>
        <v>46298</v>
      </c>
      <c r="E123" s="5" t="s">
        <v>574</v>
      </c>
      <c r="F123" s="5" t="s">
        <v>554</v>
      </c>
    </row>
    <row r="124" spans="1:6" ht="16" x14ac:dyDescent="0.2">
      <c r="A124" s="5" t="s">
        <v>194</v>
      </c>
      <c r="B124" s="5" t="s">
        <v>566</v>
      </c>
      <c r="C124" s="24">
        <v>38.25</v>
      </c>
      <c r="D124" s="22">
        <f t="array" ref="D124">IF(F124="n/a","—",IF(_xlfn.XLOOKUP(TRIM(SUBSTITUTE(A124,_xlfn.UNICHAR(160)," ")),TRIM(SUBSTITUTE('worker file'!$A$2:$A$406,_xlfn.UNICHAR(160)," ")),'worker file'!$L$2:$L$406,"")="US Biweekly",$I$3,$I$2))</f>
        <v>46298</v>
      </c>
      <c r="E124" s="5" t="s">
        <v>571</v>
      </c>
      <c r="F124" s="5" t="s">
        <v>554</v>
      </c>
    </row>
    <row r="125" spans="1:6" ht="16" x14ac:dyDescent="0.2">
      <c r="A125" s="5" t="s">
        <v>195</v>
      </c>
      <c r="B125" s="5" t="s">
        <v>568</v>
      </c>
      <c r="C125" s="21" t="s">
        <v>569</v>
      </c>
      <c r="D125" s="22" t="str">
        <f t="array" ref="D125">IF(F125="n/a","—",IF(_xlfn.XLOOKUP(TRIM(SUBSTITUTE(A125,_xlfn.UNICHAR(160)," ")),TRIM(SUBSTITUTE('worker file'!$A$2:$A$406,_xlfn.UNICHAR(160)," ")),'worker file'!$L$2:$L$406,"")="US Biweekly",$I$3,$I$2))</f>
        <v>—</v>
      </c>
      <c r="E125" s="5" t="s">
        <v>570</v>
      </c>
      <c r="F125" s="5" t="s">
        <v>550</v>
      </c>
    </row>
    <row r="126" spans="1:6" ht="16" x14ac:dyDescent="0.2">
      <c r="A126" s="5" t="s">
        <v>195</v>
      </c>
      <c r="B126" s="5" t="s">
        <v>566</v>
      </c>
      <c r="C126" s="24">
        <v>63.75</v>
      </c>
      <c r="D126" s="22">
        <f t="array" ref="D126">IF(F126="n/a","—",IF(_xlfn.XLOOKUP(TRIM(SUBSTITUTE(A126,_xlfn.UNICHAR(160)," ")),TRIM(SUBSTITUTE('worker file'!$A$2:$A$406,_xlfn.UNICHAR(160)," ")),'worker file'!$L$2:$L$406,"")="US Biweekly",$I$3,$I$2))</f>
        <v>46295</v>
      </c>
      <c r="E126" s="5" t="s">
        <v>571</v>
      </c>
      <c r="F126" s="5" t="s">
        <v>554</v>
      </c>
    </row>
    <row r="127" spans="1:6" ht="16" x14ac:dyDescent="0.2">
      <c r="A127" s="5" t="s">
        <v>196</v>
      </c>
      <c r="B127" s="5" t="s">
        <v>573</v>
      </c>
      <c r="C127" s="24">
        <v>92.25</v>
      </c>
      <c r="D127" s="22">
        <f t="array" ref="D127">IF(F127="n/a","—",IF(_xlfn.XLOOKUP(TRIM(SUBSTITUTE(A127,_xlfn.UNICHAR(160)," ")),TRIM(SUBSTITUTE('worker file'!$A$2:$A$406,_xlfn.UNICHAR(160)," ")),'worker file'!$L$2:$L$406,"")="US Biweekly",$I$3,$I$2))</f>
        <v>46298</v>
      </c>
      <c r="E127" s="5" t="s">
        <v>574</v>
      </c>
      <c r="F127" s="5" t="s">
        <v>554</v>
      </c>
    </row>
    <row r="128" spans="1:6" ht="16" x14ac:dyDescent="0.2">
      <c r="A128" s="5" t="s">
        <v>196</v>
      </c>
      <c r="B128" s="5" t="s">
        <v>575</v>
      </c>
      <c r="C128" s="24">
        <v>13.75</v>
      </c>
      <c r="D128" s="22">
        <f t="array" ref="D128">IF(F128="n/a","—",IF(_xlfn.XLOOKUP(TRIM(SUBSTITUTE(A128,_xlfn.UNICHAR(160)," ")),TRIM(SUBSTITUTE('worker file'!$A$2:$A$406,_xlfn.UNICHAR(160)," ")),'worker file'!$L$2:$L$406,"")="US Biweekly",$I$3,$I$2))</f>
        <v>46298</v>
      </c>
      <c r="E128" s="5" t="s">
        <v>576</v>
      </c>
      <c r="F128" s="5" t="s">
        <v>554</v>
      </c>
    </row>
    <row r="129" spans="1:6" ht="16" x14ac:dyDescent="0.2">
      <c r="A129" s="5" t="s">
        <v>197</v>
      </c>
      <c r="B129" s="5" t="s">
        <v>573</v>
      </c>
      <c r="C129" s="24">
        <v>73</v>
      </c>
      <c r="D129" s="22">
        <f t="array" ref="D129">IF(F129="n/a","—",IF(_xlfn.XLOOKUP(TRIM(SUBSTITUTE(A129,_xlfn.UNICHAR(160)," ")),TRIM(SUBSTITUTE('worker file'!$A$2:$A$406,_xlfn.UNICHAR(160)," ")),'worker file'!$L$2:$L$406,"")="US Biweekly",$I$3,$I$2))</f>
        <v>46298</v>
      </c>
      <c r="E129" s="5" t="s">
        <v>574</v>
      </c>
      <c r="F129" s="5" t="s">
        <v>554</v>
      </c>
    </row>
    <row r="130" spans="1:6" ht="16" x14ac:dyDescent="0.2">
      <c r="A130" s="5" t="s">
        <v>197</v>
      </c>
      <c r="B130" s="5" t="s">
        <v>566</v>
      </c>
      <c r="C130" s="24">
        <v>39.5</v>
      </c>
      <c r="D130" s="22">
        <f t="array" ref="D130">IF(F130="n/a","—",IF(_xlfn.XLOOKUP(TRIM(SUBSTITUTE(A130,_xlfn.UNICHAR(160)," ")),TRIM(SUBSTITUTE('worker file'!$A$2:$A$406,_xlfn.UNICHAR(160)," ")),'worker file'!$L$2:$L$406,"")="US Biweekly",$I$3,$I$2))</f>
        <v>46298</v>
      </c>
      <c r="E130" s="5" t="s">
        <v>571</v>
      </c>
      <c r="F130" s="5" t="s">
        <v>554</v>
      </c>
    </row>
    <row r="131" spans="1:6" ht="16" x14ac:dyDescent="0.2">
      <c r="A131" s="5" t="s">
        <v>198</v>
      </c>
      <c r="B131" s="5" t="s">
        <v>568</v>
      </c>
      <c r="C131" s="21" t="s">
        <v>569</v>
      </c>
      <c r="D131" s="22" t="str">
        <f t="array" ref="D131">IF(F131="n/a","—",IF(_xlfn.XLOOKUP(TRIM(SUBSTITUTE(A131,_xlfn.UNICHAR(160)," ")),TRIM(SUBSTITUTE('worker file'!$A$2:$A$406,_xlfn.UNICHAR(160)," ")),'worker file'!$L$2:$L$406,"")="US Biweekly",$I$3,$I$2))</f>
        <v>—</v>
      </c>
      <c r="E131" s="5" t="s">
        <v>570</v>
      </c>
      <c r="F131" s="5" t="s">
        <v>550</v>
      </c>
    </row>
    <row r="132" spans="1:6" ht="16" x14ac:dyDescent="0.2">
      <c r="A132" s="5" t="s">
        <v>198</v>
      </c>
      <c r="B132" s="5" t="s">
        <v>566</v>
      </c>
      <c r="C132" s="24">
        <v>33.75</v>
      </c>
      <c r="D132" s="22">
        <f t="array" ref="D132">IF(F132="n/a","—",IF(_xlfn.XLOOKUP(TRIM(SUBSTITUTE(A132,_xlfn.UNICHAR(160)," ")),TRIM(SUBSTITUTE('worker file'!$A$2:$A$406,_xlfn.UNICHAR(160)," ")),'worker file'!$L$2:$L$406,"")="US Biweekly",$I$3,$I$2))</f>
        <v>46295</v>
      </c>
      <c r="E132" s="5" t="s">
        <v>571</v>
      </c>
      <c r="F132" s="5" t="s">
        <v>554</v>
      </c>
    </row>
    <row r="133" spans="1:6" ht="16" x14ac:dyDescent="0.2">
      <c r="A133" s="5" t="s">
        <v>199</v>
      </c>
      <c r="B133" s="5" t="s">
        <v>568</v>
      </c>
      <c r="C133" s="21" t="s">
        <v>569</v>
      </c>
      <c r="D133" s="22" t="str">
        <f t="array" ref="D133">IF(F133="n/a","—",IF(_xlfn.XLOOKUP(TRIM(SUBSTITUTE(A133,_xlfn.UNICHAR(160)," ")),TRIM(SUBSTITUTE('worker file'!$A$2:$A$406,_xlfn.UNICHAR(160)," ")),'worker file'!$L$2:$L$406,"")="US Biweekly",$I$3,$I$2))</f>
        <v>—</v>
      </c>
      <c r="E133" s="5" t="s">
        <v>570</v>
      </c>
      <c r="F133" s="5" t="s">
        <v>550</v>
      </c>
    </row>
    <row r="134" spans="1:6" ht="16" x14ac:dyDescent="0.2">
      <c r="A134" s="5" t="s">
        <v>200</v>
      </c>
      <c r="B134" s="5" t="s">
        <v>568</v>
      </c>
      <c r="C134" s="21" t="s">
        <v>569</v>
      </c>
      <c r="D134" s="22" t="str">
        <f t="array" ref="D134">IF(F134="n/a","—",IF(_xlfn.XLOOKUP(TRIM(SUBSTITUTE(A134,_xlfn.UNICHAR(160)," ")),TRIM(SUBSTITUTE('worker file'!$A$2:$A$406,_xlfn.UNICHAR(160)," ")),'worker file'!$L$2:$L$406,"")="US Biweekly",$I$3,$I$2))</f>
        <v>—</v>
      </c>
      <c r="E134" s="5" t="s">
        <v>570</v>
      </c>
      <c r="F134" s="5" t="s">
        <v>550</v>
      </c>
    </row>
    <row r="135" spans="1:6" ht="16" x14ac:dyDescent="0.2">
      <c r="A135" s="5" t="s">
        <v>200</v>
      </c>
      <c r="B135" s="5" t="s">
        <v>566</v>
      </c>
      <c r="C135" s="24">
        <v>79</v>
      </c>
      <c r="D135" s="22">
        <f t="array" ref="D135">IF(F135="n/a","—",IF(_xlfn.XLOOKUP(TRIM(SUBSTITUTE(A135,_xlfn.UNICHAR(160)," ")),TRIM(SUBSTITUTE('worker file'!$A$2:$A$406,_xlfn.UNICHAR(160)," ")),'worker file'!$L$2:$L$406,"")="US Biweekly",$I$3,$I$2))</f>
        <v>46295</v>
      </c>
      <c r="E135" s="5" t="s">
        <v>571</v>
      </c>
      <c r="F135" s="5" t="s">
        <v>554</v>
      </c>
    </row>
    <row r="136" spans="1:6" ht="16" x14ac:dyDescent="0.2">
      <c r="A136" s="5" t="s">
        <v>201</v>
      </c>
      <c r="B136" s="5" t="s">
        <v>573</v>
      </c>
      <c r="C136" s="24">
        <v>67.75</v>
      </c>
      <c r="D136" s="22">
        <f t="array" ref="D136">IF(F136="n/a","—",IF(_xlfn.XLOOKUP(TRIM(SUBSTITUTE(A136,_xlfn.UNICHAR(160)," ")),TRIM(SUBSTITUTE('worker file'!$A$2:$A$406,_xlfn.UNICHAR(160)," ")),'worker file'!$L$2:$L$406,"")="US Biweekly",$I$3,$I$2))</f>
        <v>46298</v>
      </c>
      <c r="E136" s="5" t="s">
        <v>574</v>
      </c>
      <c r="F136" s="5" t="s">
        <v>554</v>
      </c>
    </row>
    <row r="137" spans="1:6" ht="16" x14ac:dyDescent="0.2">
      <c r="A137" s="5" t="s">
        <v>201</v>
      </c>
      <c r="B137" s="5" t="s">
        <v>566</v>
      </c>
      <c r="C137" s="24">
        <v>13.5</v>
      </c>
      <c r="D137" s="22">
        <f t="array" ref="D137">IF(F137="n/a","—",IF(_xlfn.XLOOKUP(TRIM(SUBSTITUTE(A137,_xlfn.UNICHAR(160)," ")),TRIM(SUBSTITUTE('worker file'!$A$2:$A$406,_xlfn.UNICHAR(160)," ")),'worker file'!$L$2:$L$406,"")="US Biweekly",$I$3,$I$2))</f>
        <v>46298</v>
      </c>
      <c r="E137" s="5" t="s">
        <v>571</v>
      </c>
      <c r="F137" s="5" t="s">
        <v>554</v>
      </c>
    </row>
    <row r="138" spans="1:6" ht="16" x14ac:dyDescent="0.2">
      <c r="A138" s="5" t="s">
        <v>202</v>
      </c>
      <c r="B138" s="5" t="s">
        <v>568</v>
      </c>
      <c r="C138" s="21" t="s">
        <v>569</v>
      </c>
      <c r="D138" s="22" t="str">
        <f t="array" ref="D138">IF(F138="n/a","—",IF(_xlfn.XLOOKUP(TRIM(SUBSTITUTE(A138,_xlfn.UNICHAR(160)," ")),TRIM(SUBSTITUTE('worker file'!$A$2:$A$406,_xlfn.UNICHAR(160)," ")),'worker file'!$L$2:$L$406,"")="US Biweekly",$I$3,$I$2))</f>
        <v>—</v>
      </c>
      <c r="E138" s="5" t="s">
        <v>570</v>
      </c>
      <c r="F138" s="5" t="s">
        <v>550</v>
      </c>
    </row>
    <row r="139" spans="1:6" ht="16" x14ac:dyDescent="0.2">
      <c r="A139" s="5" t="s">
        <v>203</v>
      </c>
      <c r="B139" s="5" t="s">
        <v>568</v>
      </c>
      <c r="C139" s="21" t="s">
        <v>569</v>
      </c>
      <c r="D139" s="22" t="str">
        <f t="array" ref="D139">IF(F139="n/a","—",IF(_xlfn.XLOOKUP(TRIM(SUBSTITUTE(A139,_xlfn.UNICHAR(160)," ")),TRIM(SUBSTITUTE('worker file'!$A$2:$A$406,_xlfn.UNICHAR(160)," ")),'worker file'!$L$2:$L$406,"")="US Biweekly",$I$3,$I$2))</f>
        <v>—</v>
      </c>
      <c r="E139" s="5" t="s">
        <v>570</v>
      </c>
      <c r="F139" s="5" t="s">
        <v>550</v>
      </c>
    </row>
    <row r="140" spans="1:6" ht="16" x14ac:dyDescent="0.2">
      <c r="A140" s="5" t="s">
        <v>204</v>
      </c>
      <c r="B140" s="5" t="s">
        <v>568</v>
      </c>
      <c r="C140" s="21" t="s">
        <v>569</v>
      </c>
      <c r="D140" s="22" t="str">
        <f t="array" ref="D140">IF(F140="n/a","—",IF(_xlfn.XLOOKUP(TRIM(SUBSTITUTE(A140,_xlfn.UNICHAR(160)," ")),TRIM(SUBSTITUTE('worker file'!$A$2:$A$406,_xlfn.UNICHAR(160)," ")),'worker file'!$L$2:$L$406,"")="US Biweekly",$I$3,$I$2))</f>
        <v>—</v>
      </c>
      <c r="E140" s="5" t="s">
        <v>570</v>
      </c>
      <c r="F140" s="5" t="s">
        <v>550</v>
      </c>
    </row>
    <row r="141" spans="1:6" ht="16" x14ac:dyDescent="0.2">
      <c r="A141" s="5" t="s">
        <v>204</v>
      </c>
      <c r="B141" s="5" t="s">
        <v>566</v>
      </c>
      <c r="C141" s="24">
        <v>49</v>
      </c>
      <c r="D141" s="22">
        <f t="array" ref="D141">IF(F141="n/a","—",IF(_xlfn.XLOOKUP(TRIM(SUBSTITUTE(A141,_xlfn.UNICHAR(160)," ")),TRIM(SUBSTITUTE('worker file'!$A$2:$A$406,_xlfn.UNICHAR(160)," ")),'worker file'!$L$2:$L$406,"")="US Biweekly",$I$3,$I$2))</f>
        <v>46295</v>
      </c>
      <c r="E141" s="5" t="s">
        <v>571</v>
      </c>
      <c r="F141" s="5" t="s">
        <v>554</v>
      </c>
    </row>
    <row r="142" spans="1:6" ht="16" x14ac:dyDescent="0.2">
      <c r="A142" s="5" t="s">
        <v>205</v>
      </c>
      <c r="B142" s="5" t="s">
        <v>568</v>
      </c>
      <c r="C142" s="21" t="s">
        <v>569</v>
      </c>
      <c r="D142" s="22" t="str">
        <f t="array" ref="D142">IF(F142="n/a","—",IF(_xlfn.XLOOKUP(TRIM(SUBSTITUTE(A142,_xlfn.UNICHAR(160)," ")),TRIM(SUBSTITUTE('worker file'!$A$2:$A$406,_xlfn.UNICHAR(160)," ")),'worker file'!$L$2:$L$406,"")="US Biweekly",$I$3,$I$2))</f>
        <v>—</v>
      </c>
      <c r="E142" s="5" t="s">
        <v>570</v>
      </c>
      <c r="F142" s="5" t="s">
        <v>550</v>
      </c>
    </row>
    <row r="143" spans="1:6" ht="16" x14ac:dyDescent="0.2">
      <c r="A143" s="5" t="s">
        <v>205</v>
      </c>
      <c r="B143" s="5" t="s">
        <v>566</v>
      </c>
      <c r="C143" s="24">
        <v>36</v>
      </c>
      <c r="D143" s="22">
        <f t="array" ref="D143">IF(F143="n/a","—",IF(_xlfn.XLOOKUP(TRIM(SUBSTITUTE(A143,_xlfn.UNICHAR(160)," ")),TRIM(SUBSTITUTE('worker file'!$A$2:$A$406,_xlfn.UNICHAR(160)," ")),'worker file'!$L$2:$L$406,"")="US Biweekly",$I$3,$I$2))</f>
        <v>46295</v>
      </c>
      <c r="E143" s="5" t="s">
        <v>571</v>
      </c>
      <c r="F143" s="5" t="s">
        <v>554</v>
      </c>
    </row>
    <row r="144" spans="1:6" ht="16" x14ac:dyDescent="0.2">
      <c r="A144" s="5" t="s">
        <v>206</v>
      </c>
      <c r="B144" s="5" t="s">
        <v>568</v>
      </c>
      <c r="C144" s="21" t="s">
        <v>569</v>
      </c>
      <c r="D144" s="22" t="str">
        <f t="array" ref="D144">IF(F144="n/a","—",IF(_xlfn.XLOOKUP(TRIM(SUBSTITUTE(A144,_xlfn.UNICHAR(160)," ")),TRIM(SUBSTITUTE('worker file'!$A$2:$A$406,_xlfn.UNICHAR(160)," ")),'worker file'!$L$2:$L$406,"")="US Biweekly",$I$3,$I$2))</f>
        <v>—</v>
      </c>
      <c r="E144" s="5" t="s">
        <v>570</v>
      </c>
      <c r="F144" s="5" t="s">
        <v>550</v>
      </c>
    </row>
    <row r="145" spans="1:6" ht="16" x14ac:dyDescent="0.2">
      <c r="A145" s="5" t="s">
        <v>207</v>
      </c>
      <c r="B145" s="5" t="s">
        <v>588</v>
      </c>
      <c r="C145" s="25">
        <v>2.5</v>
      </c>
      <c r="D145" s="22">
        <f t="array" ref="D145">IF(F145="n/a","—",IF(_xlfn.XLOOKUP(TRIM(SUBSTITUTE(A145,_xlfn.UNICHAR(160)," ")),TRIM(SUBSTITUTE('worker file'!$A$2:$A$406,_xlfn.UNICHAR(160)," ")),'worker file'!$L$2:$L$406,"")="US Biweekly",$I$3,$I$2))</f>
        <v>46295</v>
      </c>
      <c r="E145" s="5" t="s">
        <v>589</v>
      </c>
      <c r="F145" s="5" t="s">
        <v>559</v>
      </c>
    </row>
    <row r="146" spans="1:6" ht="16" x14ac:dyDescent="0.2">
      <c r="A146" s="5" t="s">
        <v>208</v>
      </c>
      <c r="B146" s="5" t="s">
        <v>568</v>
      </c>
      <c r="C146" s="21" t="s">
        <v>569</v>
      </c>
      <c r="D146" s="22" t="str">
        <f t="array" ref="D146">IF(F146="n/a","—",IF(_xlfn.XLOOKUP(TRIM(SUBSTITUTE(A146,_xlfn.UNICHAR(160)," ")),TRIM(SUBSTITUTE('worker file'!$A$2:$A$406,_xlfn.UNICHAR(160)," ")),'worker file'!$L$2:$L$406,"")="US Biweekly",$I$3,$I$2))</f>
        <v>—</v>
      </c>
      <c r="E146" s="5" t="s">
        <v>570</v>
      </c>
      <c r="F146" s="5" t="s">
        <v>550</v>
      </c>
    </row>
    <row r="147" spans="1:6" ht="16" x14ac:dyDescent="0.2">
      <c r="A147" s="5" t="s">
        <v>208</v>
      </c>
      <c r="B147" s="5" t="s">
        <v>566</v>
      </c>
      <c r="C147" s="24">
        <v>73.75</v>
      </c>
      <c r="D147" s="22">
        <f t="array" ref="D147">IF(F147="n/a","—",IF(_xlfn.XLOOKUP(TRIM(SUBSTITUTE(A147,_xlfn.UNICHAR(160)," ")),TRIM(SUBSTITUTE('worker file'!$A$2:$A$406,_xlfn.UNICHAR(160)," ")),'worker file'!$L$2:$L$406,"")="US Biweekly",$I$3,$I$2))</f>
        <v>46295</v>
      </c>
      <c r="E147" s="5" t="s">
        <v>571</v>
      </c>
      <c r="F147" s="5" t="s">
        <v>554</v>
      </c>
    </row>
    <row r="148" spans="1:6" ht="16" x14ac:dyDescent="0.2">
      <c r="A148" s="5" t="s">
        <v>209</v>
      </c>
      <c r="B148" s="5" t="s">
        <v>584</v>
      </c>
      <c r="C148" s="25">
        <v>1</v>
      </c>
      <c r="D148" s="22">
        <f t="array" ref="D148">IF(F148="n/a","—",IF(_xlfn.XLOOKUP(TRIM(SUBSTITUTE(A148,_xlfn.UNICHAR(160)," ")),TRIM(SUBSTITUTE('worker file'!$A$2:$A$406,_xlfn.UNICHAR(160)," ")),'worker file'!$L$2:$L$406,"")="US Biweekly",$I$3,$I$2))</f>
        <v>46295</v>
      </c>
      <c r="E148" s="5" t="s">
        <v>585</v>
      </c>
      <c r="F148" s="5" t="s">
        <v>559</v>
      </c>
    </row>
    <row r="149" spans="1:6" ht="16" x14ac:dyDescent="0.2">
      <c r="A149" s="5" t="s">
        <v>209</v>
      </c>
      <c r="B149" s="5" t="s">
        <v>586</v>
      </c>
      <c r="C149" s="25">
        <v>2</v>
      </c>
      <c r="D149" s="22">
        <f t="array" ref="D149">IF(F149="n/a","—",IF(_xlfn.XLOOKUP(TRIM(SUBSTITUTE(A149,_xlfn.UNICHAR(160)," ")),TRIM(SUBSTITUTE('worker file'!$A$2:$A$406,_xlfn.UNICHAR(160)," ")),'worker file'!$L$2:$L$406,"")="US Biweekly",$I$3,$I$2))</f>
        <v>46295</v>
      </c>
      <c r="E149" s="5" t="s">
        <v>587</v>
      </c>
      <c r="F149" s="5" t="s">
        <v>559</v>
      </c>
    </row>
    <row r="150" spans="1:6" ht="16" x14ac:dyDescent="0.2">
      <c r="A150" s="5" t="s">
        <v>210</v>
      </c>
      <c r="B150" s="5" t="s">
        <v>568</v>
      </c>
      <c r="C150" s="21" t="s">
        <v>569</v>
      </c>
      <c r="D150" s="22" t="str">
        <f t="array" ref="D150">IF(F150="n/a","—",IF(_xlfn.XLOOKUP(TRIM(SUBSTITUTE(A150,_xlfn.UNICHAR(160)," ")),TRIM(SUBSTITUTE('worker file'!$A$2:$A$406,_xlfn.UNICHAR(160)," ")),'worker file'!$L$2:$L$406,"")="US Biweekly",$I$3,$I$2))</f>
        <v>—</v>
      </c>
      <c r="E150" s="5" t="s">
        <v>570</v>
      </c>
      <c r="F150" s="5" t="s">
        <v>550</v>
      </c>
    </row>
    <row r="151" spans="1:6" ht="16" x14ac:dyDescent="0.2">
      <c r="A151" s="5" t="s">
        <v>210</v>
      </c>
      <c r="B151" s="5" t="s">
        <v>566</v>
      </c>
      <c r="C151" s="24">
        <v>73.75</v>
      </c>
      <c r="D151" s="22">
        <f t="array" ref="D151">IF(F151="n/a","—",IF(_xlfn.XLOOKUP(TRIM(SUBSTITUTE(A151,_xlfn.UNICHAR(160)," ")),TRIM(SUBSTITUTE('worker file'!$A$2:$A$406,_xlfn.UNICHAR(160)," ")),'worker file'!$L$2:$L$406,"")="US Biweekly",$I$3,$I$2))</f>
        <v>46295</v>
      </c>
      <c r="E151" s="5" t="s">
        <v>571</v>
      </c>
      <c r="F151" s="5" t="s">
        <v>554</v>
      </c>
    </row>
    <row r="152" spans="1:6" ht="16" x14ac:dyDescent="0.2">
      <c r="A152" s="5" t="s">
        <v>211</v>
      </c>
      <c r="B152" s="5" t="s">
        <v>573</v>
      </c>
      <c r="C152" s="24">
        <v>90.75</v>
      </c>
      <c r="D152" s="22">
        <f t="array" ref="D152">IF(F152="n/a","—",IF(_xlfn.XLOOKUP(TRIM(SUBSTITUTE(A152,_xlfn.UNICHAR(160)," ")),TRIM(SUBSTITUTE('worker file'!$A$2:$A$406,_xlfn.UNICHAR(160)," ")),'worker file'!$L$2:$L$406,"")="US Biweekly",$I$3,$I$2))</f>
        <v>46298</v>
      </c>
      <c r="E152" s="5" t="s">
        <v>574</v>
      </c>
      <c r="F152" s="5" t="s">
        <v>554</v>
      </c>
    </row>
    <row r="153" spans="1:6" ht="16" x14ac:dyDescent="0.2">
      <c r="A153" s="5" t="s">
        <v>211</v>
      </c>
      <c r="B153" s="5" t="s">
        <v>566</v>
      </c>
      <c r="C153" s="24">
        <v>1.75</v>
      </c>
      <c r="D153" s="22">
        <f t="array" ref="D153">IF(F153="n/a","—",IF(_xlfn.XLOOKUP(TRIM(SUBSTITUTE(A153,_xlfn.UNICHAR(160)," ")),TRIM(SUBSTITUTE('worker file'!$A$2:$A$406,_xlfn.UNICHAR(160)," ")),'worker file'!$L$2:$L$406,"")="US Biweekly",$I$3,$I$2))</f>
        <v>46298</v>
      </c>
      <c r="E153" s="5" t="s">
        <v>571</v>
      </c>
      <c r="F153" s="5" t="s">
        <v>554</v>
      </c>
    </row>
    <row r="154" spans="1:6" ht="16" x14ac:dyDescent="0.2">
      <c r="A154" s="5" t="s">
        <v>212</v>
      </c>
      <c r="B154" s="5" t="s">
        <v>568</v>
      </c>
      <c r="C154" s="21" t="s">
        <v>569</v>
      </c>
      <c r="D154" s="22" t="str">
        <f t="array" ref="D154">IF(F154="n/a","—",IF(_xlfn.XLOOKUP(TRIM(SUBSTITUTE(A154,_xlfn.UNICHAR(160)," ")),TRIM(SUBSTITUTE('worker file'!$A$2:$A$406,_xlfn.UNICHAR(160)," ")),'worker file'!$L$2:$L$406,"")="US Biweekly",$I$3,$I$2))</f>
        <v>—</v>
      </c>
      <c r="E154" s="5" t="s">
        <v>570</v>
      </c>
      <c r="F154" s="5" t="s">
        <v>550</v>
      </c>
    </row>
    <row r="155" spans="1:6" ht="16" x14ac:dyDescent="0.2">
      <c r="A155" s="5" t="s">
        <v>212</v>
      </c>
      <c r="B155" s="5" t="s">
        <v>566</v>
      </c>
      <c r="C155" s="24">
        <v>56.25</v>
      </c>
      <c r="D155" s="22">
        <f t="array" ref="D155">IF(F155="n/a","—",IF(_xlfn.XLOOKUP(TRIM(SUBSTITUTE(A155,_xlfn.UNICHAR(160)," ")),TRIM(SUBSTITUTE('worker file'!$A$2:$A$406,_xlfn.UNICHAR(160)," ")),'worker file'!$L$2:$L$406,"")="US Biweekly",$I$3,$I$2))</f>
        <v>46295</v>
      </c>
      <c r="E155" s="5" t="s">
        <v>571</v>
      </c>
      <c r="F155" s="5" t="s">
        <v>554</v>
      </c>
    </row>
    <row r="156" spans="1:6" ht="16" x14ac:dyDescent="0.2">
      <c r="A156" s="5" t="s">
        <v>213</v>
      </c>
      <c r="B156" s="5" t="s">
        <v>568</v>
      </c>
      <c r="C156" s="21" t="s">
        <v>569</v>
      </c>
      <c r="D156" s="22" t="str">
        <f t="array" ref="D156">IF(F156="n/a","—",IF(_xlfn.XLOOKUP(TRIM(SUBSTITUTE(A156,_xlfn.UNICHAR(160)," ")),TRIM(SUBSTITUTE('worker file'!$A$2:$A$406,_xlfn.UNICHAR(160)," ")),'worker file'!$L$2:$L$406,"")="US Biweekly",$I$3,$I$2))</f>
        <v>—</v>
      </c>
      <c r="E156" s="5" t="s">
        <v>570</v>
      </c>
      <c r="F156" s="5" t="s">
        <v>550</v>
      </c>
    </row>
    <row r="157" spans="1:6" ht="16" x14ac:dyDescent="0.2">
      <c r="A157" s="5" t="s">
        <v>213</v>
      </c>
      <c r="B157" s="5" t="s">
        <v>566</v>
      </c>
      <c r="C157" s="24">
        <v>51.5</v>
      </c>
      <c r="D157" s="22">
        <f t="array" ref="D157">IF(F157="n/a","—",IF(_xlfn.XLOOKUP(TRIM(SUBSTITUTE(A157,_xlfn.UNICHAR(160)," ")),TRIM(SUBSTITUTE('worker file'!$A$2:$A$406,_xlfn.UNICHAR(160)," ")),'worker file'!$L$2:$L$406,"")="US Biweekly",$I$3,$I$2))</f>
        <v>46295</v>
      </c>
      <c r="E157" s="5" t="s">
        <v>571</v>
      </c>
      <c r="F157" s="5" t="s">
        <v>554</v>
      </c>
    </row>
    <row r="158" spans="1:6" ht="16" x14ac:dyDescent="0.2">
      <c r="A158" s="5" t="s">
        <v>214</v>
      </c>
      <c r="B158" s="5" t="s">
        <v>584</v>
      </c>
      <c r="C158" s="25">
        <v>2</v>
      </c>
      <c r="D158" s="22">
        <f t="array" ref="D158">IF(F158="n/a","—",IF(_xlfn.XLOOKUP(TRIM(SUBSTITUTE(A158,_xlfn.UNICHAR(160)," ")),TRIM(SUBSTITUTE('worker file'!$A$2:$A$406,_xlfn.UNICHAR(160)," ")),'worker file'!$L$2:$L$406,"")="US Biweekly",$I$3,$I$2))</f>
        <v>46295</v>
      </c>
      <c r="E158" s="5" t="s">
        <v>585</v>
      </c>
      <c r="F158" s="5" t="s">
        <v>559</v>
      </c>
    </row>
    <row r="159" spans="1:6" ht="16" x14ac:dyDescent="0.2">
      <c r="A159" s="5" t="s">
        <v>214</v>
      </c>
      <c r="B159" s="5" t="s">
        <v>586</v>
      </c>
      <c r="C159" s="25">
        <v>7.5</v>
      </c>
      <c r="D159" s="22">
        <f t="array" ref="D159">IF(F159="n/a","—",IF(_xlfn.XLOOKUP(TRIM(SUBSTITUTE(A159,_xlfn.UNICHAR(160)," ")),TRIM(SUBSTITUTE('worker file'!$A$2:$A$406,_xlfn.UNICHAR(160)," ")),'worker file'!$L$2:$L$406,"")="US Biweekly",$I$3,$I$2))</f>
        <v>46295</v>
      </c>
      <c r="E159" s="5" t="s">
        <v>587</v>
      </c>
      <c r="F159" s="5" t="s">
        <v>559</v>
      </c>
    </row>
    <row r="160" spans="1:6" ht="16" x14ac:dyDescent="0.2">
      <c r="A160" s="5" t="s">
        <v>215</v>
      </c>
      <c r="B160" s="5" t="s">
        <v>568</v>
      </c>
      <c r="C160" s="21" t="s">
        <v>569</v>
      </c>
      <c r="D160" s="22" t="str">
        <f t="array" ref="D160">IF(F160="n/a","—",IF(_xlfn.XLOOKUP(TRIM(SUBSTITUTE(A160,_xlfn.UNICHAR(160)," ")),TRIM(SUBSTITUTE('worker file'!$A$2:$A$406,_xlfn.UNICHAR(160)," ")),'worker file'!$L$2:$L$406,"")="US Biweekly",$I$3,$I$2))</f>
        <v>—</v>
      </c>
      <c r="E160" s="5" t="s">
        <v>570</v>
      </c>
      <c r="F160" s="5" t="s">
        <v>550</v>
      </c>
    </row>
    <row r="161" spans="1:6" ht="16" x14ac:dyDescent="0.2">
      <c r="A161" s="5" t="s">
        <v>215</v>
      </c>
      <c r="B161" s="5" t="s">
        <v>590</v>
      </c>
      <c r="C161" s="24">
        <v>31</v>
      </c>
      <c r="D161" s="22">
        <f t="array" ref="D161">IF(F161="n/a","—",IF(_xlfn.XLOOKUP(TRIM(SUBSTITUTE(A161,_xlfn.UNICHAR(160)," ")),TRIM(SUBSTITUTE('worker file'!$A$2:$A$406,_xlfn.UNICHAR(160)," ")),'worker file'!$L$2:$L$406,"")="US Biweekly",$I$3,$I$2))</f>
        <v>46295</v>
      </c>
      <c r="E161" s="5" t="s">
        <v>591</v>
      </c>
      <c r="F161" s="5" t="s">
        <v>554</v>
      </c>
    </row>
    <row r="162" spans="1:6" ht="16" x14ac:dyDescent="0.2">
      <c r="A162" s="5" t="s">
        <v>216</v>
      </c>
      <c r="B162" s="5" t="s">
        <v>568</v>
      </c>
      <c r="C162" s="21" t="s">
        <v>569</v>
      </c>
      <c r="D162" s="22" t="str">
        <f t="array" ref="D162">IF(F162="n/a","—",IF(_xlfn.XLOOKUP(TRIM(SUBSTITUTE(A162,_xlfn.UNICHAR(160)," ")),TRIM(SUBSTITUTE('worker file'!$A$2:$A$406,_xlfn.UNICHAR(160)," ")),'worker file'!$L$2:$L$406,"")="US Biweekly",$I$3,$I$2))</f>
        <v>—</v>
      </c>
      <c r="E162" s="5" t="s">
        <v>570</v>
      </c>
      <c r="F162" s="5" t="s">
        <v>550</v>
      </c>
    </row>
    <row r="163" spans="1:6" ht="16" x14ac:dyDescent="0.2">
      <c r="A163" s="5" t="s">
        <v>217</v>
      </c>
      <c r="B163" s="5" t="s">
        <v>584</v>
      </c>
      <c r="C163" s="25">
        <v>0.5</v>
      </c>
      <c r="D163" s="22">
        <f t="array" ref="D163">IF(F163="n/a","—",IF(_xlfn.XLOOKUP(TRIM(SUBSTITUTE(A163,_xlfn.UNICHAR(160)," ")),TRIM(SUBSTITUTE('worker file'!$A$2:$A$406,_xlfn.UNICHAR(160)," ")),'worker file'!$L$2:$L$406,"")="US Biweekly",$I$3,$I$2))</f>
        <v>46295</v>
      </c>
      <c r="E163" s="5" t="s">
        <v>585</v>
      </c>
      <c r="F163" s="5" t="s">
        <v>559</v>
      </c>
    </row>
    <row r="164" spans="1:6" ht="16" x14ac:dyDescent="0.2">
      <c r="A164" s="5" t="s">
        <v>217</v>
      </c>
      <c r="B164" s="5" t="s">
        <v>586</v>
      </c>
      <c r="C164" s="25">
        <v>5</v>
      </c>
      <c r="D164" s="22">
        <f t="array" ref="D164">IF(F164="n/a","—",IF(_xlfn.XLOOKUP(TRIM(SUBSTITUTE(A164,_xlfn.UNICHAR(160)," ")),TRIM(SUBSTITUTE('worker file'!$A$2:$A$406,_xlfn.UNICHAR(160)," ")),'worker file'!$L$2:$L$406,"")="US Biweekly",$I$3,$I$2))</f>
        <v>46295</v>
      </c>
      <c r="E164" s="5" t="s">
        <v>587</v>
      </c>
      <c r="F164" s="5" t="s">
        <v>559</v>
      </c>
    </row>
    <row r="165" spans="1:6" ht="16" x14ac:dyDescent="0.2">
      <c r="A165" s="5" t="s">
        <v>218</v>
      </c>
      <c r="B165" s="5" t="s">
        <v>588</v>
      </c>
      <c r="C165" s="25">
        <v>9.5</v>
      </c>
      <c r="D165" s="22">
        <f t="array" ref="D165">IF(F165="n/a","—",IF(_xlfn.XLOOKUP(TRIM(SUBSTITUTE(A165,_xlfn.UNICHAR(160)," ")),TRIM(SUBSTITUTE('worker file'!$A$2:$A$406,_xlfn.UNICHAR(160)," ")),'worker file'!$L$2:$L$406,"")="US Biweekly",$I$3,$I$2))</f>
        <v>46295</v>
      </c>
      <c r="E165" s="5" t="s">
        <v>589</v>
      </c>
      <c r="F165" s="5" t="s">
        <v>559</v>
      </c>
    </row>
    <row r="166" spans="1:6" ht="16" x14ac:dyDescent="0.2">
      <c r="A166" s="5" t="s">
        <v>219</v>
      </c>
      <c r="B166" s="5" t="s">
        <v>573</v>
      </c>
      <c r="C166" s="24">
        <v>53.75</v>
      </c>
      <c r="D166" s="22">
        <f t="array" ref="D166">IF(F166="n/a","—",IF(_xlfn.XLOOKUP(TRIM(SUBSTITUTE(A166,_xlfn.UNICHAR(160)," ")),TRIM(SUBSTITUTE('worker file'!$A$2:$A$406,_xlfn.UNICHAR(160)," ")),'worker file'!$L$2:$L$406,"")="US Biweekly",$I$3,$I$2))</f>
        <v>46298</v>
      </c>
      <c r="E166" s="5" t="s">
        <v>574</v>
      </c>
      <c r="F166" s="5" t="s">
        <v>554</v>
      </c>
    </row>
    <row r="167" spans="1:6" ht="16" x14ac:dyDescent="0.2">
      <c r="A167" s="5" t="s">
        <v>219</v>
      </c>
      <c r="B167" s="5" t="s">
        <v>575</v>
      </c>
      <c r="C167" s="24">
        <v>3</v>
      </c>
      <c r="D167" s="22">
        <f t="array" ref="D167">IF(F167="n/a","—",IF(_xlfn.XLOOKUP(TRIM(SUBSTITUTE(A167,_xlfn.UNICHAR(160)," ")),TRIM(SUBSTITUTE('worker file'!$A$2:$A$406,_xlfn.UNICHAR(160)," ")),'worker file'!$L$2:$L$406,"")="US Biweekly",$I$3,$I$2))</f>
        <v>46298</v>
      </c>
      <c r="E167" s="5" t="s">
        <v>576</v>
      </c>
      <c r="F167" s="5" t="s">
        <v>554</v>
      </c>
    </row>
    <row r="168" spans="1:6" ht="16" x14ac:dyDescent="0.2">
      <c r="A168" s="5" t="s">
        <v>220</v>
      </c>
      <c r="B168" s="5" t="s">
        <v>568</v>
      </c>
      <c r="C168" s="21" t="s">
        <v>569</v>
      </c>
      <c r="D168" s="22" t="str">
        <f t="array" ref="D168">IF(F168="n/a","—",IF(_xlfn.XLOOKUP(TRIM(SUBSTITUTE(A168,_xlfn.UNICHAR(160)," ")),TRIM(SUBSTITUTE('worker file'!$A$2:$A$406,_xlfn.UNICHAR(160)," ")),'worker file'!$L$2:$L$406,"")="US Biweekly",$I$3,$I$2))</f>
        <v>—</v>
      </c>
      <c r="E168" s="5" t="s">
        <v>570</v>
      </c>
      <c r="F168" s="5" t="s">
        <v>550</v>
      </c>
    </row>
    <row r="169" spans="1:6" ht="16" x14ac:dyDescent="0.2">
      <c r="A169" s="5" t="s">
        <v>220</v>
      </c>
      <c r="B169" s="5" t="s">
        <v>566</v>
      </c>
      <c r="C169" s="24">
        <v>45.25</v>
      </c>
      <c r="D169" s="22">
        <f t="array" ref="D169">IF(F169="n/a","—",IF(_xlfn.XLOOKUP(TRIM(SUBSTITUTE(A169,_xlfn.UNICHAR(160)," ")),TRIM(SUBSTITUTE('worker file'!$A$2:$A$406,_xlfn.UNICHAR(160)," ")),'worker file'!$L$2:$L$406,"")="US Biweekly",$I$3,$I$2))</f>
        <v>46295</v>
      </c>
      <c r="E169" s="5" t="s">
        <v>571</v>
      </c>
      <c r="F169" s="5" t="s">
        <v>554</v>
      </c>
    </row>
    <row r="170" spans="1:6" ht="16" x14ac:dyDescent="0.2">
      <c r="A170" s="5" t="s">
        <v>221</v>
      </c>
      <c r="B170" s="5" t="s">
        <v>588</v>
      </c>
      <c r="C170" s="25">
        <v>5.5</v>
      </c>
      <c r="D170" s="22">
        <f t="array" ref="D170">IF(F170="n/a","—",IF(_xlfn.XLOOKUP(TRIM(SUBSTITUTE(A170,_xlfn.UNICHAR(160)," ")),TRIM(SUBSTITUTE('worker file'!$A$2:$A$406,_xlfn.UNICHAR(160)," ")),'worker file'!$L$2:$L$406,"")="US Biweekly",$I$3,$I$2))</f>
        <v>46295</v>
      </c>
      <c r="E170" s="5" t="s">
        <v>589</v>
      </c>
      <c r="F170" s="5" t="s">
        <v>559</v>
      </c>
    </row>
    <row r="171" spans="1:6" ht="16" x14ac:dyDescent="0.2">
      <c r="A171" s="5" t="s">
        <v>222</v>
      </c>
      <c r="B171" s="5" t="s">
        <v>568</v>
      </c>
      <c r="C171" s="21" t="s">
        <v>569</v>
      </c>
      <c r="D171" s="22" t="str">
        <f t="array" ref="D171">IF(F171="n/a","—",IF(_xlfn.XLOOKUP(TRIM(SUBSTITUTE(A171,_xlfn.UNICHAR(160)," ")),TRIM(SUBSTITUTE('worker file'!$A$2:$A$406,_xlfn.UNICHAR(160)," ")),'worker file'!$L$2:$L$406,"")="US Biweekly",$I$3,$I$2))</f>
        <v>—</v>
      </c>
      <c r="E171" s="5" t="s">
        <v>570</v>
      </c>
      <c r="F171" s="5" t="s">
        <v>550</v>
      </c>
    </row>
    <row r="172" spans="1:6" ht="16" x14ac:dyDescent="0.2">
      <c r="A172" s="5" t="s">
        <v>222</v>
      </c>
      <c r="B172" s="5" t="s">
        <v>582</v>
      </c>
      <c r="C172" s="24">
        <v>23.75</v>
      </c>
      <c r="D172" s="22">
        <f t="array" ref="D172">IF(F172="n/a","—",IF(_xlfn.XLOOKUP(TRIM(SUBSTITUTE(A172,_xlfn.UNICHAR(160)," ")),TRIM(SUBSTITUTE('worker file'!$A$2:$A$406,_xlfn.UNICHAR(160)," ")),'worker file'!$L$2:$L$406,"")="US Biweekly",$I$3,$I$2))</f>
        <v>46295</v>
      </c>
      <c r="E172" s="5" t="s">
        <v>583</v>
      </c>
      <c r="F172" s="5" t="s">
        <v>554</v>
      </c>
    </row>
    <row r="173" spans="1:6" ht="16" x14ac:dyDescent="0.2">
      <c r="A173" s="5" t="s">
        <v>223</v>
      </c>
      <c r="B173" s="5" t="s">
        <v>584</v>
      </c>
      <c r="C173" s="25">
        <v>21.5</v>
      </c>
      <c r="D173" s="22">
        <f t="array" ref="D173">IF(F173="n/a","—",IF(_xlfn.XLOOKUP(TRIM(SUBSTITUTE(A173,_xlfn.UNICHAR(160)," ")),TRIM(SUBSTITUTE('worker file'!$A$2:$A$406,_xlfn.UNICHAR(160)," ")),'worker file'!$L$2:$L$406,"")="US Biweekly",$I$3,$I$2))</f>
        <v>46295</v>
      </c>
      <c r="E173" s="5" t="s">
        <v>585</v>
      </c>
      <c r="F173" s="5" t="s">
        <v>559</v>
      </c>
    </row>
    <row r="174" spans="1:6" ht="16" x14ac:dyDescent="0.2">
      <c r="A174" s="5" t="s">
        <v>223</v>
      </c>
      <c r="B174" s="5" t="s">
        <v>586</v>
      </c>
      <c r="C174" s="25">
        <v>0.5</v>
      </c>
      <c r="D174" s="22">
        <f t="array" ref="D174">IF(F174="n/a","—",IF(_xlfn.XLOOKUP(TRIM(SUBSTITUTE(A174,_xlfn.UNICHAR(160)," ")),TRIM(SUBSTITUTE('worker file'!$A$2:$A$406,_xlfn.UNICHAR(160)," ")),'worker file'!$L$2:$L$406,"")="US Biweekly",$I$3,$I$2))</f>
        <v>46295</v>
      </c>
      <c r="E174" s="5" t="s">
        <v>587</v>
      </c>
      <c r="F174" s="5" t="s">
        <v>559</v>
      </c>
    </row>
    <row r="175" spans="1:6" ht="16" x14ac:dyDescent="0.2">
      <c r="A175" s="5" t="s">
        <v>226</v>
      </c>
      <c r="B175" s="5" t="s">
        <v>568</v>
      </c>
      <c r="C175" s="21" t="s">
        <v>569</v>
      </c>
      <c r="D175" s="22" t="str">
        <f t="array" ref="D175">IF(F175="n/a","—",IF(_xlfn.XLOOKUP(TRIM(SUBSTITUTE(A175,_xlfn.UNICHAR(160)," ")),TRIM(SUBSTITUTE('worker file'!$A$2:$A$406,_xlfn.UNICHAR(160)," ")),'worker file'!$L$2:$L$406,"")="US Biweekly",$I$3,$I$2))</f>
        <v>—</v>
      </c>
      <c r="E175" s="5" t="s">
        <v>570</v>
      </c>
      <c r="F175" s="5" t="s">
        <v>550</v>
      </c>
    </row>
    <row r="176" spans="1:6" ht="16" x14ac:dyDescent="0.2">
      <c r="A176" s="5" t="s">
        <v>227</v>
      </c>
      <c r="B176" s="5" t="s">
        <v>568</v>
      </c>
      <c r="C176" s="21" t="s">
        <v>569</v>
      </c>
      <c r="D176" s="22" t="str">
        <f t="array" ref="D176">IF(F176="n/a","—",IF(_xlfn.XLOOKUP(TRIM(SUBSTITUTE(A176,_xlfn.UNICHAR(160)," ")),TRIM(SUBSTITUTE('worker file'!$A$2:$A$406,_xlfn.UNICHAR(160)," ")),'worker file'!$L$2:$L$406,"")="US Biweekly",$I$3,$I$2))</f>
        <v>—</v>
      </c>
      <c r="E176" s="5" t="s">
        <v>570</v>
      </c>
      <c r="F176" s="5" t="s">
        <v>550</v>
      </c>
    </row>
    <row r="177" spans="1:6" ht="16" x14ac:dyDescent="0.2">
      <c r="A177" s="5" t="s">
        <v>227</v>
      </c>
      <c r="B177" s="5" t="s">
        <v>566</v>
      </c>
      <c r="C177" s="24">
        <v>49.25</v>
      </c>
      <c r="D177" s="22">
        <f t="array" ref="D177">IF(F177="n/a","—",IF(_xlfn.XLOOKUP(TRIM(SUBSTITUTE(A177,_xlfn.UNICHAR(160)," ")),TRIM(SUBSTITUTE('worker file'!$A$2:$A$406,_xlfn.UNICHAR(160)," ")),'worker file'!$L$2:$L$406,"")="US Biweekly",$I$3,$I$2))</f>
        <v>46295</v>
      </c>
      <c r="E177" s="5" t="s">
        <v>571</v>
      </c>
      <c r="F177" s="5" t="s">
        <v>554</v>
      </c>
    </row>
    <row r="178" spans="1:6" ht="16" x14ac:dyDescent="0.2">
      <c r="A178" s="5" t="s">
        <v>228</v>
      </c>
      <c r="B178" s="5" t="s">
        <v>568</v>
      </c>
      <c r="C178" s="21" t="s">
        <v>569</v>
      </c>
      <c r="D178" s="22" t="str">
        <f t="array" ref="D178">IF(F178="n/a","—",IF(_xlfn.XLOOKUP(TRIM(SUBSTITUTE(A178,_xlfn.UNICHAR(160)," ")),TRIM(SUBSTITUTE('worker file'!$A$2:$A$406,_xlfn.UNICHAR(160)," ")),'worker file'!$L$2:$L$406,"")="US Biweekly",$I$3,$I$2))</f>
        <v>—</v>
      </c>
      <c r="E178" s="5" t="s">
        <v>570</v>
      </c>
      <c r="F178" s="5" t="s">
        <v>550</v>
      </c>
    </row>
    <row r="179" spans="1:6" ht="16" x14ac:dyDescent="0.2">
      <c r="A179" s="5" t="s">
        <v>229</v>
      </c>
      <c r="B179" s="5" t="s">
        <v>568</v>
      </c>
      <c r="C179" s="21" t="s">
        <v>569</v>
      </c>
      <c r="D179" s="22" t="str">
        <f t="array" ref="D179">IF(F179="n/a","—",IF(_xlfn.XLOOKUP(TRIM(SUBSTITUTE(A179,_xlfn.UNICHAR(160)," ")),TRIM(SUBSTITUTE('worker file'!$A$2:$A$406,_xlfn.UNICHAR(160)," ")),'worker file'!$L$2:$L$406,"")="US Biweekly",$I$3,$I$2))</f>
        <v>—</v>
      </c>
      <c r="E179" s="5" t="s">
        <v>570</v>
      </c>
      <c r="F179" s="5" t="s">
        <v>550</v>
      </c>
    </row>
    <row r="180" spans="1:6" ht="16" x14ac:dyDescent="0.2">
      <c r="A180" s="5" t="s">
        <v>229</v>
      </c>
      <c r="B180" s="5" t="s">
        <v>566</v>
      </c>
      <c r="C180" s="24">
        <v>72.75</v>
      </c>
      <c r="D180" s="22">
        <f t="array" ref="D180">IF(F180="n/a","—",IF(_xlfn.XLOOKUP(TRIM(SUBSTITUTE(A180,_xlfn.UNICHAR(160)," ")),TRIM(SUBSTITUTE('worker file'!$A$2:$A$406,_xlfn.UNICHAR(160)," ")),'worker file'!$L$2:$L$406,"")="US Biweekly",$I$3,$I$2))</f>
        <v>46295</v>
      </c>
      <c r="E180" s="5" t="s">
        <v>571</v>
      </c>
      <c r="F180" s="5" t="s">
        <v>554</v>
      </c>
    </row>
    <row r="181" spans="1:6" ht="16" x14ac:dyDescent="0.2">
      <c r="A181" s="5" t="s">
        <v>230</v>
      </c>
      <c r="B181" s="5" t="s">
        <v>568</v>
      </c>
      <c r="C181" s="21" t="s">
        <v>569</v>
      </c>
      <c r="D181" s="22" t="str">
        <f t="array" ref="D181">IF(F181="n/a","—",IF(_xlfn.XLOOKUP(TRIM(SUBSTITUTE(A181,_xlfn.UNICHAR(160)," ")),TRIM(SUBSTITUTE('worker file'!$A$2:$A$406,_xlfn.UNICHAR(160)," ")),'worker file'!$L$2:$L$406,"")="US Biweekly",$I$3,$I$2))</f>
        <v>—</v>
      </c>
      <c r="E181" s="5" t="s">
        <v>570</v>
      </c>
      <c r="F181" s="5" t="s">
        <v>550</v>
      </c>
    </row>
    <row r="182" spans="1:6" ht="16" x14ac:dyDescent="0.2">
      <c r="A182" s="5" t="s">
        <v>230</v>
      </c>
      <c r="B182" s="5" t="s">
        <v>566</v>
      </c>
      <c r="C182" s="24">
        <v>51</v>
      </c>
      <c r="D182" s="22">
        <f t="array" ref="D182">IF(F182="n/a","—",IF(_xlfn.XLOOKUP(TRIM(SUBSTITUTE(A182,_xlfn.UNICHAR(160)," ")),TRIM(SUBSTITUTE('worker file'!$A$2:$A$406,_xlfn.UNICHAR(160)," ")),'worker file'!$L$2:$L$406,"")="US Biweekly",$I$3,$I$2))</f>
        <v>46295</v>
      </c>
      <c r="E182" s="5" t="s">
        <v>571</v>
      </c>
      <c r="F182" s="5" t="s">
        <v>554</v>
      </c>
    </row>
    <row r="183" spans="1:6" ht="16" x14ac:dyDescent="0.2">
      <c r="A183" s="5" t="s">
        <v>231</v>
      </c>
      <c r="B183" s="5" t="s">
        <v>568</v>
      </c>
      <c r="C183" s="21" t="s">
        <v>569</v>
      </c>
      <c r="D183" s="22" t="str">
        <f t="array" ref="D183">IF(F183="n/a","—",IF(_xlfn.XLOOKUP(TRIM(SUBSTITUTE(A183,_xlfn.UNICHAR(160)," ")),TRIM(SUBSTITUTE('worker file'!$A$2:$A$406,_xlfn.UNICHAR(160)," ")),'worker file'!$L$2:$L$406,"")="US Biweekly",$I$3,$I$2))</f>
        <v>—</v>
      </c>
      <c r="E183" s="5" t="s">
        <v>570</v>
      </c>
      <c r="F183" s="5" t="s">
        <v>550</v>
      </c>
    </row>
    <row r="184" spans="1:6" ht="16" x14ac:dyDescent="0.2">
      <c r="A184" s="5" t="s">
        <v>231</v>
      </c>
      <c r="B184" s="5" t="s">
        <v>577</v>
      </c>
      <c r="C184" s="24">
        <v>46.75</v>
      </c>
      <c r="D184" s="22">
        <f t="array" ref="D184">IF(F184="n/a","—",IF(_xlfn.XLOOKUP(TRIM(SUBSTITUTE(A184,_xlfn.UNICHAR(160)," ")),TRIM(SUBSTITUTE('worker file'!$A$2:$A$406,_xlfn.UNICHAR(160)," ")),'worker file'!$L$2:$L$406,"")="US Biweekly",$I$3,$I$2))</f>
        <v>46295</v>
      </c>
      <c r="E184" s="5" t="s">
        <v>578</v>
      </c>
      <c r="F184" s="5" t="s">
        <v>554</v>
      </c>
    </row>
    <row r="185" spans="1:6" ht="16" x14ac:dyDescent="0.2">
      <c r="A185" s="5" t="s">
        <v>232</v>
      </c>
      <c r="B185" s="5" t="s">
        <v>568</v>
      </c>
      <c r="C185" s="21" t="s">
        <v>569</v>
      </c>
      <c r="D185" s="22" t="str">
        <f t="array" ref="D185">IF(F185="n/a","—",IF(_xlfn.XLOOKUP(TRIM(SUBSTITUTE(A185,_xlfn.UNICHAR(160)," ")),TRIM(SUBSTITUTE('worker file'!$A$2:$A$406,_xlfn.UNICHAR(160)," ")),'worker file'!$L$2:$L$406,"")="US Biweekly",$I$3,$I$2))</f>
        <v>—</v>
      </c>
      <c r="E185" s="5" t="s">
        <v>570</v>
      </c>
      <c r="F185" s="5" t="s">
        <v>550</v>
      </c>
    </row>
    <row r="186" spans="1:6" ht="16" x14ac:dyDescent="0.2">
      <c r="A186" s="5" t="s">
        <v>232</v>
      </c>
      <c r="B186" s="5" t="s">
        <v>566</v>
      </c>
      <c r="C186" s="24">
        <v>36.5</v>
      </c>
      <c r="D186" s="22">
        <f t="array" ref="D186">IF(F186="n/a","—",IF(_xlfn.XLOOKUP(TRIM(SUBSTITUTE(A186,_xlfn.UNICHAR(160)," ")),TRIM(SUBSTITUTE('worker file'!$A$2:$A$406,_xlfn.UNICHAR(160)," ")),'worker file'!$L$2:$L$406,"")="US Biweekly",$I$3,$I$2))</f>
        <v>46295</v>
      </c>
      <c r="E186" s="5" t="s">
        <v>571</v>
      </c>
      <c r="F186" s="5" t="s">
        <v>554</v>
      </c>
    </row>
    <row r="187" spans="1:6" ht="16" x14ac:dyDescent="0.2">
      <c r="A187" s="5" t="s">
        <v>233</v>
      </c>
      <c r="B187" s="5" t="s">
        <v>568</v>
      </c>
      <c r="C187" s="21" t="s">
        <v>569</v>
      </c>
      <c r="D187" s="22" t="str">
        <f t="array" ref="D187">IF(F187="n/a","—",IF(_xlfn.XLOOKUP(TRIM(SUBSTITUTE(A187,_xlfn.UNICHAR(160)," ")),TRIM(SUBSTITUTE('worker file'!$A$2:$A$406,_xlfn.UNICHAR(160)," ")),'worker file'!$L$2:$L$406,"")="US Biweekly",$I$3,$I$2))</f>
        <v>—</v>
      </c>
      <c r="E187" s="5" t="s">
        <v>570</v>
      </c>
      <c r="F187" s="5" t="s">
        <v>550</v>
      </c>
    </row>
    <row r="188" spans="1:6" ht="16" x14ac:dyDescent="0.2">
      <c r="A188" s="5" t="s">
        <v>233</v>
      </c>
      <c r="B188" s="5" t="s">
        <v>566</v>
      </c>
      <c r="C188" s="24">
        <v>43</v>
      </c>
      <c r="D188" s="22">
        <f t="array" ref="D188">IF(F188="n/a","—",IF(_xlfn.XLOOKUP(TRIM(SUBSTITUTE(A188,_xlfn.UNICHAR(160)," ")),TRIM(SUBSTITUTE('worker file'!$A$2:$A$406,_xlfn.UNICHAR(160)," ")),'worker file'!$L$2:$L$406,"")="US Biweekly",$I$3,$I$2))</f>
        <v>46295</v>
      </c>
      <c r="E188" s="5" t="s">
        <v>571</v>
      </c>
      <c r="F188" s="5" t="s">
        <v>554</v>
      </c>
    </row>
    <row r="189" spans="1:6" ht="16" x14ac:dyDescent="0.2">
      <c r="A189" s="5" t="s">
        <v>234</v>
      </c>
      <c r="B189" s="5" t="s">
        <v>568</v>
      </c>
      <c r="C189" s="21" t="s">
        <v>569</v>
      </c>
      <c r="D189" s="22" t="str">
        <f t="array" ref="D189">IF(F189="n/a","—",IF(_xlfn.XLOOKUP(TRIM(SUBSTITUTE(A189,_xlfn.UNICHAR(160)," ")),TRIM(SUBSTITUTE('worker file'!$A$2:$A$406,_xlfn.UNICHAR(160)," ")),'worker file'!$L$2:$L$406,"")="US Biweekly",$I$3,$I$2))</f>
        <v>—</v>
      </c>
      <c r="E189" s="5" t="s">
        <v>570</v>
      </c>
      <c r="F189" s="5" t="s">
        <v>550</v>
      </c>
    </row>
    <row r="190" spans="1:6" ht="16" x14ac:dyDescent="0.2">
      <c r="A190" s="5" t="s">
        <v>234</v>
      </c>
      <c r="B190" s="5" t="s">
        <v>582</v>
      </c>
      <c r="C190" s="24">
        <v>32</v>
      </c>
      <c r="D190" s="22">
        <f t="array" ref="D190">IF(F190="n/a","—",IF(_xlfn.XLOOKUP(TRIM(SUBSTITUTE(A190,_xlfn.UNICHAR(160)," ")),TRIM(SUBSTITUTE('worker file'!$A$2:$A$406,_xlfn.UNICHAR(160)," ")),'worker file'!$L$2:$L$406,"")="US Biweekly",$I$3,$I$2))</f>
        <v>46295</v>
      </c>
      <c r="E190" s="5" t="s">
        <v>583</v>
      </c>
      <c r="F190" s="5" t="s">
        <v>554</v>
      </c>
    </row>
    <row r="191" spans="1:6" ht="16" x14ac:dyDescent="0.2">
      <c r="A191" s="5" t="s">
        <v>235</v>
      </c>
      <c r="B191" s="5" t="s">
        <v>568</v>
      </c>
      <c r="C191" s="21" t="s">
        <v>569</v>
      </c>
      <c r="D191" s="22" t="str">
        <f t="array" ref="D191">IF(F191="n/a","—",IF(_xlfn.XLOOKUP(TRIM(SUBSTITUTE(A191,_xlfn.UNICHAR(160)," ")),TRIM(SUBSTITUTE('worker file'!$A$2:$A$406,_xlfn.UNICHAR(160)," ")),'worker file'!$L$2:$L$406,"")="US Biweekly",$I$3,$I$2))</f>
        <v>—</v>
      </c>
      <c r="E191" s="5" t="s">
        <v>570</v>
      </c>
      <c r="F191" s="5" t="s">
        <v>550</v>
      </c>
    </row>
    <row r="192" spans="1:6" ht="16" x14ac:dyDescent="0.2">
      <c r="A192" s="5" t="s">
        <v>237</v>
      </c>
      <c r="B192" s="5" t="s">
        <v>568</v>
      </c>
      <c r="C192" s="21" t="s">
        <v>569</v>
      </c>
      <c r="D192" s="22" t="str">
        <f t="array" ref="D192">IF(F192="n/a","—",IF(_xlfn.XLOOKUP(TRIM(SUBSTITUTE(A192,_xlfn.UNICHAR(160)," ")),TRIM(SUBSTITUTE('worker file'!$A$2:$A$406,_xlfn.UNICHAR(160)," ")),'worker file'!$L$2:$L$406,"")="US Biweekly",$I$3,$I$2))</f>
        <v>—</v>
      </c>
      <c r="E192" s="5" t="s">
        <v>570</v>
      </c>
      <c r="F192" s="5" t="s">
        <v>550</v>
      </c>
    </row>
    <row r="193" spans="1:6" ht="16" x14ac:dyDescent="0.2">
      <c r="A193" s="5" t="s">
        <v>237</v>
      </c>
      <c r="B193" s="5" t="s">
        <v>566</v>
      </c>
      <c r="C193" s="24">
        <v>39.5</v>
      </c>
      <c r="D193" s="22">
        <f t="array" ref="D193">IF(F193="n/a","—",IF(_xlfn.XLOOKUP(TRIM(SUBSTITUTE(A193,_xlfn.UNICHAR(160)," ")),TRIM(SUBSTITUTE('worker file'!$A$2:$A$406,_xlfn.UNICHAR(160)," ")),'worker file'!$L$2:$L$406,"")="US Biweekly",$I$3,$I$2))</f>
        <v>46295</v>
      </c>
      <c r="E193" s="5" t="s">
        <v>571</v>
      </c>
      <c r="F193" s="5" t="s">
        <v>554</v>
      </c>
    </row>
    <row r="194" spans="1:6" ht="16" x14ac:dyDescent="0.2">
      <c r="A194" s="5" t="s">
        <v>238</v>
      </c>
      <c r="B194" s="5" t="s">
        <v>573</v>
      </c>
      <c r="C194" s="24">
        <v>67.25</v>
      </c>
      <c r="D194" s="22">
        <f t="array" ref="D194">IF(F194="n/a","—",IF(_xlfn.XLOOKUP(TRIM(SUBSTITUTE(A194,_xlfn.UNICHAR(160)," ")),TRIM(SUBSTITUTE('worker file'!$A$2:$A$406,_xlfn.UNICHAR(160)," ")),'worker file'!$L$2:$L$406,"")="US Biweekly",$I$3,$I$2))</f>
        <v>46298</v>
      </c>
      <c r="E194" s="5" t="s">
        <v>574</v>
      </c>
      <c r="F194" s="5" t="s">
        <v>554</v>
      </c>
    </row>
    <row r="195" spans="1:6" ht="16" x14ac:dyDescent="0.2">
      <c r="A195" s="5" t="s">
        <v>238</v>
      </c>
      <c r="B195" s="5" t="s">
        <v>566</v>
      </c>
      <c r="C195" s="24">
        <v>52.5</v>
      </c>
      <c r="D195" s="22">
        <f t="array" ref="D195">IF(F195="n/a","—",IF(_xlfn.XLOOKUP(TRIM(SUBSTITUTE(A195,_xlfn.UNICHAR(160)," ")),TRIM(SUBSTITUTE('worker file'!$A$2:$A$406,_xlfn.UNICHAR(160)," ")),'worker file'!$L$2:$L$406,"")="US Biweekly",$I$3,$I$2))</f>
        <v>46298</v>
      </c>
      <c r="E195" s="5" t="s">
        <v>571</v>
      </c>
      <c r="F195" s="5" t="s">
        <v>554</v>
      </c>
    </row>
    <row r="196" spans="1:6" ht="16" x14ac:dyDescent="0.2">
      <c r="A196" s="5" t="s">
        <v>240</v>
      </c>
      <c r="B196" s="5" t="s">
        <v>573</v>
      </c>
      <c r="C196" s="24">
        <v>39.5</v>
      </c>
      <c r="D196" s="22">
        <f t="array" ref="D196">IF(F196="n/a","—",IF(_xlfn.XLOOKUP(TRIM(SUBSTITUTE(A196,_xlfn.UNICHAR(160)," ")),TRIM(SUBSTITUTE('worker file'!$A$2:$A$406,_xlfn.UNICHAR(160)," ")),'worker file'!$L$2:$L$406,"")="US Biweekly",$I$3,$I$2))</f>
        <v>46298</v>
      </c>
      <c r="E196" s="5" t="s">
        <v>574</v>
      </c>
      <c r="F196" s="5" t="s">
        <v>554</v>
      </c>
    </row>
    <row r="197" spans="1:6" ht="16" x14ac:dyDescent="0.2">
      <c r="A197" s="5" t="s">
        <v>240</v>
      </c>
      <c r="B197" s="5" t="s">
        <v>575</v>
      </c>
      <c r="C197" s="24">
        <v>1.25</v>
      </c>
      <c r="D197" s="22">
        <f t="array" ref="D197">IF(F197="n/a","—",IF(_xlfn.XLOOKUP(TRIM(SUBSTITUTE(A197,_xlfn.UNICHAR(160)," ")),TRIM(SUBSTITUTE('worker file'!$A$2:$A$406,_xlfn.UNICHAR(160)," ")),'worker file'!$L$2:$L$406,"")="US Biweekly",$I$3,$I$2))</f>
        <v>46298</v>
      </c>
      <c r="E197" s="5" t="s">
        <v>576</v>
      </c>
      <c r="F197" s="5" t="s">
        <v>554</v>
      </c>
    </row>
    <row r="198" spans="1:6" ht="16" x14ac:dyDescent="0.2">
      <c r="A198" s="5" t="s">
        <v>241</v>
      </c>
      <c r="B198" s="5" t="s">
        <v>568</v>
      </c>
      <c r="C198" s="21" t="s">
        <v>569</v>
      </c>
      <c r="D198" s="22" t="str">
        <f t="array" ref="D198">IF(F198="n/a","—",IF(_xlfn.XLOOKUP(TRIM(SUBSTITUTE(A198,_xlfn.UNICHAR(160)," ")),TRIM(SUBSTITUTE('worker file'!$A$2:$A$406,_xlfn.UNICHAR(160)," ")),'worker file'!$L$2:$L$406,"")="US Biweekly",$I$3,$I$2))</f>
        <v>—</v>
      </c>
      <c r="E198" s="5" t="s">
        <v>570</v>
      </c>
      <c r="F198" s="5" t="s">
        <v>550</v>
      </c>
    </row>
    <row r="199" spans="1:6" ht="16" x14ac:dyDescent="0.2">
      <c r="A199" s="5" t="s">
        <v>242</v>
      </c>
      <c r="B199" s="5" t="s">
        <v>584</v>
      </c>
      <c r="C199" s="25">
        <v>20.5</v>
      </c>
      <c r="D199" s="22">
        <f t="array" ref="D199">IF(F199="n/a","—",IF(_xlfn.XLOOKUP(TRIM(SUBSTITUTE(A199,_xlfn.UNICHAR(160)," ")),TRIM(SUBSTITUTE('worker file'!$A$2:$A$406,_xlfn.UNICHAR(160)," ")),'worker file'!$L$2:$L$406,"")="US Biweekly",$I$3,$I$2))</f>
        <v>46295</v>
      </c>
      <c r="E199" s="5" t="s">
        <v>585</v>
      </c>
      <c r="F199" s="5" t="s">
        <v>559</v>
      </c>
    </row>
    <row r="200" spans="1:6" ht="16" x14ac:dyDescent="0.2">
      <c r="A200" s="5" t="s">
        <v>242</v>
      </c>
      <c r="B200" s="5" t="s">
        <v>586</v>
      </c>
      <c r="C200" s="25">
        <v>1</v>
      </c>
      <c r="D200" s="22">
        <f t="array" ref="D200">IF(F200="n/a","—",IF(_xlfn.XLOOKUP(TRIM(SUBSTITUTE(A200,_xlfn.UNICHAR(160)," ")),TRIM(SUBSTITUTE('worker file'!$A$2:$A$406,_xlfn.UNICHAR(160)," ")),'worker file'!$L$2:$L$406,"")="US Biweekly",$I$3,$I$2))</f>
        <v>46295</v>
      </c>
      <c r="E200" s="5" t="s">
        <v>587</v>
      </c>
      <c r="F200" s="5" t="s">
        <v>559</v>
      </c>
    </row>
    <row r="201" spans="1:6" ht="16" x14ac:dyDescent="0.2">
      <c r="A201" s="5" t="s">
        <v>243</v>
      </c>
      <c r="B201" s="5" t="s">
        <v>584</v>
      </c>
      <c r="C201" s="25">
        <v>27</v>
      </c>
      <c r="D201" s="22">
        <f t="array" ref="D201">IF(F201="n/a","—",IF(_xlfn.XLOOKUP(TRIM(SUBSTITUTE(A201,_xlfn.UNICHAR(160)," ")),TRIM(SUBSTITUTE('worker file'!$A$2:$A$406,_xlfn.UNICHAR(160)," ")),'worker file'!$L$2:$L$406,"")="US Biweekly",$I$3,$I$2))</f>
        <v>46295</v>
      </c>
      <c r="E201" s="5" t="s">
        <v>585</v>
      </c>
      <c r="F201" s="5" t="s">
        <v>559</v>
      </c>
    </row>
    <row r="202" spans="1:6" ht="16" x14ac:dyDescent="0.2">
      <c r="A202" s="5" t="s">
        <v>243</v>
      </c>
      <c r="B202" s="5" t="s">
        <v>586</v>
      </c>
      <c r="C202" s="25">
        <v>6</v>
      </c>
      <c r="D202" s="22">
        <f t="array" ref="D202">IF(F202="n/a","—",IF(_xlfn.XLOOKUP(TRIM(SUBSTITUTE(A202,_xlfn.UNICHAR(160)," ")),TRIM(SUBSTITUTE('worker file'!$A$2:$A$406,_xlfn.UNICHAR(160)," ")),'worker file'!$L$2:$L$406,"")="US Biweekly",$I$3,$I$2))</f>
        <v>46295</v>
      </c>
      <c r="E202" s="5" t="s">
        <v>587</v>
      </c>
      <c r="F202" s="5" t="s">
        <v>559</v>
      </c>
    </row>
    <row r="203" spans="1:6" ht="16" x14ac:dyDescent="0.2">
      <c r="A203" s="5" t="s">
        <v>244</v>
      </c>
      <c r="B203" s="5" t="s">
        <v>568</v>
      </c>
      <c r="C203" s="21" t="s">
        <v>569</v>
      </c>
      <c r="D203" s="22" t="str">
        <f t="array" ref="D203">IF(F203="n/a","—",IF(_xlfn.XLOOKUP(TRIM(SUBSTITUTE(A203,_xlfn.UNICHAR(160)," ")),TRIM(SUBSTITUTE('worker file'!$A$2:$A$406,_xlfn.UNICHAR(160)," ")),'worker file'!$L$2:$L$406,"")="US Biweekly",$I$3,$I$2))</f>
        <v>—</v>
      </c>
      <c r="E203" s="5" t="s">
        <v>570</v>
      </c>
      <c r="F203" s="5" t="s">
        <v>550</v>
      </c>
    </row>
    <row r="204" spans="1:6" ht="16" x14ac:dyDescent="0.2">
      <c r="A204" s="5" t="s">
        <v>244</v>
      </c>
      <c r="B204" s="5" t="s">
        <v>582</v>
      </c>
      <c r="C204" s="24">
        <v>29.5</v>
      </c>
      <c r="D204" s="22">
        <f t="array" ref="D204">IF(F204="n/a","—",IF(_xlfn.XLOOKUP(TRIM(SUBSTITUTE(A204,_xlfn.UNICHAR(160)," ")),TRIM(SUBSTITUTE('worker file'!$A$2:$A$406,_xlfn.UNICHAR(160)," ")),'worker file'!$L$2:$L$406,"")="US Biweekly",$I$3,$I$2))</f>
        <v>46295</v>
      </c>
      <c r="E204" s="5" t="s">
        <v>583</v>
      </c>
      <c r="F204" s="5" t="s">
        <v>554</v>
      </c>
    </row>
    <row r="205" spans="1:6" ht="16" x14ac:dyDescent="0.2">
      <c r="A205" s="5" t="s">
        <v>245</v>
      </c>
      <c r="B205" s="5" t="s">
        <v>568</v>
      </c>
      <c r="C205" s="21" t="s">
        <v>569</v>
      </c>
      <c r="D205" s="22" t="str">
        <f t="array" ref="D205">IF(F205="n/a","—",IF(_xlfn.XLOOKUP(TRIM(SUBSTITUTE(A205,_xlfn.UNICHAR(160)," ")),TRIM(SUBSTITUTE('worker file'!$A$2:$A$406,_xlfn.UNICHAR(160)," ")),'worker file'!$L$2:$L$406,"")="US Biweekly",$I$3,$I$2))</f>
        <v>—</v>
      </c>
      <c r="E205" s="5" t="s">
        <v>570</v>
      </c>
      <c r="F205" s="5" t="s">
        <v>550</v>
      </c>
    </row>
    <row r="206" spans="1:6" ht="16" x14ac:dyDescent="0.2">
      <c r="A206" s="5" t="s">
        <v>245</v>
      </c>
      <c r="B206" s="5" t="s">
        <v>566</v>
      </c>
      <c r="C206" s="24">
        <v>66.25</v>
      </c>
      <c r="D206" s="22">
        <f t="array" ref="D206">IF(F206="n/a","—",IF(_xlfn.XLOOKUP(TRIM(SUBSTITUTE(A206,_xlfn.UNICHAR(160)," ")),TRIM(SUBSTITUTE('worker file'!$A$2:$A$406,_xlfn.UNICHAR(160)," ")),'worker file'!$L$2:$L$406,"")="US Biweekly",$I$3,$I$2))</f>
        <v>46295</v>
      </c>
      <c r="E206" s="5" t="s">
        <v>571</v>
      </c>
      <c r="F206" s="5" t="s">
        <v>554</v>
      </c>
    </row>
    <row r="207" spans="1:6" ht="16" x14ac:dyDescent="0.2">
      <c r="A207" s="5" t="s">
        <v>246</v>
      </c>
      <c r="B207" s="5" t="s">
        <v>568</v>
      </c>
      <c r="C207" s="21" t="s">
        <v>569</v>
      </c>
      <c r="D207" s="22" t="str">
        <f t="array" ref="D207">IF(F207="n/a","—",IF(_xlfn.XLOOKUP(TRIM(SUBSTITUTE(A207,_xlfn.UNICHAR(160)," ")),TRIM(SUBSTITUTE('worker file'!$A$2:$A$406,_xlfn.UNICHAR(160)," ")),'worker file'!$L$2:$L$406,"")="US Biweekly",$I$3,$I$2))</f>
        <v>—</v>
      </c>
      <c r="E207" s="5" t="s">
        <v>570</v>
      </c>
      <c r="F207" s="5" t="s">
        <v>550</v>
      </c>
    </row>
    <row r="208" spans="1:6" ht="16" x14ac:dyDescent="0.2">
      <c r="A208" s="5" t="s">
        <v>247</v>
      </c>
      <c r="B208" s="5" t="s">
        <v>584</v>
      </c>
      <c r="C208" s="25">
        <v>8.5</v>
      </c>
      <c r="D208" s="22">
        <f t="array" ref="D208">IF(F208="n/a","—",IF(_xlfn.XLOOKUP(TRIM(SUBSTITUTE(A208,_xlfn.UNICHAR(160)," ")),TRIM(SUBSTITUTE('worker file'!$A$2:$A$406,_xlfn.UNICHAR(160)," ")),'worker file'!$L$2:$L$406,"")="US Biweekly",$I$3,$I$2))</f>
        <v>46295</v>
      </c>
      <c r="E208" s="5" t="s">
        <v>585</v>
      </c>
      <c r="F208" s="5" t="s">
        <v>559</v>
      </c>
    </row>
    <row r="209" spans="1:6" ht="16" x14ac:dyDescent="0.2">
      <c r="A209" s="5" t="s">
        <v>247</v>
      </c>
      <c r="B209" s="5" t="s">
        <v>586</v>
      </c>
      <c r="C209" s="25">
        <v>7</v>
      </c>
      <c r="D209" s="22">
        <f t="array" ref="D209">IF(F209="n/a","—",IF(_xlfn.XLOOKUP(TRIM(SUBSTITUTE(A209,_xlfn.UNICHAR(160)," ")),TRIM(SUBSTITUTE('worker file'!$A$2:$A$406,_xlfn.UNICHAR(160)," ")),'worker file'!$L$2:$L$406,"")="US Biweekly",$I$3,$I$2))</f>
        <v>46295</v>
      </c>
      <c r="E209" s="5" t="s">
        <v>587</v>
      </c>
      <c r="F209" s="5" t="s">
        <v>559</v>
      </c>
    </row>
    <row r="210" spans="1:6" ht="16" x14ac:dyDescent="0.2">
      <c r="A210" s="5" t="s">
        <v>248</v>
      </c>
      <c r="B210" s="5" t="s">
        <v>588</v>
      </c>
      <c r="C210" s="25">
        <v>14</v>
      </c>
      <c r="D210" s="22">
        <f t="array" ref="D210">IF(F210="n/a","—",IF(_xlfn.XLOOKUP(TRIM(SUBSTITUTE(A210,_xlfn.UNICHAR(160)," ")),TRIM(SUBSTITUTE('worker file'!$A$2:$A$406,_xlfn.UNICHAR(160)," ")),'worker file'!$L$2:$L$406,"")="US Biweekly",$I$3,$I$2))</f>
        <v>46295</v>
      </c>
      <c r="E210" s="5" t="s">
        <v>589</v>
      </c>
      <c r="F210" s="5" t="s">
        <v>559</v>
      </c>
    </row>
    <row r="211" spans="1:6" ht="16" x14ac:dyDescent="0.2">
      <c r="A211" s="5" t="s">
        <v>249</v>
      </c>
      <c r="B211" s="5" t="s">
        <v>584</v>
      </c>
      <c r="C211" s="25">
        <v>15</v>
      </c>
      <c r="D211" s="22">
        <f t="array" ref="D211">IF(F211="n/a","—",IF(_xlfn.XLOOKUP(TRIM(SUBSTITUTE(A211,_xlfn.UNICHAR(160)," ")),TRIM(SUBSTITUTE('worker file'!$A$2:$A$406,_xlfn.UNICHAR(160)," ")),'worker file'!$L$2:$L$406,"")="US Biweekly",$I$3,$I$2))</f>
        <v>46295</v>
      </c>
      <c r="E211" s="5" t="s">
        <v>585</v>
      </c>
      <c r="F211" s="5" t="s">
        <v>559</v>
      </c>
    </row>
    <row r="212" spans="1:6" ht="16" x14ac:dyDescent="0.2">
      <c r="A212" s="5" t="s">
        <v>249</v>
      </c>
      <c r="B212" s="5" t="s">
        <v>586</v>
      </c>
      <c r="C212" s="25">
        <v>3.5</v>
      </c>
      <c r="D212" s="22">
        <f t="array" ref="D212">IF(F212="n/a","—",IF(_xlfn.XLOOKUP(TRIM(SUBSTITUTE(A212,_xlfn.UNICHAR(160)," ")),TRIM(SUBSTITUTE('worker file'!$A$2:$A$406,_xlfn.UNICHAR(160)," ")),'worker file'!$L$2:$L$406,"")="US Biweekly",$I$3,$I$2))</f>
        <v>46295</v>
      </c>
      <c r="E212" s="5" t="s">
        <v>587</v>
      </c>
      <c r="F212" s="5" t="s">
        <v>559</v>
      </c>
    </row>
    <row r="213" spans="1:6" ht="16" x14ac:dyDescent="0.2">
      <c r="A213" s="5" t="s">
        <v>250</v>
      </c>
      <c r="B213" s="5" t="s">
        <v>568</v>
      </c>
      <c r="C213" s="21" t="s">
        <v>569</v>
      </c>
      <c r="D213" s="22" t="str">
        <f t="array" ref="D213">IF(F213="n/a","—",IF(_xlfn.XLOOKUP(TRIM(SUBSTITUTE(A213,_xlfn.UNICHAR(160)," ")),TRIM(SUBSTITUTE('worker file'!$A$2:$A$406,_xlfn.UNICHAR(160)," ")),'worker file'!$L$2:$L$406,"")="US Biweekly",$I$3,$I$2))</f>
        <v>—</v>
      </c>
      <c r="E213" s="5" t="s">
        <v>570</v>
      </c>
      <c r="F213" s="5" t="s">
        <v>550</v>
      </c>
    </row>
    <row r="214" spans="1:6" ht="16" x14ac:dyDescent="0.2">
      <c r="A214" s="5" t="s">
        <v>251</v>
      </c>
      <c r="B214" s="5" t="s">
        <v>568</v>
      </c>
      <c r="C214" s="21" t="s">
        <v>569</v>
      </c>
      <c r="D214" s="22" t="str">
        <f t="array" ref="D214">IF(F214="n/a","—",IF(_xlfn.XLOOKUP(TRIM(SUBSTITUTE(A214,_xlfn.UNICHAR(160)," ")),TRIM(SUBSTITUTE('worker file'!$A$2:$A$406,_xlfn.UNICHAR(160)," ")),'worker file'!$L$2:$L$406,"")="US Biweekly",$I$3,$I$2))</f>
        <v>—</v>
      </c>
      <c r="E214" s="5" t="s">
        <v>570</v>
      </c>
      <c r="F214" s="5" t="s">
        <v>550</v>
      </c>
    </row>
    <row r="215" spans="1:6" ht="16" x14ac:dyDescent="0.2">
      <c r="A215" s="5" t="s">
        <v>251</v>
      </c>
      <c r="B215" s="5" t="s">
        <v>566</v>
      </c>
      <c r="C215" s="24">
        <v>43.25</v>
      </c>
      <c r="D215" s="22">
        <f t="array" ref="D215">IF(F215="n/a","—",IF(_xlfn.XLOOKUP(TRIM(SUBSTITUTE(A215,_xlfn.UNICHAR(160)," ")),TRIM(SUBSTITUTE('worker file'!$A$2:$A$406,_xlfn.UNICHAR(160)," ")),'worker file'!$L$2:$L$406,"")="US Biweekly",$I$3,$I$2))</f>
        <v>46295</v>
      </c>
      <c r="E215" s="5" t="s">
        <v>571</v>
      </c>
      <c r="F215" s="5" t="s">
        <v>554</v>
      </c>
    </row>
    <row r="216" spans="1:6" ht="16" x14ac:dyDescent="0.2">
      <c r="A216" s="5" t="s">
        <v>252</v>
      </c>
      <c r="B216" s="5" t="s">
        <v>588</v>
      </c>
      <c r="C216" s="25">
        <v>10</v>
      </c>
      <c r="D216" s="22">
        <f t="array" ref="D216">IF(F216="n/a","—",IF(_xlfn.XLOOKUP(TRIM(SUBSTITUTE(A216,_xlfn.UNICHAR(160)," ")),TRIM(SUBSTITUTE('worker file'!$A$2:$A$406,_xlfn.UNICHAR(160)," ")),'worker file'!$L$2:$L$406,"")="US Biweekly",$I$3,$I$2))</f>
        <v>46295</v>
      </c>
      <c r="E216" s="5" t="s">
        <v>589</v>
      </c>
      <c r="F216" s="5" t="s">
        <v>559</v>
      </c>
    </row>
    <row r="217" spans="1:6" ht="16" x14ac:dyDescent="0.2">
      <c r="A217" s="5" t="s">
        <v>253</v>
      </c>
      <c r="B217" s="5" t="s">
        <v>568</v>
      </c>
      <c r="C217" s="21" t="s">
        <v>569</v>
      </c>
      <c r="D217" s="22" t="str">
        <f t="array" ref="D217">IF(F217="n/a","—",IF(_xlfn.XLOOKUP(TRIM(SUBSTITUTE(A217,_xlfn.UNICHAR(160)," ")),TRIM(SUBSTITUTE('worker file'!$A$2:$A$406,_xlfn.UNICHAR(160)," ")),'worker file'!$L$2:$L$406,"")="US Biweekly",$I$3,$I$2))</f>
        <v>—</v>
      </c>
      <c r="E217" s="5" t="s">
        <v>570</v>
      </c>
      <c r="F217" s="5" t="s">
        <v>550</v>
      </c>
    </row>
    <row r="218" spans="1:6" ht="16" x14ac:dyDescent="0.2">
      <c r="A218" s="5" t="s">
        <v>253</v>
      </c>
      <c r="B218" s="5" t="s">
        <v>566</v>
      </c>
      <c r="C218" s="24">
        <v>62.75</v>
      </c>
      <c r="D218" s="22">
        <f t="array" ref="D218">IF(F218="n/a","—",IF(_xlfn.XLOOKUP(TRIM(SUBSTITUTE(A218,_xlfn.UNICHAR(160)," ")),TRIM(SUBSTITUTE('worker file'!$A$2:$A$406,_xlfn.UNICHAR(160)," ")),'worker file'!$L$2:$L$406,"")="US Biweekly",$I$3,$I$2))</f>
        <v>46295</v>
      </c>
      <c r="E218" s="5" t="s">
        <v>571</v>
      </c>
      <c r="F218" s="5" t="s">
        <v>554</v>
      </c>
    </row>
    <row r="219" spans="1:6" ht="16" x14ac:dyDescent="0.2">
      <c r="A219" s="5" t="s">
        <v>254</v>
      </c>
      <c r="B219" s="5" t="s">
        <v>584</v>
      </c>
      <c r="C219" s="25">
        <v>3.5</v>
      </c>
      <c r="D219" s="22">
        <f t="array" ref="D219">IF(F219="n/a","—",IF(_xlfn.XLOOKUP(TRIM(SUBSTITUTE(A219,_xlfn.UNICHAR(160)," ")),TRIM(SUBSTITUTE('worker file'!$A$2:$A$406,_xlfn.UNICHAR(160)," ")),'worker file'!$L$2:$L$406,"")="US Biweekly",$I$3,$I$2))</f>
        <v>46295</v>
      </c>
      <c r="E219" s="5" t="s">
        <v>585</v>
      </c>
      <c r="F219" s="5" t="s">
        <v>559</v>
      </c>
    </row>
    <row r="220" spans="1:6" ht="16" x14ac:dyDescent="0.2">
      <c r="A220" s="5" t="s">
        <v>254</v>
      </c>
      <c r="B220" s="5" t="s">
        <v>586</v>
      </c>
      <c r="C220" s="25">
        <v>3.5</v>
      </c>
      <c r="D220" s="22">
        <f t="array" ref="D220">IF(F220="n/a","—",IF(_xlfn.XLOOKUP(TRIM(SUBSTITUTE(A220,_xlfn.UNICHAR(160)," ")),TRIM(SUBSTITUTE('worker file'!$A$2:$A$406,_xlfn.UNICHAR(160)," ")),'worker file'!$L$2:$L$406,"")="US Biweekly",$I$3,$I$2))</f>
        <v>46295</v>
      </c>
      <c r="E220" s="5" t="s">
        <v>587</v>
      </c>
      <c r="F220" s="5" t="s">
        <v>559</v>
      </c>
    </row>
    <row r="221" spans="1:6" ht="16" x14ac:dyDescent="0.2">
      <c r="A221" s="5" t="s">
        <v>255</v>
      </c>
      <c r="B221" s="5" t="s">
        <v>568</v>
      </c>
      <c r="C221" s="21" t="s">
        <v>569</v>
      </c>
      <c r="D221" s="22" t="str">
        <f t="array" ref="D221">IF(F221="n/a","—",IF(_xlfn.XLOOKUP(TRIM(SUBSTITUTE(A221,_xlfn.UNICHAR(160)," ")),TRIM(SUBSTITUTE('worker file'!$A$2:$A$406,_xlfn.UNICHAR(160)," ")),'worker file'!$L$2:$L$406,"")="US Biweekly",$I$3,$I$2))</f>
        <v>—</v>
      </c>
      <c r="E221" s="5" t="s">
        <v>570</v>
      </c>
      <c r="F221" s="5" t="s">
        <v>550</v>
      </c>
    </row>
    <row r="222" spans="1:6" ht="16" x14ac:dyDescent="0.2">
      <c r="A222" s="5" t="s">
        <v>255</v>
      </c>
      <c r="B222" s="5" t="s">
        <v>566</v>
      </c>
      <c r="C222" s="24">
        <v>45.5</v>
      </c>
      <c r="D222" s="22">
        <f t="array" ref="D222">IF(F222="n/a","—",IF(_xlfn.XLOOKUP(TRIM(SUBSTITUTE(A222,_xlfn.UNICHAR(160)," ")),TRIM(SUBSTITUTE('worker file'!$A$2:$A$406,_xlfn.UNICHAR(160)," ")),'worker file'!$L$2:$L$406,"")="US Biweekly",$I$3,$I$2))</f>
        <v>46295</v>
      </c>
      <c r="E222" s="5" t="s">
        <v>571</v>
      </c>
      <c r="F222" s="5" t="s">
        <v>554</v>
      </c>
    </row>
    <row r="223" spans="1:6" ht="16" x14ac:dyDescent="0.2">
      <c r="A223" s="5" t="s">
        <v>256</v>
      </c>
      <c r="B223" s="5" t="s">
        <v>573</v>
      </c>
      <c r="C223" s="24">
        <v>65.25</v>
      </c>
      <c r="D223" s="22">
        <f t="array" ref="D223">IF(F223="n/a","—",IF(_xlfn.XLOOKUP(TRIM(SUBSTITUTE(A223,_xlfn.UNICHAR(160)," ")),TRIM(SUBSTITUTE('worker file'!$A$2:$A$406,_xlfn.UNICHAR(160)," ")),'worker file'!$L$2:$L$406,"")="US Biweekly",$I$3,$I$2))</f>
        <v>46298</v>
      </c>
      <c r="E223" s="5" t="s">
        <v>574</v>
      </c>
      <c r="F223" s="5" t="s">
        <v>554</v>
      </c>
    </row>
    <row r="224" spans="1:6" ht="16" x14ac:dyDescent="0.2">
      <c r="A224" s="5" t="s">
        <v>256</v>
      </c>
      <c r="B224" s="5" t="s">
        <v>575</v>
      </c>
      <c r="C224" s="24">
        <v>20.25</v>
      </c>
      <c r="D224" s="22">
        <f t="array" ref="D224">IF(F224="n/a","—",IF(_xlfn.XLOOKUP(TRIM(SUBSTITUTE(A224,_xlfn.UNICHAR(160)," ")),TRIM(SUBSTITUTE('worker file'!$A$2:$A$406,_xlfn.UNICHAR(160)," ")),'worker file'!$L$2:$L$406,"")="US Biweekly",$I$3,$I$2))</f>
        <v>46298</v>
      </c>
      <c r="E224" s="5" t="s">
        <v>576</v>
      </c>
      <c r="F224" s="5" t="s">
        <v>554</v>
      </c>
    </row>
    <row r="225" spans="1:6" ht="16" x14ac:dyDescent="0.2">
      <c r="A225" s="5" t="s">
        <v>257</v>
      </c>
      <c r="B225" s="5" t="s">
        <v>568</v>
      </c>
      <c r="C225" s="21" t="s">
        <v>569</v>
      </c>
      <c r="D225" s="22" t="str">
        <f t="array" ref="D225">IF(F225="n/a","—",IF(_xlfn.XLOOKUP(TRIM(SUBSTITUTE(A225,_xlfn.UNICHAR(160)," ")),TRIM(SUBSTITUTE('worker file'!$A$2:$A$406,_xlfn.UNICHAR(160)," ")),'worker file'!$L$2:$L$406,"")="US Biweekly",$I$3,$I$2))</f>
        <v>—</v>
      </c>
      <c r="E225" s="5" t="s">
        <v>570</v>
      </c>
      <c r="F225" s="5" t="s">
        <v>550</v>
      </c>
    </row>
    <row r="226" spans="1:6" ht="16" x14ac:dyDescent="0.2">
      <c r="A226" s="5" t="s">
        <v>257</v>
      </c>
      <c r="B226" s="5" t="s">
        <v>577</v>
      </c>
      <c r="C226" s="24">
        <v>21.5</v>
      </c>
      <c r="D226" s="22">
        <f t="array" ref="D226">IF(F226="n/a","—",IF(_xlfn.XLOOKUP(TRIM(SUBSTITUTE(A226,_xlfn.UNICHAR(160)," ")),TRIM(SUBSTITUTE('worker file'!$A$2:$A$406,_xlfn.UNICHAR(160)," ")),'worker file'!$L$2:$L$406,"")="US Biweekly",$I$3,$I$2))</f>
        <v>46295</v>
      </c>
      <c r="E226" s="5" t="s">
        <v>578</v>
      </c>
      <c r="F226" s="5" t="s">
        <v>554</v>
      </c>
    </row>
    <row r="227" spans="1:6" ht="16" x14ac:dyDescent="0.2">
      <c r="A227" s="5" t="s">
        <v>258</v>
      </c>
      <c r="B227" s="5" t="s">
        <v>584</v>
      </c>
      <c r="C227" s="25">
        <v>1</v>
      </c>
      <c r="D227" s="22">
        <f t="array" ref="D227">IF(F227="n/a","—",IF(_xlfn.XLOOKUP(TRIM(SUBSTITUTE(A227,_xlfn.UNICHAR(160)," ")),TRIM(SUBSTITUTE('worker file'!$A$2:$A$406,_xlfn.UNICHAR(160)," ")),'worker file'!$L$2:$L$406,"")="US Biweekly",$I$3,$I$2))</f>
        <v>46295</v>
      </c>
      <c r="E227" s="5" t="s">
        <v>585</v>
      </c>
      <c r="F227" s="5" t="s">
        <v>559</v>
      </c>
    </row>
    <row r="228" spans="1:6" ht="16" x14ac:dyDescent="0.2">
      <c r="A228" s="5" t="s">
        <v>258</v>
      </c>
      <c r="B228" s="5" t="s">
        <v>586</v>
      </c>
      <c r="C228" s="25">
        <v>1</v>
      </c>
      <c r="D228" s="22">
        <f t="array" ref="D228">IF(F228="n/a","—",IF(_xlfn.XLOOKUP(TRIM(SUBSTITUTE(A228,_xlfn.UNICHAR(160)," ")),TRIM(SUBSTITUTE('worker file'!$A$2:$A$406,_xlfn.UNICHAR(160)," ")),'worker file'!$L$2:$L$406,"")="US Biweekly",$I$3,$I$2))</f>
        <v>46295</v>
      </c>
      <c r="E228" s="5" t="s">
        <v>587</v>
      </c>
      <c r="F228" s="5" t="s">
        <v>559</v>
      </c>
    </row>
    <row r="229" spans="1:6" ht="16" x14ac:dyDescent="0.2">
      <c r="A229" s="5" t="s">
        <v>259</v>
      </c>
      <c r="B229" s="5" t="s">
        <v>568</v>
      </c>
      <c r="C229" s="21" t="s">
        <v>569</v>
      </c>
      <c r="D229" s="22" t="str">
        <f t="array" ref="D229">IF(F229="n/a","—",IF(_xlfn.XLOOKUP(TRIM(SUBSTITUTE(A229,_xlfn.UNICHAR(160)," ")),TRIM(SUBSTITUTE('worker file'!$A$2:$A$406,_xlfn.UNICHAR(160)," ")),'worker file'!$L$2:$L$406,"")="US Biweekly",$I$3,$I$2))</f>
        <v>—</v>
      </c>
      <c r="E229" s="5" t="s">
        <v>570</v>
      </c>
      <c r="F229" s="5" t="s">
        <v>550</v>
      </c>
    </row>
    <row r="230" spans="1:6" ht="16" x14ac:dyDescent="0.2">
      <c r="A230" s="5" t="s">
        <v>260</v>
      </c>
      <c r="B230" s="5" t="s">
        <v>568</v>
      </c>
      <c r="C230" s="21" t="s">
        <v>569</v>
      </c>
      <c r="D230" s="22" t="str">
        <f t="array" ref="D230">IF(F230="n/a","—",IF(_xlfn.XLOOKUP(TRIM(SUBSTITUTE(A230,_xlfn.UNICHAR(160)," ")),TRIM(SUBSTITUTE('worker file'!$A$2:$A$406,_xlfn.UNICHAR(160)," ")),'worker file'!$L$2:$L$406,"")="US Biweekly",$I$3,$I$2))</f>
        <v>—</v>
      </c>
      <c r="E230" s="5" t="s">
        <v>570</v>
      </c>
      <c r="F230" s="5" t="s">
        <v>550</v>
      </c>
    </row>
    <row r="231" spans="1:6" ht="16" x14ac:dyDescent="0.2">
      <c r="A231" s="5" t="s">
        <v>260</v>
      </c>
      <c r="B231" s="5" t="s">
        <v>582</v>
      </c>
      <c r="C231" s="24">
        <v>13.25</v>
      </c>
      <c r="D231" s="22">
        <f t="array" ref="D231">IF(F231="n/a","—",IF(_xlfn.XLOOKUP(TRIM(SUBSTITUTE(A231,_xlfn.UNICHAR(160)," ")),TRIM(SUBSTITUTE('worker file'!$A$2:$A$406,_xlfn.UNICHAR(160)," ")),'worker file'!$L$2:$L$406,"")="US Biweekly",$I$3,$I$2))</f>
        <v>46295</v>
      </c>
      <c r="E231" s="5" t="s">
        <v>583</v>
      </c>
      <c r="F231" s="5" t="s">
        <v>554</v>
      </c>
    </row>
    <row r="232" spans="1:6" ht="16" x14ac:dyDescent="0.2">
      <c r="A232" s="5" t="s">
        <v>261</v>
      </c>
      <c r="B232" s="5" t="s">
        <v>573</v>
      </c>
      <c r="C232" s="24">
        <v>93</v>
      </c>
      <c r="D232" s="22">
        <f t="array" ref="D232">IF(F232="n/a","—",IF(_xlfn.XLOOKUP(TRIM(SUBSTITUTE(A232,_xlfn.UNICHAR(160)," ")),TRIM(SUBSTITUTE('worker file'!$A$2:$A$406,_xlfn.UNICHAR(160)," ")),'worker file'!$L$2:$L$406,"")="US Biweekly",$I$3,$I$2))</f>
        <v>46298</v>
      </c>
      <c r="E232" s="5" t="s">
        <v>574</v>
      </c>
      <c r="F232" s="5" t="s">
        <v>554</v>
      </c>
    </row>
    <row r="233" spans="1:6" ht="16" x14ac:dyDescent="0.2">
      <c r="A233" s="5" t="s">
        <v>261</v>
      </c>
      <c r="B233" s="5" t="s">
        <v>566</v>
      </c>
      <c r="C233" s="24">
        <v>74.25</v>
      </c>
      <c r="D233" s="22">
        <f t="array" ref="D233">IF(F233="n/a","—",IF(_xlfn.XLOOKUP(TRIM(SUBSTITUTE(A233,_xlfn.UNICHAR(160)," ")),TRIM(SUBSTITUTE('worker file'!$A$2:$A$406,_xlfn.UNICHAR(160)," ")),'worker file'!$L$2:$L$406,"")="US Biweekly",$I$3,$I$2))</f>
        <v>46298</v>
      </c>
      <c r="E233" s="5" t="s">
        <v>571</v>
      </c>
      <c r="F233" s="5" t="s">
        <v>554</v>
      </c>
    </row>
    <row r="234" spans="1:6" ht="16" x14ac:dyDescent="0.2">
      <c r="A234" s="5" t="s">
        <v>262</v>
      </c>
      <c r="B234" s="5" t="s">
        <v>568</v>
      </c>
      <c r="C234" s="21" t="s">
        <v>569</v>
      </c>
      <c r="D234" s="22" t="str">
        <f t="array" ref="D234">IF(F234="n/a","—",IF(_xlfn.XLOOKUP(TRIM(SUBSTITUTE(A234,_xlfn.UNICHAR(160)," ")),TRIM(SUBSTITUTE('worker file'!$A$2:$A$406,_xlfn.UNICHAR(160)," ")),'worker file'!$L$2:$L$406,"")="US Biweekly",$I$3,$I$2))</f>
        <v>—</v>
      </c>
      <c r="E234" s="5" t="s">
        <v>570</v>
      </c>
      <c r="F234" s="5" t="s">
        <v>550</v>
      </c>
    </row>
    <row r="235" spans="1:6" ht="16" x14ac:dyDescent="0.2">
      <c r="A235" s="5" t="s">
        <v>262</v>
      </c>
      <c r="B235" s="5" t="s">
        <v>590</v>
      </c>
      <c r="C235" s="24">
        <v>35</v>
      </c>
      <c r="D235" s="22">
        <f t="array" ref="D235">IF(F235="n/a","—",IF(_xlfn.XLOOKUP(TRIM(SUBSTITUTE(A235,_xlfn.UNICHAR(160)," ")),TRIM(SUBSTITUTE('worker file'!$A$2:$A$406,_xlfn.UNICHAR(160)," ")),'worker file'!$L$2:$L$406,"")="US Biweekly",$I$3,$I$2))</f>
        <v>46295</v>
      </c>
      <c r="E235" s="5" t="s">
        <v>591</v>
      </c>
      <c r="F235" s="5" t="s">
        <v>554</v>
      </c>
    </row>
    <row r="236" spans="1:6" ht="16" x14ac:dyDescent="0.2">
      <c r="A236" s="5" t="s">
        <v>263</v>
      </c>
      <c r="B236" s="5" t="s">
        <v>573</v>
      </c>
      <c r="C236" s="24">
        <v>80.5</v>
      </c>
      <c r="D236" s="22">
        <f t="array" ref="D236">IF(F236="n/a","—",IF(_xlfn.XLOOKUP(TRIM(SUBSTITUTE(A236,_xlfn.UNICHAR(160)," ")),TRIM(SUBSTITUTE('worker file'!$A$2:$A$406,_xlfn.UNICHAR(160)," ")),'worker file'!$L$2:$L$406,"")="US Biweekly",$I$3,$I$2))</f>
        <v>46298</v>
      </c>
      <c r="E236" s="5" t="s">
        <v>574</v>
      </c>
      <c r="F236" s="5" t="s">
        <v>554</v>
      </c>
    </row>
    <row r="237" spans="1:6" ht="16" x14ac:dyDescent="0.2">
      <c r="A237" s="5" t="s">
        <v>263</v>
      </c>
      <c r="B237" s="5" t="s">
        <v>566</v>
      </c>
      <c r="C237" s="24">
        <v>25.25</v>
      </c>
      <c r="D237" s="22">
        <f t="array" ref="D237">IF(F237="n/a","—",IF(_xlfn.XLOOKUP(TRIM(SUBSTITUTE(A237,_xlfn.UNICHAR(160)," ")),TRIM(SUBSTITUTE('worker file'!$A$2:$A$406,_xlfn.UNICHAR(160)," ")),'worker file'!$L$2:$L$406,"")="US Biweekly",$I$3,$I$2))</f>
        <v>46298</v>
      </c>
      <c r="E237" s="5" t="s">
        <v>571</v>
      </c>
      <c r="F237" s="5" t="s">
        <v>554</v>
      </c>
    </row>
    <row r="238" spans="1:6" ht="16" x14ac:dyDescent="0.2">
      <c r="A238" s="5" t="s">
        <v>264</v>
      </c>
      <c r="B238" s="5" t="s">
        <v>584</v>
      </c>
      <c r="C238" s="25">
        <v>9.5</v>
      </c>
      <c r="D238" s="22">
        <f t="array" ref="D238">IF(F238="n/a","—",IF(_xlfn.XLOOKUP(TRIM(SUBSTITUTE(A238,_xlfn.UNICHAR(160)," ")),TRIM(SUBSTITUTE('worker file'!$A$2:$A$406,_xlfn.UNICHAR(160)," ")),'worker file'!$L$2:$L$406,"")="US Biweekly",$I$3,$I$2))</f>
        <v>46295</v>
      </c>
      <c r="E238" s="5" t="s">
        <v>585</v>
      </c>
      <c r="F238" s="5" t="s">
        <v>559</v>
      </c>
    </row>
    <row r="239" spans="1:6" ht="16" x14ac:dyDescent="0.2">
      <c r="A239" s="5" t="s">
        <v>264</v>
      </c>
      <c r="B239" s="5" t="s">
        <v>586</v>
      </c>
      <c r="C239" s="25">
        <v>6.5</v>
      </c>
      <c r="D239" s="22">
        <f t="array" ref="D239">IF(F239="n/a","—",IF(_xlfn.XLOOKUP(TRIM(SUBSTITUTE(A239,_xlfn.UNICHAR(160)," ")),TRIM(SUBSTITUTE('worker file'!$A$2:$A$406,_xlfn.UNICHAR(160)," ")),'worker file'!$L$2:$L$406,"")="US Biweekly",$I$3,$I$2))</f>
        <v>46295</v>
      </c>
      <c r="E239" s="5" t="s">
        <v>587</v>
      </c>
      <c r="F239" s="5" t="s">
        <v>559</v>
      </c>
    </row>
    <row r="240" spans="1:6" ht="16" x14ac:dyDescent="0.2">
      <c r="A240" s="5" t="s">
        <v>265</v>
      </c>
      <c r="B240" s="5" t="s">
        <v>568</v>
      </c>
      <c r="C240" s="21" t="s">
        <v>569</v>
      </c>
      <c r="D240" s="22" t="str">
        <f t="array" ref="D240">IF(F240="n/a","—",IF(_xlfn.XLOOKUP(TRIM(SUBSTITUTE(A240,_xlfn.UNICHAR(160)," ")),TRIM(SUBSTITUTE('worker file'!$A$2:$A$406,_xlfn.UNICHAR(160)," ")),'worker file'!$L$2:$L$406,"")="US Biweekly",$I$3,$I$2))</f>
        <v>—</v>
      </c>
      <c r="E240" s="5" t="s">
        <v>570</v>
      </c>
      <c r="F240" s="5" t="s">
        <v>550</v>
      </c>
    </row>
    <row r="241" spans="1:6" ht="16" x14ac:dyDescent="0.2">
      <c r="A241" s="5" t="s">
        <v>265</v>
      </c>
      <c r="B241" s="5" t="s">
        <v>592</v>
      </c>
      <c r="C241" s="24">
        <v>33.5</v>
      </c>
      <c r="D241" s="22">
        <f t="array" ref="D241">IF(F241="n/a","—",IF(_xlfn.XLOOKUP(TRIM(SUBSTITUTE(A241,_xlfn.UNICHAR(160)," ")),TRIM(SUBSTITUTE('worker file'!$A$2:$A$406,_xlfn.UNICHAR(160)," ")),'worker file'!$L$2:$L$406,"")="US Biweekly",$I$3,$I$2))</f>
        <v>46295</v>
      </c>
      <c r="E241" s="5" t="s">
        <v>593</v>
      </c>
      <c r="F241" s="5" t="s">
        <v>554</v>
      </c>
    </row>
    <row r="242" spans="1:6" ht="16" x14ac:dyDescent="0.2">
      <c r="A242" s="5" t="s">
        <v>267</v>
      </c>
      <c r="B242" s="5" t="s">
        <v>568</v>
      </c>
      <c r="C242" s="21" t="s">
        <v>569</v>
      </c>
      <c r="D242" s="22" t="str">
        <f t="array" ref="D242">IF(F242="n/a","—",IF(_xlfn.XLOOKUP(TRIM(SUBSTITUTE(A242,_xlfn.UNICHAR(160)," ")),TRIM(SUBSTITUTE('worker file'!$A$2:$A$406,_xlfn.UNICHAR(160)," ")),'worker file'!$L$2:$L$406,"")="US Biweekly",$I$3,$I$2))</f>
        <v>—</v>
      </c>
      <c r="E242" s="5" t="s">
        <v>570</v>
      </c>
      <c r="F242" s="5" t="s">
        <v>550</v>
      </c>
    </row>
    <row r="243" spans="1:6" ht="16" x14ac:dyDescent="0.2">
      <c r="A243" s="5" t="s">
        <v>268</v>
      </c>
      <c r="B243" s="5" t="s">
        <v>568</v>
      </c>
      <c r="C243" s="21" t="s">
        <v>569</v>
      </c>
      <c r="D243" s="22" t="str">
        <f t="array" ref="D243">IF(F243="n/a","—",IF(_xlfn.XLOOKUP(TRIM(SUBSTITUTE(A243,_xlfn.UNICHAR(160)," ")),TRIM(SUBSTITUTE('worker file'!$A$2:$A$406,_xlfn.UNICHAR(160)," ")),'worker file'!$L$2:$L$406,"")="US Biweekly",$I$3,$I$2))</f>
        <v>—</v>
      </c>
      <c r="E243" s="5" t="s">
        <v>570</v>
      </c>
      <c r="F243" s="5" t="s">
        <v>550</v>
      </c>
    </row>
    <row r="244" spans="1:6" ht="16" x14ac:dyDescent="0.2">
      <c r="A244" s="5" t="s">
        <v>268</v>
      </c>
      <c r="B244" s="5" t="s">
        <v>566</v>
      </c>
      <c r="C244" s="24">
        <v>55.5</v>
      </c>
      <c r="D244" s="22">
        <f t="array" ref="D244">IF(F244="n/a","—",IF(_xlfn.XLOOKUP(TRIM(SUBSTITUTE(A244,_xlfn.UNICHAR(160)," ")),TRIM(SUBSTITUTE('worker file'!$A$2:$A$406,_xlfn.UNICHAR(160)," ")),'worker file'!$L$2:$L$406,"")="US Biweekly",$I$3,$I$2))</f>
        <v>46295</v>
      </c>
      <c r="E244" s="5" t="s">
        <v>571</v>
      </c>
      <c r="F244" s="5" t="s">
        <v>554</v>
      </c>
    </row>
    <row r="245" spans="1:6" ht="16" x14ac:dyDescent="0.2">
      <c r="A245" s="5" t="s">
        <v>269</v>
      </c>
      <c r="B245" s="5" t="s">
        <v>568</v>
      </c>
      <c r="C245" s="21" t="s">
        <v>569</v>
      </c>
      <c r="D245" s="22" t="str">
        <f t="array" ref="D245">IF(F245="n/a","—",IF(_xlfn.XLOOKUP(TRIM(SUBSTITUTE(A245,_xlfn.UNICHAR(160)," ")),TRIM(SUBSTITUTE('worker file'!$A$2:$A$406,_xlfn.UNICHAR(160)," ")),'worker file'!$L$2:$L$406,"")="US Biweekly",$I$3,$I$2))</f>
        <v>—</v>
      </c>
      <c r="E245" s="5" t="s">
        <v>570</v>
      </c>
      <c r="F245" s="5" t="s">
        <v>550</v>
      </c>
    </row>
    <row r="246" spans="1:6" ht="16" x14ac:dyDescent="0.2">
      <c r="A246" s="5" t="s">
        <v>270</v>
      </c>
      <c r="B246" s="5" t="s">
        <v>573</v>
      </c>
      <c r="C246" s="24">
        <v>61.75</v>
      </c>
      <c r="D246" s="22">
        <f t="array" ref="D246">IF(F246="n/a","—",IF(_xlfn.XLOOKUP(TRIM(SUBSTITUTE(A246,_xlfn.UNICHAR(160)," ")),TRIM(SUBSTITUTE('worker file'!$A$2:$A$406,_xlfn.UNICHAR(160)," ")),'worker file'!$L$2:$L$406,"")="US Biweekly",$I$3,$I$2))</f>
        <v>46298</v>
      </c>
      <c r="E246" s="5" t="s">
        <v>574</v>
      </c>
      <c r="F246" s="5" t="s">
        <v>554</v>
      </c>
    </row>
    <row r="247" spans="1:6" ht="16" x14ac:dyDescent="0.2">
      <c r="A247" s="5" t="s">
        <v>270</v>
      </c>
      <c r="B247" s="5" t="s">
        <v>575</v>
      </c>
      <c r="C247" s="24">
        <v>5.5</v>
      </c>
      <c r="D247" s="22">
        <f t="array" ref="D247">IF(F247="n/a","—",IF(_xlfn.XLOOKUP(TRIM(SUBSTITUTE(A247,_xlfn.UNICHAR(160)," ")),TRIM(SUBSTITUTE('worker file'!$A$2:$A$406,_xlfn.UNICHAR(160)," ")),'worker file'!$L$2:$L$406,"")="US Biweekly",$I$3,$I$2))</f>
        <v>46298</v>
      </c>
      <c r="E247" s="5" t="s">
        <v>576</v>
      </c>
      <c r="F247" s="5" t="s">
        <v>554</v>
      </c>
    </row>
    <row r="248" spans="1:6" ht="16" x14ac:dyDescent="0.2">
      <c r="A248" s="5" t="s">
        <v>271</v>
      </c>
      <c r="B248" s="5" t="s">
        <v>568</v>
      </c>
      <c r="C248" s="21" t="s">
        <v>569</v>
      </c>
      <c r="D248" s="22" t="str">
        <f t="array" ref="D248">IF(F248="n/a","—",IF(_xlfn.XLOOKUP(TRIM(SUBSTITUTE(A248,_xlfn.UNICHAR(160)," ")),TRIM(SUBSTITUTE('worker file'!$A$2:$A$406,_xlfn.UNICHAR(160)," ")),'worker file'!$L$2:$L$406,"")="US Biweekly",$I$3,$I$2))</f>
        <v>—</v>
      </c>
      <c r="E248" s="5" t="s">
        <v>570</v>
      </c>
      <c r="F248" s="5" t="s">
        <v>550</v>
      </c>
    </row>
    <row r="249" spans="1:6" ht="16" x14ac:dyDescent="0.2">
      <c r="A249" s="5" t="s">
        <v>271</v>
      </c>
      <c r="B249" s="5" t="s">
        <v>566</v>
      </c>
      <c r="C249" s="24">
        <v>29.5</v>
      </c>
      <c r="D249" s="22">
        <f t="array" ref="D249">IF(F249="n/a","—",IF(_xlfn.XLOOKUP(TRIM(SUBSTITUTE(A249,_xlfn.UNICHAR(160)," ")),TRIM(SUBSTITUTE('worker file'!$A$2:$A$406,_xlfn.UNICHAR(160)," ")),'worker file'!$L$2:$L$406,"")="US Biweekly",$I$3,$I$2))</f>
        <v>46295</v>
      </c>
      <c r="E249" s="5" t="s">
        <v>571</v>
      </c>
      <c r="F249" s="5" t="s">
        <v>554</v>
      </c>
    </row>
    <row r="250" spans="1:6" ht="16" x14ac:dyDescent="0.2">
      <c r="A250" s="5" t="s">
        <v>272</v>
      </c>
      <c r="B250" s="5" t="s">
        <v>568</v>
      </c>
      <c r="C250" s="21" t="s">
        <v>569</v>
      </c>
      <c r="D250" s="22" t="str">
        <f t="array" ref="D250">IF(F250="n/a","—",IF(_xlfn.XLOOKUP(TRIM(SUBSTITUTE(A250,_xlfn.UNICHAR(160)," ")),TRIM(SUBSTITUTE('worker file'!$A$2:$A$406,_xlfn.UNICHAR(160)," ")),'worker file'!$L$2:$L$406,"")="US Biweekly",$I$3,$I$2))</f>
        <v>—</v>
      </c>
      <c r="E250" s="5" t="s">
        <v>570</v>
      </c>
      <c r="F250" s="5" t="s">
        <v>550</v>
      </c>
    </row>
    <row r="251" spans="1:6" ht="16" x14ac:dyDescent="0.2">
      <c r="A251" s="5" t="s">
        <v>272</v>
      </c>
      <c r="B251" s="5" t="s">
        <v>566</v>
      </c>
      <c r="C251" s="24">
        <v>60</v>
      </c>
      <c r="D251" s="22">
        <f t="array" ref="D251">IF(F251="n/a","—",IF(_xlfn.XLOOKUP(TRIM(SUBSTITUTE(A251,_xlfn.UNICHAR(160)," ")),TRIM(SUBSTITUTE('worker file'!$A$2:$A$406,_xlfn.UNICHAR(160)," ")),'worker file'!$L$2:$L$406,"")="US Biweekly",$I$3,$I$2))</f>
        <v>46295</v>
      </c>
      <c r="E251" s="5" t="s">
        <v>571</v>
      </c>
      <c r="F251" s="5" t="s">
        <v>554</v>
      </c>
    </row>
    <row r="252" spans="1:6" ht="16" x14ac:dyDescent="0.2">
      <c r="A252" s="5" t="s">
        <v>273</v>
      </c>
      <c r="B252" s="5" t="s">
        <v>568</v>
      </c>
      <c r="C252" s="21" t="s">
        <v>569</v>
      </c>
      <c r="D252" s="22" t="str">
        <f t="array" ref="D252">IF(F252="n/a","—",IF(_xlfn.XLOOKUP(TRIM(SUBSTITUTE(A252,_xlfn.UNICHAR(160)," ")),TRIM(SUBSTITUTE('worker file'!$A$2:$A$406,_xlfn.UNICHAR(160)," ")),'worker file'!$L$2:$L$406,"")="US Biweekly",$I$3,$I$2))</f>
        <v>—</v>
      </c>
      <c r="E252" s="5" t="s">
        <v>570</v>
      </c>
      <c r="F252" s="5" t="s">
        <v>550</v>
      </c>
    </row>
    <row r="253" spans="1:6" ht="16" x14ac:dyDescent="0.2">
      <c r="A253" s="5" t="s">
        <v>273</v>
      </c>
      <c r="B253" s="5" t="s">
        <v>566</v>
      </c>
      <c r="C253" s="24">
        <v>60</v>
      </c>
      <c r="D253" s="22">
        <f t="array" ref="D253">IF(F253="n/a","—",IF(_xlfn.XLOOKUP(TRIM(SUBSTITUTE(A253,_xlfn.UNICHAR(160)," ")),TRIM(SUBSTITUTE('worker file'!$A$2:$A$406,_xlfn.UNICHAR(160)," ")),'worker file'!$L$2:$L$406,"")="US Biweekly",$I$3,$I$2))</f>
        <v>46295</v>
      </c>
      <c r="E253" s="5" t="s">
        <v>571</v>
      </c>
      <c r="F253" s="5" t="s">
        <v>554</v>
      </c>
    </row>
    <row r="254" spans="1:6" ht="16" x14ac:dyDescent="0.2">
      <c r="A254" s="5" t="s">
        <v>274</v>
      </c>
      <c r="B254" s="5" t="s">
        <v>568</v>
      </c>
      <c r="C254" s="21" t="s">
        <v>569</v>
      </c>
      <c r="D254" s="22" t="str">
        <f t="array" ref="D254">IF(F254="n/a","—",IF(_xlfn.XLOOKUP(TRIM(SUBSTITUTE(A254,_xlfn.UNICHAR(160)," ")),TRIM(SUBSTITUTE('worker file'!$A$2:$A$406,_xlfn.UNICHAR(160)," ")),'worker file'!$L$2:$L$406,"")="US Biweekly",$I$3,$I$2))</f>
        <v>—</v>
      </c>
      <c r="E254" s="5" t="s">
        <v>570</v>
      </c>
      <c r="F254" s="5" t="s">
        <v>550</v>
      </c>
    </row>
    <row r="255" spans="1:6" ht="16" x14ac:dyDescent="0.2">
      <c r="A255" s="5" t="s">
        <v>274</v>
      </c>
      <c r="B255" s="5" t="s">
        <v>566</v>
      </c>
      <c r="C255" s="24">
        <v>54.75</v>
      </c>
      <c r="D255" s="22">
        <f t="array" ref="D255">IF(F255="n/a","—",IF(_xlfn.XLOOKUP(TRIM(SUBSTITUTE(A255,_xlfn.UNICHAR(160)," ")),TRIM(SUBSTITUTE('worker file'!$A$2:$A$406,_xlfn.UNICHAR(160)," ")),'worker file'!$L$2:$L$406,"")="US Biweekly",$I$3,$I$2))</f>
        <v>46295</v>
      </c>
      <c r="E255" s="5" t="s">
        <v>571</v>
      </c>
      <c r="F255" s="5" t="s">
        <v>554</v>
      </c>
    </row>
    <row r="256" spans="1:6" ht="16" x14ac:dyDescent="0.2">
      <c r="A256" s="5" t="s">
        <v>275</v>
      </c>
      <c r="B256" s="5" t="s">
        <v>568</v>
      </c>
      <c r="C256" s="21" t="s">
        <v>569</v>
      </c>
      <c r="D256" s="22" t="str">
        <f t="array" ref="D256">IF(F256="n/a","—",IF(_xlfn.XLOOKUP(TRIM(SUBSTITUTE(A256,_xlfn.UNICHAR(160)," ")),TRIM(SUBSTITUTE('worker file'!$A$2:$A$406,_xlfn.UNICHAR(160)," ")),'worker file'!$L$2:$L$406,"")="US Biweekly",$I$3,$I$2))</f>
        <v>—</v>
      </c>
      <c r="E256" s="5" t="s">
        <v>570</v>
      </c>
      <c r="F256" s="5" t="s">
        <v>550</v>
      </c>
    </row>
    <row r="257" spans="1:6" ht="16" x14ac:dyDescent="0.2">
      <c r="A257" s="5" t="s">
        <v>275</v>
      </c>
      <c r="B257" s="5" t="s">
        <v>566</v>
      </c>
      <c r="C257" s="24">
        <v>76.75</v>
      </c>
      <c r="D257" s="22">
        <f t="array" ref="D257">IF(F257="n/a","—",IF(_xlfn.XLOOKUP(TRIM(SUBSTITUTE(A257,_xlfn.UNICHAR(160)," ")),TRIM(SUBSTITUTE('worker file'!$A$2:$A$406,_xlfn.UNICHAR(160)," ")),'worker file'!$L$2:$L$406,"")="US Biweekly",$I$3,$I$2))</f>
        <v>46295</v>
      </c>
      <c r="E257" s="5" t="s">
        <v>571</v>
      </c>
      <c r="F257" s="5" t="s">
        <v>554</v>
      </c>
    </row>
    <row r="258" spans="1:6" ht="16" x14ac:dyDescent="0.2">
      <c r="A258" s="5" t="s">
        <v>594</v>
      </c>
      <c r="B258" s="5" t="s">
        <v>568</v>
      </c>
      <c r="C258" s="21" t="s">
        <v>569</v>
      </c>
      <c r="D258" s="22" t="str">
        <f t="array" ref="D258">IF(F258="n/a","—",IF(_xlfn.XLOOKUP(TRIM(SUBSTITUTE(A258,_xlfn.UNICHAR(160)," ")),TRIM(SUBSTITUTE('worker file'!$A$2:$A$406,_xlfn.UNICHAR(160)," ")),'worker file'!$L$2:$L$406,"")="US Biweekly",$I$3,$I$2))</f>
        <v>—</v>
      </c>
      <c r="E258" s="5" t="s">
        <v>570</v>
      </c>
      <c r="F258" s="5" t="s">
        <v>550</v>
      </c>
    </row>
    <row r="259" spans="1:6" ht="16" x14ac:dyDescent="0.2">
      <c r="A259" s="5" t="s">
        <v>594</v>
      </c>
      <c r="B259" s="5" t="s">
        <v>577</v>
      </c>
      <c r="C259" s="24">
        <v>21</v>
      </c>
      <c r="D259" s="22">
        <f t="array" ref="D259">IF(F259="n/a","—",IF(_xlfn.XLOOKUP(TRIM(SUBSTITUTE(A259,_xlfn.UNICHAR(160)," ")),TRIM(SUBSTITUTE('worker file'!$A$2:$A$406,_xlfn.UNICHAR(160)," ")),'worker file'!$L$2:$L$406,"")="US Biweekly",$I$3,$I$2))</f>
        <v>46295</v>
      </c>
      <c r="E259" s="5" t="s">
        <v>595</v>
      </c>
      <c r="F259" s="5" t="s">
        <v>554</v>
      </c>
    </row>
    <row r="260" spans="1:6" ht="16" x14ac:dyDescent="0.2">
      <c r="A260" s="5" t="s">
        <v>276</v>
      </c>
      <c r="B260" s="5" t="s">
        <v>584</v>
      </c>
      <c r="C260" s="25">
        <v>4</v>
      </c>
      <c r="D260" s="22">
        <f t="array" ref="D260">IF(F260="n/a","—",IF(_xlfn.XLOOKUP(TRIM(SUBSTITUTE(A260,_xlfn.UNICHAR(160)," ")),TRIM(SUBSTITUTE('worker file'!$A$2:$A$406,_xlfn.UNICHAR(160)," ")),'worker file'!$L$2:$L$406,"")="US Biweekly",$I$3,$I$2))</f>
        <v>46295</v>
      </c>
      <c r="E260" s="5" t="s">
        <v>585</v>
      </c>
      <c r="F260" s="5" t="s">
        <v>559</v>
      </c>
    </row>
    <row r="261" spans="1:6" ht="16" x14ac:dyDescent="0.2">
      <c r="A261" s="5" t="s">
        <v>276</v>
      </c>
      <c r="B261" s="5" t="s">
        <v>586</v>
      </c>
      <c r="C261" s="25">
        <v>0.5</v>
      </c>
      <c r="D261" s="22">
        <f t="array" ref="D261">IF(F261="n/a","—",IF(_xlfn.XLOOKUP(TRIM(SUBSTITUTE(A261,_xlfn.UNICHAR(160)," ")),TRIM(SUBSTITUTE('worker file'!$A$2:$A$406,_xlfn.UNICHAR(160)," ")),'worker file'!$L$2:$L$406,"")="US Biweekly",$I$3,$I$2))</f>
        <v>46295</v>
      </c>
      <c r="E261" s="5" t="s">
        <v>587</v>
      </c>
      <c r="F261" s="5" t="s">
        <v>559</v>
      </c>
    </row>
    <row r="262" spans="1:6" ht="16" x14ac:dyDescent="0.2">
      <c r="A262" s="5" t="s">
        <v>277</v>
      </c>
      <c r="B262" s="5" t="s">
        <v>584</v>
      </c>
      <c r="C262" s="25">
        <v>15.5</v>
      </c>
      <c r="D262" s="22">
        <f t="array" ref="D262">IF(F262="n/a","—",IF(_xlfn.XLOOKUP(TRIM(SUBSTITUTE(A262,_xlfn.UNICHAR(160)," ")),TRIM(SUBSTITUTE('worker file'!$A$2:$A$406,_xlfn.UNICHAR(160)," ")),'worker file'!$L$2:$L$406,"")="US Biweekly",$I$3,$I$2))</f>
        <v>46295</v>
      </c>
      <c r="E262" s="5" t="s">
        <v>585</v>
      </c>
      <c r="F262" s="5" t="s">
        <v>559</v>
      </c>
    </row>
    <row r="263" spans="1:6" ht="16" x14ac:dyDescent="0.2">
      <c r="A263" s="5" t="s">
        <v>277</v>
      </c>
      <c r="B263" s="5" t="s">
        <v>586</v>
      </c>
      <c r="C263" s="25">
        <v>3.5</v>
      </c>
      <c r="D263" s="22">
        <f t="array" ref="D263">IF(F263="n/a","—",IF(_xlfn.XLOOKUP(TRIM(SUBSTITUTE(A263,_xlfn.UNICHAR(160)," ")),TRIM(SUBSTITUTE('worker file'!$A$2:$A$406,_xlfn.UNICHAR(160)," ")),'worker file'!$L$2:$L$406,"")="US Biweekly",$I$3,$I$2))</f>
        <v>46295</v>
      </c>
      <c r="E263" s="5" t="s">
        <v>587</v>
      </c>
      <c r="F263" s="5" t="s">
        <v>559</v>
      </c>
    </row>
    <row r="264" spans="1:6" ht="16" x14ac:dyDescent="0.2">
      <c r="A264" s="5" t="s">
        <v>278</v>
      </c>
      <c r="B264" s="5" t="s">
        <v>568</v>
      </c>
      <c r="C264" s="21" t="s">
        <v>569</v>
      </c>
      <c r="D264" s="22" t="str">
        <f t="array" ref="D264">IF(F264="n/a","—",IF(_xlfn.XLOOKUP(TRIM(SUBSTITUTE(A264,_xlfn.UNICHAR(160)," ")),TRIM(SUBSTITUTE('worker file'!$A$2:$A$406,_xlfn.UNICHAR(160)," ")),'worker file'!$L$2:$L$406,"")="US Biweekly",$I$3,$I$2))</f>
        <v>—</v>
      </c>
      <c r="E264" s="5" t="s">
        <v>570</v>
      </c>
      <c r="F264" s="5" t="s">
        <v>550</v>
      </c>
    </row>
    <row r="265" spans="1:6" ht="16" x14ac:dyDescent="0.2">
      <c r="A265" s="5" t="s">
        <v>278</v>
      </c>
      <c r="B265" s="5" t="s">
        <v>566</v>
      </c>
      <c r="C265" s="24">
        <v>66.75</v>
      </c>
      <c r="D265" s="22">
        <f t="array" ref="D265">IF(F265="n/a","—",IF(_xlfn.XLOOKUP(TRIM(SUBSTITUTE(A265,_xlfn.UNICHAR(160)," ")),TRIM(SUBSTITUTE('worker file'!$A$2:$A$406,_xlfn.UNICHAR(160)," ")),'worker file'!$L$2:$L$406,"")="US Biweekly",$I$3,$I$2))</f>
        <v>46295</v>
      </c>
      <c r="E265" s="5" t="s">
        <v>571</v>
      </c>
      <c r="F265" s="5" t="s">
        <v>554</v>
      </c>
    </row>
    <row r="266" spans="1:6" ht="16" x14ac:dyDescent="0.2">
      <c r="A266" s="5" t="s">
        <v>279</v>
      </c>
      <c r="B266" s="5" t="s">
        <v>573</v>
      </c>
      <c r="C266" s="24">
        <v>79.5</v>
      </c>
      <c r="D266" s="22">
        <f t="array" ref="D266">IF(F266="n/a","—",IF(_xlfn.XLOOKUP(TRIM(SUBSTITUTE(A266,_xlfn.UNICHAR(160)," ")),TRIM(SUBSTITUTE('worker file'!$A$2:$A$406,_xlfn.UNICHAR(160)," ")),'worker file'!$L$2:$L$406,"")="US Biweekly",$I$3,$I$2))</f>
        <v>46298</v>
      </c>
      <c r="E266" s="5" t="s">
        <v>574</v>
      </c>
      <c r="F266" s="5" t="s">
        <v>554</v>
      </c>
    </row>
    <row r="267" spans="1:6" ht="16" x14ac:dyDescent="0.2">
      <c r="A267" s="5" t="s">
        <v>279</v>
      </c>
      <c r="B267" s="5" t="s">
        <v>575</v>
      </c>
      <c r="C267" s="24">
        <v>24</v>
      </c>
      <c r="D267" s="22">
        <f t="array" ref="D267">IF(F267="n/a","—",IF(_xlfn.XLOOKUP(TRIM(SUBSTITUTE(A267,_xlfn.UNICHAR(160)," ")),TRIM(SUBSTITUTE('worker file'!$A$2:$A$406,_xlfn.UNICHAR(160)," ")),'worker file'!$L$2:$L$406,"")="US Biweekly",$I$3,$I$2))</f>
        <v>46298</v>
      </c>
      <c r="E267" s="5" t="s">
        <v>576</v>
      </c>
      <c r="F267" s="5" t="s">
        <v>554</v>
      </c>
    </row>
    <row r="268" spans="1:6" ht="16" x14ac:dyDescent="0.2">
      <c r="A268" s="5" t="s">
        <v>280</v>
      </c>
      <c r="B268" s="5" t="s">
        <v>568</v>
      </c>
      <c r="C268" s="21" t="s">
        <v>569</v>
      </c>
      <c r="D268" s="22" t="str">
        <f t="array" ref="D268">IF(F268="n/a","—",IF(_xlfn.XLOOKUP(TRIM(SUBSTITUTE(A268,_xlfn.UNICHAR(160)," ")),TRIM(SUBSTITUTE('worker file'!$A$2:$A$406,_xlfn.UNICHAR(160)," ")),'worker file'!$L$2:$L$406,"")="US Biweekly",$I$3,$I$2))</f>
        <v>—</v>
      </c>
      <c r="E268" s="5" t="s">
        <v>570</v>
      </c>
      <c r="F268" s="5" t="s">
        <v>550</v>
      </c>
    </row>
    <row r="269" spans="1:6" ht="16" x14ac:dyDescent="0.2">
      <c r="A269" s="5" t="s">
        <v>281</v>
      </c>
      <c r="B269" s="5" t="s">
        <v>588</v>
      </c>
      <c r="C269" s="25">
        <v>12</v>
      </c>
      <c r="D269" s="22">
        <f t="array" ref="D269">IF(F269="n/a","—",IF(_xlfn.XLOOKUP(TRIM(SUBSTITUTE(A269,_xlfn.UNICHAR(160)," ")),TRIM(SUBSTITUTE('worker file'!$A$2:$A$406,_xlfn.UNICHAR(160)," ")),'worker file'!$L$2:$L$406,"")="US Biweekly",$I$3,$I$2))</f>
        <v>46295</v>
      </c>
      <c r="E269" s="5" t="s">
        <v>589</v>
      </c>
      <c r="F269" s="5" t="s">
        <v>559</v>
      </c>
    </row>
    <row r="270" spans="1:6" ht="16" x14ac:dyDescent="0.2">
      <c r="A270" s="5" t="s">
        <v>282</v>
      </c>
      <c r="B270" s="5" t="s">
        <v>584</v>
      </c>
      <c r="C270" s="25">
        <v>21.5</v>
      </c>
      <c r="D270" s="22">
        <f t="array" ref="D270">IF(F270="n/a","—",IF(_xlfn.XLOOKUP(TRIM(SUBSTITUTE(A270,_xlfn.UNICHAR(160)," ")),TRIM(SUBSTITUTE('worker file'!$A$2:$A$406,_xlfn.UNICHAR(160)," ")),'worker file'!$L$2:$L$406,"")="US Biweekly",$I$3,$I$2))</f>
        <v>46295</v>
      </c>
      <c r="E270" s="5" t="s">
        <v>585</v>
      </c>
      <c r="F270" s="5" t="s">
        <v>559</v>
      </c>
    </row>
    <row r="271" spans="1:6" ht="16" x14ac:dyDescent="0.2">
      <c r="A271" s="5" t="s">
        <v>282</v>
      </c>
      <c r="B271" s="5" t="s">
        <v>586</v>
      </c>
      <c r="C271" s="25">
        <v>4</v>
      </c>
      <c r="D271" s="22">
        <f t="array" ref="D271">IF(F271="n/a","—",IF(_xlfn.XLOOKUP(TRIM(SUBSTITUTE(A271,_xlfn.UNICHAR(160)," ")),TRIM(SUBSTITUTE('worker file'!$A$2:$A$406,_xlfn.UNICHAR(160)," ")),'worker file'!$L$2:$L$406,"")="US Biweekly",$I$3,$I$2))</f>
        <v>46295</v>
      </c>
      <c r="E271" s="5" t="s">
        <v>587</v>
      </c>
      <c r="F271" s="5" t="s">
        <v>559</v>
      </c>
    </row>
    <row r="272" spans="1:6" ht="16" x14ac:dyDescent="0.2">
      <c r="A272" s="5" t="s">
        <v>283</v>
      </c>
      <c r="B272" s="5" t="s">
        <v>568</v>
      </c>
      <c r="C272" s="21" t="s">
        <v>569</v>
      </c>
      <c r="D272" s="22" t="str">
        <f t="array" ref="D272">IF(F272="n/a","—",IF(_xlfn.XLOOKUP(TRIM(SUBSTITUTE(A272,_xlfn.UNICHAR(160)," ")),TRIM(SUBSTITUTE('worker file'!$A$2:$A$406,_xlfn.UNICHAR(160)," ")),'worker file'!$L$2:$L$406,"")="US Biweekly",$I$3,$I$2))</f>
        <v>—</v>
      </c>
      <c r="E272" s="5" t="s">
        <v>570</v>
      </c>
      <c r="F272" s="5" t="s">
        <v>550</v>
      </c>
    </row>
    <row r="273" spans="1:6" ht="16" x14ac:dyDescent="0.2">
      <c r="A273" s="5" t="s">
        <v>284</v>
      </c>
      <c r="B273" s="5" t="s">
        <v>584</v>
      </c>
      <c r="C273" s="25">
        <v>3</v>
      </c>
      <c r="D273" s="22">
        <f t="array" ref="D273">IF(F273="n/a","—",IF(_xlfn.XLOOKUP(TRIM(SUBSTITUTE(A273,_xlfn.UNICHAR(160)," ")),TRIM(SUBSTITUTE('worker file'!$A$2:$A$406,_xlfn.UNICHAR(160)," ")),'worker file'!$L$2:$L$406,"")="US Biweekly",$I$3,$I$2))</f>
        <v>46295</v>
      </c>
      <c r="E273" s="5" t="s">
        <v>585</v>
      </c>
      <c r="F273" s="5" t="s">
        <v>559</v>
      </c>
    </row>
    <row r="274" spans="1:6" ht="16" x14ac:dyDescent="0.2">
      <c r="A274" s="5" t="s">
        <v>284</v>
      </c>
      <c r="B274" s="5" t="s">
        <v>586</v>
      </c>
      <c r="C274" s="25">
        <v>2</v>
      </c>
      <c r="D274" s="22">
        <f t="array" ref="D274">IF(F274="n/a","—",IF(_xlfn.XLOOKUP(TRIM(SUBSTITUTE(A274,_xlfn.UNICHAR(160)," ")),TRIM(SUBSTITUTE('worker file'!$A$2:$A$406,_xlfn.UNICHAR(160)," ")),'worker file'!$L$2:$L$406,"")="US Biweekly",$I$3,$I$2))</f>
        <v>46295</v>
      </c>
      <c r="E274" s="5" t="s">
        <v>587</v>
      </c>
      <c r="F274" s="5" t="s">
        <v>559</v>
      </c>
    </row>
    <row r="275" spans="1:6" ht="16" x14ac:dyDescent="0.2">
      <c r="A275" s="5" t="s">
        <v>285</v>
      </c>
      <c r="B275" s="5" t="s">
        <v>568</v>
      </c>
      <c r="C275" s="21" t="s">
        <v>569</v>
      </c>
      <c r="D275" s="22" t="str">
        <f t="array" ref="D275">IF(F275="n/a","—",IF(_xlfn.XLOOKUP(TRIM(SUBSTITUTE(A275,_xlfn.UNICHAR(160)," ")),TRIM(SUBSTITUTE('worker file'!$A$2:$A$406,_xlfn.UNICHAR(160)," ")),'worker file'!$L$2:$L$406,"")="US Biweekly",$I$3,$I$2))</f>
        <v>—</v>
      </c>
      <c r="E275" s="5" t="s">
        <v>570</v>
      </c>
      <c r="F275" s="5" t="s">
        <v>550</v>
      </c>
    </row>
    <row r="276" spans="1:6" ht="16" x14ac:dyDescent="0.2">
      <c r="A276" s="5" t="s">
        <v>285</v>
      </c>
      <c r="B276" s="5" t="s">
        <v>577</v>
      </c>
      <c r="C276" s="24">
        <v>37</v>
      </c>
      <c r="D276" s="22">
        <f t="array" ref="D276">IF(F276="n/a","—",IF(_xlfn.XLOOKUP(TRIM(SUBSTITUTE(A276,_xlfn.UNICHAR(160)," ")),TRIM(SUBSTITUTE('worker file'!$A$2:$A$406,_xlfn.UNICHAR(160)," ")),'worker file'!$L$2:$L$406,"")="US Biweekly",$I$3,$I$2))</f>
        <v>46295</v>
      </c>
      <c r="E276" s="5" t="s">
        <v>578</v>
      </c>
      <c r="F276" s="5" t="s">
        <v>554</v>
      </c>
    </row>
    <row r="277" spans="1:6" ht="16" x14ac:dyDescent="0.2">
      <c r="A277" s="5" t="s">
        <v>286</v>
      </c>
      <c r="B277" s="5" t="s">
        <v>568</v>
      </c>
      <c r="C277" s="21" t="s">
        <v>569</v>
      </c>
      <c r="D277" s="22" t="str">
        <f t="array" ref="D277">IF(F277="n/a","—",IF(_xlfn.XLOOKUP(TRIM(SUBSTITUTE(A277,_xlfn.UNICHAR(160)," ")),TRIM(SUBSTITUTE('worker file'!$A$2:$A$406,_xlfn.UNICHAR(160)," ")),'worker file'!$L$2:$L$406,"")="US Biweekly",$I$3,$I$2))</f>
        <v>—</v>
      </c>
      <c r="E277" s="5" t="s">
        <v>570</v>
      </c>
      <c r="F277" s="5" t="s">
        <v>550</v>
      </c>
    </row>
    <row r="278" spans="1:6" ht="16" x14ac:dyDescent="0.2">
      <c r="A278" s="5" t="s">
        <v>286</v>
      </c>
      <c r="B278" s="5" t="s">
        <v>566</v>
      </c>
      <c r="C278" s="24">
        <v>24.25</v>
      </c>
      <c r="D278" s="22">
        <f t="array" ref="D278">IF(F278="n/a","—",IF(_xlfn.XLOOKUP(TRIM(SUBSTITUTE(A278,_xlfn.UNICHAR(160)," ")),TRIM(SUBSTITUTE('worker file'!$A$2:$A$406,_xlfn.UNICHAR(160)," ")),'worker file'!$L$2:$L$406,"")="US Biweekly",$I$3,$I$2))</f>
        <v>46295</v>
      </c>
      <c r="E278" s="5" t="s">
        <v>571</v>
      </c>
      <c r="F278" s="5" t="s">
        <v>554</v>
      </c>
    </row>
    <row r="279" spans="1:6" ht="16" x14ac:dyDescent="0.2">
      <c r="A279" s="5" t="s">
        <v>288</v>
      </c>
      <c r="B279" s="5" t="s">
        <v>568</v>
      </c>
      <c r="C279" s="21" t="s">
        <v>569</v>
      </c>
      <c r="D279" s="22" t="str">
        <f t="array" ref="D279">IF(F279="n/a","—",IF(_xlfn.XLOOKUP(TRIM(SUBSTITUTE(A279,_xlfn.UNICHAR(160)," ")),TRIM(SUBSTITUTE('worker file'!$A$2:$A$406,_xlfn.UNICHAR(160)," ")),'worker file'!$L$2:$L$406,"")="US Biweekly",$I$3,$I$2))</f>
        <v>—</v>
      </c>
      <c r="E279" s="5" t="s">
        <v>570</v>
      </c>
      <c r="F279" s="5" t="s">
        <v>550</v>
      </c>
    </row>
    <row r="280" spans="1:6" ht="16" x14ac:dyDescent="0.2">
      <c r="A280" s="5" t="s">
        <v>289</v>
      </c>
      <c r="B280" s="5" t="s">
        <v>568</v>
      </c>
      <c r="C280" s="21" t="s">
        <v>569</v>
      </c>
      <c r="D280" s="22" t="str">
        <f t="array" ref="D280">IF(F280="n/a","—",IF(_xlfn.XLOOKUP(TRIM(SUBSTITUTE(A280,_xlfn.UNICHAR(160)," ")),TRIM(SUBSTITUTE('worker file'!$A$2:$A$406,_xlfn.UNICHAR(160)," ")),'worker file'!$L$2:$L$406,"")="US Biweekly",$I$3,$I$2))</f>
        <v>—</v>
      </c>
      <c r="E280" s="5" t="s">
        <v>570</v>
      </c>
      <c r="F280" s="5" t="s">
        <v>550</v>
      </c>
    </row>
    <row r="281" spans="1:6" ht="16" x14ac:dyDescent="0.2">
      <c r="A281" s="5" t="s">
        <v>289</v>
      </c>
      <c r="B281" s="5" t="s">
        <v>566</v>
      </c>
      <c r="C281" s="24">
        <v>46.75</v>
      </c>
      <c r="D281" s="22">
        <f t="array" ref="D281">IF(F281="n/a","—",IF(_xlfn.XLOOKUP(TRIM(SUBSTITUTE(A281,_xlfn.UNICHAR(160)," ")),TRIM(SUBSTITUTE('worker file'!$A$2:$A$406,_xlfn.UNICHAR(160)," ")),'worker file'!$L$2:$L$406,"")="US Biweekly",$I$3,$I$2))</f>
        <v>46295</v>
      </c>
      <c r="E281" s="5" t="s">
        <v>571</v>
      </c>
      <c r="F281" s="5" t="s">
        <v>554</v>
      </c>
    </row>
    <row r="282" spans="1:6" ht="16" x14ac:dyDescent="0.2">
      <c r="A282" s="5" t="s">
        <v>290</v>
      </c>
      <c r="B282" s="5" t="s">
        <v>568</v>
      </c>
      <c r="C282" s="21" t="s">
        <v>569</v>
      </c>
      <c r="D282" s="22" t="str">
        <f t="array" ref="D282">IF(F282="n/a","—",IF(_xlfn.XLOOKUP(TRIM(SUBSTITUTE(A282,_xlfn.UNICHAR(160)," ")),TRIM(SUBSTITUTE('worker file'!$A$2:$A$406,_xlfn.UNICHAR(160)," ")),'worker file'!$L$2:$L$406,"")="US Biweekly",$I$3,$I$2))</f>
        <v>—</v>
      </c>
      <c r="E282" s="5" t="s">
        <v>570</v>
      </c>
      <c r="F282" s="5" t="s">
        <v>550</v>
      </c>
    </row>
    <row r="283" spans="1:6" ht="16" x14ac:dyDescent="0.2">
      <c r="A283" s="5" t="s">
        <v>290</v>
      </c>
      <c r="B283" s="5" t="s">
        <v>566</v>
      </c>
      <c r="C283" s="24">
        <v>52.75</v>
      </c>
      <c r="D283" s="22">
        <f t="array" ref="D283">IF(F283="n/a","—",IF(_xlfn.XLOOKUP(TRIM(SUBSTITUTE(A283,_xlfn.UNICHAR(160)," ")),TRIM(SUBSTITUTE('worker file'!$A$2:$A$406,_xlfn.UNICHAR(160)," ")),'worker file'!$L$2:$L$406,"")="US Biweekly",$I$3,$I$2))</f>
        <v>46295</v>
      </c>
      <c r="E283" s="5" t="s">
        <v>571</v>
      </c>
      <c r="F283" s="5" t="s">
        <v>554</v>
      </c>
    </row>
    <row r="284" spans="1:6" ht="16" x14ac:dyDescent="0.2">
      <c r="A284" s="5" t="s">
        <v>291</v>
      </c>
      <c r="B284" s="5" t="s">
        <v>568</v>
      </c>
      <c r="C284" s="21" t="s">
        <v>569</v>
      </c>
      <c r="D284" s="22" t="str">
        <f t="array" ref="D284">IF(F284="n/a","—",IF(_xlfn.XLOOKUP(TRIM(SUBSTITUTE(A284,_xlfn.UNICHAR(160)," ")),TRIM(SUBSTITUTE('worker file'!$A$2:$A$406,_xlfn.UNICHAR(160)," ")),'worker file'!$L$2:$L$406,"")="US Biweekly",$I$3,$I$2))</f>
        <v>—</v>
      </c>
      <c r="E284" s="5" t="s">
        <v>570</v>
      </c>
      <c r="F284" s="5" t="s">
        <v>550</v>
      </c>
    </row>
    <row r="285" spans="1:6" ht="16" x14ac:dyDescent="0.2">
      <c r="A285" s="5" t="s">
        <v>291</v>
      </c>
      <c r="B285" s="5" t="s">
        <v>566</v>
      </c>
      <c r="C285" s="24">
        <v>65.25</v>
      </c>
      <c r="D285" s="22">
        <f t="array" ref="D285">IF(F285="n/a","—",IF(_xlfn.XLOOKUP(TRIM(SUBSTITUTE(A285,_xlfn.UNICHAR(160)," ")),TRIM(SUBSTITUTE('worker file'!$A$2:$A$406,_xlfn.UNICHAR(160)," ")),'worker file'!$L$2:$L$406,"")="US Biweekly",$I$3,$I$2))</f>
        <v>46295</v>
      </c>
      <c r="E285" s="5" t="s">
        <v>571</v>
      </c>
      <c r="F285" s="5" t="s">
        <v>554</v>
      </c>
    </row>
    <row r="286" spans="1:6" ht="16" x14ac:dyDescent="0.2">
      <c r="A286" s="5" t="s">
        <v>292</v>
      </c>
      <c r="B286" s="5" t="s">
        <v>568</v>
      </c>
      <c r="C286" s="21" t="s">
        <v>569</v>
      </c>
      <c r="D286" s="22" t="str">
        <f t="array" ref="D286">IF(F286="n/a","—",IF(_xlfn.XLOOKUP(TRIM(SUBSTITUTE(A286,_xlfn.UNICHAR(160)," ")),TRIM(SUBSTITUTE('worker file'!$A$2:$A$406,_xlfn.UNICHAR(160)," ")),'worker file'!$L$2:$L$406,"")="US Biweekly",$I$3,$I$2))</f>
        <v>—</v>
      </c>
      <c r="E286" s="5" t="s">
        <v>570</v>
      </c>
      <c r="F286" s="5" t="s">
        <v>550</v>
      </c>
    </row>
    <row r="287" spans="1:6" ht="16" x14ac:dyDescent="0.2">
      <c r="A287" s="5" t="s">
        <v>293</v>
      </c>
      <c r="B287" s="5" t="s">
        <v>584</v>
      </c>
      <c r="C287" s="25">
        <v>0.5</v>
      </c>
      <c r="D287" s="22">
        <f t="array" ref="D287">IF(F287="n/a","—",IF(_xlfn.XLOOKUP(TRIM(SUBSTITUTE(A287,_xlfn.UNICHAR(160)," ")),TRIM(SUBSTITUTE('worker file'!$A$2:$A$406,_xlfn.UNICHAR(160)," ")),'worker file'!$L$2:$L$406,"")="US Biweekly",$I$3,$I$2))</f>
        <v>46295</v>
      </c>
      <c r="E287" s="5" t="s">
        <v>585</v>
      </c>
      <c r="F287" s="5" t="s">
        <v>559</v>
      </c>
    </row>
    <row r="288" spans="1:6" ht="16" x14ac:dyDescent="0.2">
      <c r="A288" s="5" t="s">
        <v>293</v>
      </c>
      <c r="B288" s="5" t="s">
        <v>586</v>
      </c>
      <c r="C288" s="25">
        <v>0</v>
      </c>
      <c r="D288" s="22">
        <f t="array" ref="D288">IF(F288="n/a","—",IF(_xlfn.XLOOKUP(TRIM(SUBSTITUTE(A288,_xlfn.UNICHAR(160)," ")),TRIM(SUBSTITUTE('worker file'!$A$2:$A$406,_xlfn.UNICHAR(160)," ")),'worker file'!$L$2:$L$406,"")="US Biweekly",$I$3,$I$2))</f>
        <v>46295</v>
      </c>
      <c r="E288" s="5" t="s">
        <v>587</v>
      </c>
      <c r="F288" s="5" t="s">
        <v>559</v>
      </c>
    </row>
    <row r="289" spans="1:6" ht="16" x14ac:dyDescent="0.2">
      <c r="A289" s="5" t="s">
        <v>294</v>
      </c>
      <c r="B289" s="5" t="s">
        <v>568</v>
      </c>
      <c r="C289" s="21" t="s">
        <v>569</v>
      </c>
      <c r="D289" s="22" t="str">
        <f t="array" ref="D289">IF(F289="n/a","—",IF(_xlfn.XLOOKUP(TRIM(SUBSTITUTE(A289,_xlfn.UNICHAR(160)," ")),TRIM(SUBSTITUTE('worker file'!$A$2:$A$406,_xlfn.UNICHAR(160)," ")),'worker file'!$L$2:$L$406,"")="US Biweekly",$I$3,$I$2))</f>
        <v>—</v>
      </c>
      <c r="E289" s="5" t="s">
        <v>570</v>
      </c>
      <c r="F289" s="5" t="s">
        <v>550</v>
      </c>
    </row>
    <row r="290" spans="1:6" ht="16" x14ac:dyDescent="0.2">
      <c r="A290" s="5" t="s">
        <v>294</v>
      </c>
      <c r="B290" s="5" t="s">
        <v>566</v>
      </c>
      <c r="C290" s="24">
        <v>69.75</v>
      </c>
      <c r="D290" s="22">
        <f t="array" ref="D290">IF(F290="n/a","—",IF(_xlfn.XLOOKUP(TRIM(SUBSTITUTE(A290,_xlfn.UNICHAR(160)," ")),TRIM(SUBSTITUTE('worker file'!$A$2:$A$406,_xlfn.UNICHAR(160)," ")),'worker file'!$L$2:$L$406,"")="US Biweekly",$I$3,$I$2))</f>
        <v>46295</v>
      </c>
      <c r="E290" s="5" t="s">
        <v>571</v>
      </c>
      <c r="F290" s="5" t="s">
        <v>554</v>
      </c>
    </row>
    <row r="291" spans="1:6" ht="16" x14ac:dyDescent="0.2">
      <c r="A291" s="5" t="s">
        <v>295</v>
      </c>
      <c r="B291" s="5" t="s">
        <v>568</v>
      </c>
      <c r="C291" s="21" t="s">
        <v>569</v>
      </c>
      <c r="D291" s="22" t="str">
        <f t="array" ref="D291">IF(F291="n/a","—",IF(_xlfn.XLOOKUP(TRIM(SUBSTITUTE(A291,_xlfn.UNICHAR(160)," ")),TRIM(SUBSTITUTE('worker file'!$A$2:$A$406,_xlfn.UNICHAR(160)," ")),'worker file'!$L$2:$L$406,"")="US Biweekly",$I$3,$I$2))</f>
        <v>—</v>
      </c>
      <c r="E291" s="5" t="s">
        <v>570</v>
      </c>
      <c r="F291" s="5" t="s">
        <v>550</v>
      </c>
    </row>
    <row r="292" spans="1:6" ht="16" x14ac:dyDescent="0.2">
      <c r="A292" s="5" t="s">
        <v>296</v>
      </c>
      <c r="B292" s="5" t="s">
        <v>568</v>
      </c>
      <c r="C292" s="21" t="s">
        <v>569</v>
      </c>
      <c r="D292" s="22" t="str">
        <f t="array" ref="D292">IF(F292="n/a","—",IF(_xlfn.XLOOKUP(TRIM(SUBSTITUTE(A292,_xlfn.UNICHAR(160)," ")),TRIM(SUBSTITUTE('worker file'!$A$2:$A$406,_xlfn.UNICHAR(160)," ")),'worker file'!$L$2:$L$406,"")="US Biweekly",$I$3,$I$2))</f>
        <v>—</v>
      </c>
      <c r="E292" s="5" t="s">
        <v>570</v>
      </c>
      <c r="F292" s="5" t="s">
        <v>550</v>
      </c>
    </row>
    <row r="293" spans="1:6" ht="16" x14ac:dyDescent="0.2">
      <c r="A293" s="5" t="s">
        <v>296</v>
      </c>
      <c r="B293" s="5" t="s">
        <v>566</v>
      </c>
      <c r="C293" s="24">
        <v>57</v>
      </c>
      <c r="D293" s="22">
        <f t="array" ref="D293">IF(F293="n/a","—",IF(_xlfn.XLOOKUP(TRIM(SUBSTITUTE(A293,_xlfn.UNICHAR(160)," ")),TRIM(SUBSTITUTE('worker file'!$A$2:$A$406,_xlfn.UNICHAR(160)," ")),'worker file'!$L$2:$L$406,"")="US Biweekly",$I$3,$I$2))</f>
        <v>46295</v>
      </c>
      <c r="E293" s="5" t="s">
        <v>571</v>
      </c>
      <c r="F293" s="5" t="s">
        <v>554</v>
      </c>
    </row>
    <row r="294" spans="1:6" ht="16" x14ac:dyDescent="0.2">
      <c r="A294" s="5" t="s">
        <v>297</v>
      </c>
      <c r="B294" s="5" t="s">
        <v>573</v>
      </c>
      <c r="C294" s="24">
        <v>74.25</v>
      </c>
      <c r="D294" s="22">
        <f t="array" ref="D294">IF(F294="n/a","—",IF(_xlfn.XLOOKUP(TRIM(SUBSTITUTE(A294,_xlfn.UNICHAR(160)," ")),TRIM(SUBSTITUTE('worker file'!$A$2:$A$406,_xlfn.UNICHAR(160)," ")),'worker file'!$L$2:$L$406,"")="US Biweekly",$I$3,$I$2))</f>
        <v>46298</v>
      </c>
      <c r="E294" s="5" t="s">
        <v>574</v>
      </c>
      <c r="F294" s="5" t="s">
        <v>554</v>
      </c>
    </row>
    <row r="295" spans="1:6" ht="16" x14ac:dyDescent="0.2">
      <c r="A295" s="5" t="s">
        <v>297</v>
      </c>
      <c r="B295" s="5" t="s">
        <v>566</v>
      </c>
      <c r="C295" s="24">
        <v>30.5</v>
      </c>
      <c r="D295" s="22">
        <f t="array" ref="D295">IF(F295="n/a","—",IF(_xlfn.XLOOKUP(TRIM(SUBSTITUTE(A295,_xlfn.UNICHAR(160)," ")),TRIM(SUBSTITUTE('worker file'!$A$2:$A$406,_xlfn.UNICHAR(160)," ")),'worker file'!$L$2:$L$406,"")="US Biweekly",$I$3,$I$2))</f>
        <v>46298</v>
      </c>
      <c r="E295" s="5" t="s">
        <v>571</v>
      </c>
      <c r="F295" s="5" t="s">
        <v>554</v>
      </c>
    </row>
    <row r="296" spans="1:6" ht="16" x14ac:dyDescent="0.2">
      <c r="A296" s="5" t="s">
        <v>298</v>
      </c>
      <c r="B296" s="5" t="s">
        <v>588</v>
      </c>
      <c r="C296" s="25">
        <v>3.5</v>
      </c>
      <c r="D296" s="22">
        <f t="array" ref="D296">IF(F296="n/a","—",IF(_xlfn.XLOOKUP(TRIM(SUBSTITUTE(A296,_xlfn.UNICHAR(160)," ")),TRIM(SUBSTITUTE('worker file'!$A$2:$A$406,_xlfn.UNICHAR(160)," ")),'worker file'!$L$2:$L$406,"")="US Biweekly",$I$3,$I$2))</f>
        <v>46295</v>
      </c>
      <c r="E296" s="5" t="s">
        <v>589</v>
      </c>
      <c r="F296" s="5" t="s">
        <v>559</v>
      </c>
    </row>
    <row r="297" spans="1:6" ht="16" x14ac:dyDescent="0.2">
      <c r="A297" s="5" t="s">
        <v>299</v>
      </c>
      <c r="B297" s="5" t="s">
        <v>584</v>
      </c>
      <c r="C297" s="25">
        <v>9.5</v>
      </c>
      <c r="D297" s="22">
        <f t="array" ref="D297">IF(F297="n/a","—",IF(_xlfn.XLOOKUP(TRIM(SUBSTITUTE(A297,_xlfn.UNICHAR(160)," ")),TRIM(SUBSTITUTE('worker file'!$A$2:$A$406,_xlfn.UNICHAR(160)," ")),'worker file'!$L$2:$L$406,"")="US Biweekly",$I$3,$I$2))</f>
        <v>46295</v>
      </c>
      <c r="E297" s="5" t="s">
        <v>585</v>
      </c>
      <c r="F297" s="5" t="s">
        <v>559</v>
      </c>
    </row>
    <row r="298" spans="1:6" ht="16" x14ac:dyDescent="0.2">
      <c r="A298" s="5" t="s">
        <v>299</v>
      </c>
      <c r="B298" s="5" t="s">
        <v>586</v>
      </c>
      <c r="C298" s="25">
        <v>3.5</v>
      </c>
      <c r="D298" s="22">
        <f t="array" ref="D298">IF(F298="n/a","—",IF(_xlfn.XLOOKUP(TRIM(SUBSTITUTE(A298,_xlfn.UNICHAR(160)," ")),TRIM(SUBSTITUTE('worker file'!$A$2:$A$406,_xlfn.UNICHAR(160)," ")),'worker file'!$L$2:$L$406,"")="US Biweekly",$I$3,$I$2))</f>
        <v>46295</v>
      </c>
      <c r="E298" s="5" t="s">
        <v>587</v>
      </c>
      <c r="F298" s="5" t="s">
        <v>559</v>
      </c>
    </row>
    <row r="299" spans="1:6" ht="16" x14ac:dyDescent="0.2">
      <c r="A299" s="5" t="s">
        <v>300</v>
      </c>
      <c r="B299" s="5" t="s">
        <v>584</v>
      </c>
      <c r="C299" s="25">
        <v>28.5</v>
      </c>
      <c r="D299" s="22">
        <f t="array" ref="D299">IF(F299="n/a","—",IF(_xlfn.XLOOKUP(TRIM(SUBSTITUTE(A299,_xlfn.UNICHAR(160)," ")),TRIM(SUBSTITUTE('worker file'!$A$2:$A$406,_xlfn.UNICHAR(160)," ")),'worker file'!$L$2:$L$406,"")="US Biweekly",$I$3,$I$2))</f>
        <v>46295</v>
      </c>
      <c r="E299" s="5" t="s">
        <v>585</v>
      </c>
      <c r="F299" s="5" t="s">
        <v>559</v>
      </c>
    </row>
    <row r="300" spans="1:6" ht="16" x14ac:dyDescent="0.2">
      <c r="A300" s="5" t="s">
        <v>300</v>
      </c>
      <c r="B300" s="5" t="s">
        <v>586</v>
      </c>
      <c r="C300" s="25">
        <v>7.5</v>
      </c>
      <c r="D300" s="22">
        <f t="array" ref="D300">IF(F300="n/a","—",IF(_xlfn.XLOOKUP(TRIM(SUBSTITUTE(A300,_xlfn.UNICHAR(160)," ")),TRIM(SUBSTITUTE('worker file'!$A$2:$A$406,_xlfn.UNICHAR(160)," ")),'worker file'!$L$2:$L$406,"")="US Biweekly",$I$3,$I$2))</f>
        <v>46295</v>
      </c>
      <c r="E300" s="5" t="s">
        <v>587</v>
      </c>
      <c r="F300" s="5" t="s">
        <v>559</v>
      </c>
    </row>
    <row r="301" spans="1:6" ht="16" x14ac:dyDescent="0.2">
      <c r="A301" s="5" t="s">
        <v>301</v>
      </c>
      <c r="B301" s="5" t="s">
        <v>568</v>
      </c>
      <c r="C301" s="21" t="s">
        <v>569</v>
      </c>
      <c r="D301" s="22" t="str">
        <f t="array" ref="D301">IF(F301="n/a","—",IF(_xlfn.XLOOKUP(TRIM(SUBSTITUTE(A301,_xlfn.UNICHAR(160)," ")),TRIM(SUBSTITUTE('worker file'!$A$2:$A$406,_xlfn.UNICHAR(160)," ")),'worker file'!$L$2:$L$406,"")="US Biweekly",$I$3,$I$2))</f>
        <v>—</v>
      </c>
      <c r="E301" s="5" t="s">
        <v>570</v>
      </c>
      <c r="F301" s="5" t="s">
        <v>550</v>
      </c>
    </row>
    <row r="302" spans="1:6" ht="16" x14ac:dyDescent="0.2">
      <c r="A302" s="5" t="s">
        <v>301</v>
      </c>
      <c r="B302" s="5" t="s">
        <v>582</v>
      </c>
      <c r="C302" s="24">
        <v>19.25</v>
      </c>
      <c r="D302" s="22">
        <f t="array" ref="D302">IF(F302="n/a","—",IF(_xlfn.XLOOKUP(TRIM(SUBSTITUTE(A302,_xlfn.UNICHAR(160)," ")),TRIM(SUBSTITUTE('worker file'!$A$2:$A$406,_xlfn.UNICHAR(160)," ")),'worker file'!$L$2:$L$406,"")="US Biweekly",$I$3,$I$2))</f>
        <v>46295</v>
      </c>
      <c r="E302" s="5" t="s">
        <v>583</v>
      </c>
      <c r="F302" s="5" t="s">
        <v>554</v>
      </c>
    </row>
    <row r="303" spans="1:6" ht="16" x14ac:dyDescent="0.2">
      <c r="A303" s="5" t="s">
        <v>302</v>
      </c>
      <c r="B303" s="5" t="s">
        <v>588</v>
      </c>
      <c r="C303" s="25">
        <v>3</v>
      </c>
      <c r="D303" s="22">
        <f t="array" ref="D303">IF(F303="n/a","—",IF(_xlfn.XLOOKUP(TRIM(SUBSTITUTE(A303,_xlfn.UNICHAR(160)," ")),TRIM(SUBSTITUTE('worker file'!$A$2:$A$406,_xlfn.UNICHAR(160)," ")),'worker file'!$L$2:$L$406,"")="US Biweekly",$I$3,$I$2))</f>
        <v>46295</v>
      </c>
      <c r="E303" s="5" t="s">
        <v>589</v>
      </c>
      <c r="F303" s="5" t="s">
        <v>559</v>
      </c>
    </row>
    <row r="304" spans="1:6" ht="16" x14ac:dyDescent="0.2">
      <c r="A304" s="5" t="s">
        <v>303</v>
      </c>
      <c r="B304" s="5" t="s">
        <v>568</v>
      </c>
      <c r="C304" s="21" t="s">
        <v>569</v>
      </c>
      <c r="D304" s="22" t="str">
        <f t="array" ref="D304">IF(F304="n/a","—",IF(_xlfn.XLOOKUP(TRIM(SUBSTITUTE(A304,_xlfn.UNICHAR(160)," ")),TRIM(SUBSTITUTE('worker file'!$A$2:$A$406,_xlfn.UNICHAR(160)," ")),'worker file'!$L$2:$L$406,"")="US Biweekly",$I$3,$I$2))</f>
        <v>—</v>
      </c>
      <c r="E304" s="5" t="s">
        <v>570</v>
      </c>
      <c r="F304" s="5" t="s">
        <v>550</v>
      </c>
    </row>
    <row r="305" spans="1:6" ht="16" x14ac:dyDescent="0.2">
      <c r="A305" s="5" t="s">
        <v>303</v>
      </c>
      <c r="B305" s="5" t="s">
        <v>566</v>
      </c>
      <c r="C305" s="24">
        <v>34.5</v>
      </c>
      <c r="D305" s="22">
        <f t="array" ref="D305">IF(F305="n/a","—",IF(_xlfn.XLOOKUP(TRIM(SUBSTITUTE(A305,_xlfn.UNICHAR(160)," ")),TRIM(SUBSTITUTE('worker file'!$A$2:$A$406,_xlfn.UNICHAR(160)," ")),'worker file'!$L$2:$L$406,"")="US Biweekly",$I$3,$I$2))</f>
        <v>46295</v>
      </c>
      <c r="E305" s="5" t="s">
        <v>571</v>
      </c>
      <c r="F305" s="5" t="s">
        <v>554</v>
      </c>
    </row>
    <row r="306" spans="1:6" ht="16" x14ac:dyDescent="0.2">
      <c r="A306" s="5" t="s">
        <v>304</v>
      </c>
      <c r="B306" s="5" t="s">
        <v>568</v>
      </c>
      <c r="C306" s="21" t="s">
        <v>569</v>
      </c>
      <c r="D306" s="22" t="str">
        <f t="array" ref="D306">IF(F306="n/a","—",IF(_xlfn.XLOOKUP(TRIM(SUBSTITUTE(A306,_xlfn.UNICHAR(160)," ")),TRIM(SUBSTITUTE('worker file'!$A$2:$A$406,_xlfn.UNICHAR(160)," ")),'worker file'!$L$2:$L$406,"")="US Biweekly",$I$3,$I$2))</f>
        <v>—</v>
      </c>
      <c r="E306" s="5" t="s">
        <v>570</v>
      </c>
      <c r="F306" s="5" t="s">
        <v>550</v>
      </c>
    </row>
    <row r="307" spans="1:6" ht="16" x14ac:dyDescent="0.2">
      <c r="A307" s="5" t="s">
        <v>304</v>
      </c>
      <c r="B307" s="5" t="s">
        <v>566</v>
      </c>
      <c r="C307" s="24">
        <v>34</v>
      </c>
      <c r="D307" s="22">
        <f t="array" ref="D307">IF(F307="n/a","—",IF(_xlfn.XLOOKUP(TRIM(SUBSTITUTE(A307,_xlfn.UNICHAR(160)," ")),TRIM(SUBSTITUTE('worker file'!$A$2:$A$406,_xlfn.UNICHAR(160)," ")),'worker file'!$L$2:$L$406,"")="US Biweekly",$I$3,$I$2))</f>
        <v>46295</v>
      </c>
      <c r="E307" s="5" t="s">
        <v>571</v>
      </c>
      <c r="F307" s="5" t="s">
        <v>554</v>
      </c>
    </row>
    <row r="308" spans="1:6" ht="16" x14ac:dyDescent="0.2">
      <c r="A308" s="5" t="s">
        <v>305</v>
      </c>
      <c r="B308" s="5" t="s">
        <v>568</v>
      </c>
      <c r="C308" s="21" t="s">
        <v>569</v>
      </c>
      <c r="D308" s="22" t="str">
        <f t="array" ref="D308">IF(F308="n/a","—",IF(_xlfn.XLOOKUP(TRIM(SUBSTITUTE(A308,_xlfn.UNICHAR(160)," ")),TRIM(SUBSTITUTE('worker file'!$A$2:$A$406,_xlfn.UNICHAR(160)," ")),'worker file'!$L$2:$L$406,"")="US Biweekly",$I$3,$I$2))</f>
        <v>—</v>
      </c>
      <c r="E308" s="5" t="s">
        <v>570</v>
      </c>
      <c r="F308" s="5" t="s">
        <v>550</v>
      </c>
    </row>
    <row r="309" spans="1:6" ht="16" x14ac:dyDescent="0.2">
      <c r="A309" s="5" t="s">
        <v>305</v>
      </c>
      <c r="B309" s="5" t="s">
        <v>577</v>
      </c>
      <c r="C309" s="24">
        <v>19.5</v>
      </c>
      <c r="D309" s="22">
        <f t="array" ref="D309">IF(F309="n/a","—",IF(_xlfn.XLOOKUP(TRIM(SUBSTITUTE(A309,_xlfn.UNICHAR(160)," ")),TRIM(SUBSTITUTE('worker file'!$A$2:$A$406,_xlfn.UNICHAR(160)," ")),'worker file'!$L$2:$L$406,"")="US Biweekly",$I$3,$I$2))</f>
        <v>46295</v>
      </c>
      <c r="E309" s="5" t="s">
        <v>578</v>
      </c>
      <c r="F309" s="5" t="s">
        <v>554</v>
      </c>
    </row>
    <row r="310" spans="1:6" ht="16" x14ac:dyDescent="0.2">
      <c r="A310" s="5" t="s">
        <v>306</v>
      </c>
      <c r="B310" s="5" t="s">
        <v>568</v>
      </c>
      <c r="C310" s="21" t="s">
        <v>569</v>
      </c>
      <c r="D310" s="22" t="str">
        <f t="array" ref="D310">IF(F310="n/a","—",IF(_xlfn.XLOOKUP(TRIM(SUBSTITUTE(A310,_xlfn.UNICHAR(160)," ")),TRIM(SUBSTITUTE('worker file'!$A$2:$A$406,_xlfn.UNICHAR(160)," ")),'worker file'!$L$2:$L$406,"")="US Biweekly",$I$3,$I$2))</f>
        <v>—</v>
      </c>
      <c r="E310" s="5" t="s">
        <v>570</v>
      </c>
      <c r="F310" s="5" t="s">
        <v>550</v>
      </c>
    </row>
    <row r="311" spans="1:6" ht="16" x14ac:dyDescent="0.2">
      <c r="A311" s="5" t="s">
        <v>306</v>
      </c>
      <c r="B311" s="5" t="s">
        <v>566</v>
      </c>
      <c r="C311" s="24">
        <v>59.25</v>
      </c>
      <c r="D311" s="22">
        <f t="array" ref="D311">IF(F311="n/a","—",IF(_xlfn.XLOOKUP(TRIM(SUBSTITUTE(A311,_xlfn.UNICHAR(160)," ")),TRIM(SUBSTITUTE('worker file'!$A$2:$A$406,_xlfn.UNICHAR(160)," ")),'worker file'!$L$2:$L$406,"")="US Biweekly",$I$3,$I$2))</f>
        <v>46295</v>
      </c>
      <c r="E311" s="5" t="s">
        <v>571</v>
      </c>
      <c r="F311" s="5" t="s">
        <v>554</v>
      </c>
    </row>
    <row r="312" spans="1:6" ht="16" x14ac:dyDescent="0.2">
      <c r="A312" s="5" t="s">
        <v>307</v>
      </c>
      <c r="B312" s="5" t="s">
        <v>573</v>
      </c>
      <c r="C312" s="24">
        <v>19</v>
      </c>
      <c r="D312" s="22">
        <f t="array" ref="D312">IF(F312="n/a","—",IF(_xlfn.XLOOKUP(TRIM(SUBSTITUTE(A312,_xlfn.UNICHAR(160)," ")),TRIM(SUBSTITUTE('worker file'!$A$2:$A$406,_xlfn.UNICHAR(160)," ")),'worker file'!$L$2:$L$406,"")="US Biweekly",$I$3,$I$2))</f>
        <v>46298</v>
      </c>
      <c r="E312" s="5" t="s">
        <v>574</v>
      </c>
      <c r="F312" s="5" t="s">
        <v>554</v>
      </c>
    </row>
    <row r="313" spans="1:6" ht="16" x14ac:dyDescent="0.2">
      <c r="A313" s="5" t="s">
        <v>307</v>
      </c>
      <c r="B313" s="5" t="s">
        <v>575</v>
      </c>
      <c r="C313" s="24">
        <v>31</v>
      </c>
      <c r="D313" s="22">
        <f t="array" ref="D313">IF(F313="n/a","—",IF(_xlfn.XLOOKUP(TRIM(SUBSTITUTE(A313,_xlfn.UNICHAR(160)," ")),TRIM(SUBSTITUTE('worker file'!$A$2:$A$406,_xlfn.UNICHAR(160)," ")),'worker file'!$L$2:$L$406,"")="US Biweekly",$I$3,$I$2))</f>
        <v>46298</v>
      </c>
      <c r="E313" s="5" t="s">
        <v>576</v>
      </c>
      <c r="F313" s="5" t="s">
        <v>554</v>
      </c>
    </row>
    <row r="314" spans="1:6" ht="16" x14ac:dyDescent="0.2">
      <c r="A314" s="5" t="s">
        <v>308</v>
      </c>
      <c r="B314" s="5" t="s">
        <v>568</v>
      </c>
      <c r="C314" s="21" t="s">
        <v>569</v>
      </c>
      <c r="D314" s="22" t="str">
        <f t="array" ref="D314">IF(F314="n/a","—",IF(_xlfn.XLOOKUP(TRIM(SUBSTITUTE(A314,_xlfn.UNICHAR(160)," ")),TRIM(SUBSTITUTE('worker file'!$A$2:$A$406,_xlfn.UNICHAR(160)," ")),'worker file'!$L$2:$L$406,"")="US Biweekly",$I$3,$I$2))</f>
        <v>—</v>
      </c>
      <c r="E314" s="5" t="s">
        <v>570</v>
      </c>
      <c r="F314" s="5" t="s">
        <v>550</v>
      </c>
    </row>
    <row r="315" spans="1:6" ht="16" x14ac:dyDescent="0.2">
      <c r="A315" s="5" t="s">
        <v>308</v>
      </c>
      <c r="B315" s="5" t="s">
        <v>566</v>
      </c>
      <c r="C315" s="24">
        <v>34.75</v>
      </c>
      <c r="D315" s="22">
        <f t="array" ref="D315">IF(F315="n/a","—",IF(_xlfn.XLOOKUP(TRIM(SUBSTITUTE(A315,_xlfn.UNICHAR(160)," ")),TRIM(SUBSTITUTE('worker file'!$A$2:$A$406,_xlfn.UNICHAR(160)," ")),'worker file'!$L$2:$L$406,"")="US Biweekly",$I$3,$I$2))</f>
        <v>46295</v>
      </c>
      <c r="E315" s="5" t="s">
        <v>571</v>
      </c>
      <c r="F315" s="5" t="s">
        <v>554</v>
      </c>
    </row>
    <row r="316" spans="1:6" ht="16" x14ac:dyDescent="0.2">
      <c r="A316" s="5" t="s">
        <v>309</v>
      </c>
      <c r="B316" s="5" t="s">
        <v>568</v>
      </c>
      <c r="C316" s="21" t="s">
        <v>569</v>
      </c>
      <c r="D316" s="22" t="str">
        <f t="array" ref="D316">IF(F316="n/a","—",IF(_xlfn.XLOOKUP(TRIM(SUBSTITUTE(A316,_xlfn.UNICHAR(160)," ")),TRIM(SUBSTITUTE('worker file'!$A$2:$A$406,_xlfn.UNICHAR(160)," ")),'worker file'!$L$2:$L$406,"")="US Biweekly",$I$3,$I$2))</f>
        <v>—</v>
      </c>
      <c r="E316" s="5" t="s">
        <v>570</v>
      </c>
      <c r="F316" s="5" t="s">
        <v>550</v>
      </c>
    </row>
    <row r="317" spans="1:6" ht="16" x14ac:dyDescent="0.2">
      <c r="A317" s="5" t="s">
        <v>309</v>
      </c>
      <c r="B317" s="5" t="s">
        <v>566</v>
      </c>
      <c r="C317" s="24">
        <v>37</v>
      </c>
      <c r="D317" s="22">
        <f t="array" ref="D317">IF(F317="n/a","—",IF(_xlfn.XLOOKUP(TRIM(SUBSTITUTE(A317,_xlfn.UNICHAR(160)," ")),TRIM(SUBSTITUTE('worker file'!$A$2:$A$406,_xlfn.UNICHAR(160)," ")),'worker file'!$L$2:$L$406,"")="US Biweekly",$I$3,$I$2))</f>
        <v>46295</v>
      </c>
      <c r="E317" s="5" t="s">
        <v>571</v>
      </c>
      <c r="F317" s="5" t="s">
        <v>554</v>
      </c>
    </row>
    <row r="318" spans="1:6" ht="16" x14ac:dyDescent="0.2">
      <c r="A318" s="5" t="s">
        <v>310</v>
      </c>
      <c r="B318" s="5" t="s">
        <v>568</v>
      </c>
      <c r="C318" s="21" t="s">
        <v>569</v>
      </c>
      <c r="D318" s="22" t="str">
        <f t="array" ref="D318">IF(F318="n/a","—",IF(_xlfn.XLOOKUP(TRIM(SUBSTITUTE(A318,_xlfn.UNICHAR(160)," ")),TRIM(SUBSTITUTE('worker file'!$A$2:$A$406,_xlfn.UNICHAR(160)," ")),'worker file'!$L$2:$L$406,"")="US Biweekly",$I$3,$I$2))</f>
        <v>—</v>
      </c>
      <c r="E318" s="5" t="s">
        <v>570</v>
      </c>
      <c r="F318" s="5" t="s">
        <v>550</v>
      </c>
    </row>
    <row r="319" spans="1:6" ht="16" x14ac:dyDescent="0.2">
      <c r="A319" s="5" t="s">
        <v>311</v>
      </c>
      <c r="B319" s="5" t="s">
        <v>568</v>
      </c>
      <c r="C319" s="21" t="s">
        <v>569</v>
      </c>
      <c r="D319" s="22" t="str">
        <f t="array" ref="D319">IF(F319="n/a","—",IF(_xlfn.XLOOKUP(TRIM(SUBSTITUTE(A319,_xlfn.UNICHAR(160)," ")),TRIM(SUBSTITUTE('worker file'!$A$2:$A$406,_xlfn.UNICHAR(160)," ")),'worker file'!$L$2:$L$406,"")="US Biweekly",$I$3,$I$2))</f>
        <v>—</v>
      </c>
      <c r="E319" s="5" t="s">
        <v>570</v>
      </c>
      <c r="F319" s="5" t="s">
        <v>550</v>
      </c>
    </row>
    <row r="320" spans="1:6" ht="16" x14ac:dyDescent="0.2">
      <c r="A320" s="5" t="s">
        <v>311</v>
      </c>
      <c r="B320" s="5" t="s">
        <v>566</v>
      </c>
      <c r="C320" s="24">
        <v>79.5</v>
      </c>
      <c r="D320" s="22">
        <f t="array" ref="D320">IF(F320="n/a","—",IF(_xlfn.XLOOKUP(TRIM(SUBSTITUTE(A320,_xlfn.UNICHAR(160)," ")),TRIM(SUBSTITUTE('worker file'!$A$2:$A$406,_xlfn.UNICHAR(160)," ")),'worker file'!$L$2:$L$406,"")="US Biweekly",$I$3,$I$2))</f>
        <v>46295</v>
      </c>
      <c r="E320" s="5" t="s">
        <v>571</v>
      </c>
      <c r="F320" s="5" t="s">
        <v>554</v>
      </c>
    </row>
    <row r="321" spans="1:6" ht="16" x14ac:dyDescent="0.2">
      <c r="A321" s="5" t="s">
        <v>312</v>
      </c>
      <c r="B321" s="5" t="s">
        <v>568</v>
      </c>
      <c r="C321" s="21" t="s">
        <v>569</v>
      </c>
      <c r="D321" s="22" t="str">
        <f t="array" ref="D321">IF(F321="n/a","—",IF(_xlfn.XLOOKUP(TRIM(SUBSTITUTE(A321,_xlfn.UNICHAR(160)," ")),TRIM(SUBSTITUTE('worker file'!$A$2:$A$406,_xlfn.UNICHAR(160)," ")),'worker file'!$L$2:$L$406,"")="US Biweekly",$I$3,$I$2))</f>
        <v>—</v>
      </c>
      <c r="E321" s="5" t="s">
        <v>570</v>
      </c>
      <c r="F321" s="5" t="s">
        <v>550</v>
      </c>
    </row>
    <row r="322" spans="1:6" ht="16" x14ac:dyDescent="0.2">
      <c r="A322" s="5" t="s">
        <v>312</v>
      </c>
      <c r="B322" s="5" t="s">
        <v>566</v>
      </c>
      <c r="C322" s="24">
        <v>75.5</v>
      </c>
      <c r="D322" s="22">
        <f t="array" ref="D322">IF(F322="n/a","—",IF(_xlfn.XLOOKUP(TRIM(SUBSTITUTE(A322,_xlfn.UNICHAR(160)," ")),TRIM(SUBSTITUTE('worker file'!$A$2:$A$406,_xlfn.UNICHAR(160)," ")),'worker file'!$L$2:$L$406,"")="US Biweekly",$I$3,$I$2))</f>
        <v>46295</v>
      </c>
      <c r="E322" s="5" t="s">
        <v>571</v>
      </c>
      <c r="F322" s="5" t="s">
        <v>554</v>
      </c>
    </row>
    <row r="323" spans="1:6" ht="16" x14ac:dyDescent="0.2">
      <c r="A323" s="5" t="s">
        <v>313</v>
      </c>
      <c r="B323" s="5" t="s">
        <v>568</v>
      </c>
      <c r="C323" s="21" t="s">
        <v>569</v>
      </c>
      <c r="D323" s="22" t="str">
        <f t="array" ref="D323">IF(F323="n/a","—",IF(_xlfn.XLOOKUP(TRIM(SUBSTITUTE(A323,_xlfn.UNICHAR(160)," ")),TRIM(SUBSTITUTE('worker file'!$A$2:$A$406,_xlfn.UNICHAR(160)," ")),'worker file'!$L$2:$L$406,"")="US Biweekly",$I$3,$I$2))</f>
        <v>—</v>
      </c>
      <c r="E323" s="5" t="s">
        <v>570</v>
      </c>
      <c r="F323" s="5" t="s">
        <v>550</v>
      </c>
    </row>
    <row r="324" spans="1:6" ht="16" x14ac:dyDescent="0.2">
      <c r="A324" s="5" t="s">
        <v>313</v>
      </c>
      <c r="B324" s="5" t="s">
        <v>566</v>
      </c>
      <c r="C324" s="24">
        <v>25.75</v>
      </c>
      <c r="D324" s="22">
        <f t="array" ref="D324">IF(F324="n/a","—",IF(_xlfn.XLOOKUP(TRIM(SUBSTITUTE(A324,_xlfn.UNICHAR(160)," ")),TRIM(SUBSTITUTE('worker file'!$A$2:$A$406,_xlfn.UNICHAR(160)," ")),'worker file'!$L$2:$L$406,"")="US Biweekly",$I$3,$I$2))</f>
        <v>46295</v>
      </c>
      <c r="E324" s="5" t="s">
        <v>571</v>
      </c>
      <c r="F324" s="5" t="s">
        <v>554</v>
      </c>
    </row>
    <row r="325" spans="1:6" ht="16" x14ac:dyDescent="0.2">
      <c r="A325" s="5" t="s">
        <v>314</v>
      </c>
      <c r="B325" s="5" t="s">
        <v>568</v>
      </c>
      <c r="C325" s="21" t="s">
        <v>569</v>
      </c>
      <c r="D325" s="22" t="str">
        <f t="array" ref="D325">IF(F325="n/a","—",IF(_xlfn.XLOOKUP(TRIM(SUBSTITUTE(A325,_xlfn.UNICHAR(160)," ")),TRIM(SUBSTITUTE('worker file'!$A$2:$A$406,_xlfn.UNICHAR(160)," ")),'worker file'!$L$2:$L$406,"")="US Biweekly",$I$3,$I$2))</f>
        <v>—</v>
      </c>
      <c r="E325" s="5" t="s">
        <v>570</v>
      </c>
      <c r="F325" s="5" t="s">
        <v>550</v>
      </c>
    </row>
    <row r="326" spans="1:6" ht="16" x14ac:dyDescent="0.2">
      <c r="A326" s="5" t="s">
        <v>314</v>
      </c>
      <c r="B326" s="5" t="s">
        <v>592</v>
      </c>
      <c r="C326" s="24">
        <v>31.75</v>
      </c>
      <c r="D326" s="22">
        <f t="array" ref="D326">IF(F326="n/a","—",IF(_xlfn.XLOOKUP(TRIM(SUBSTITUTE(A326,_xlfn.UNICHAR(160)," ")),TRIM(SUBSTITUTE('worker file'!$A$2:$A$406,_xlfn.UNICHAR(160)," ")),'worker file'!$L$2:$L$406,"")="US Biweekly",$I$3,$I$2))</f>
        <v>46295</v>
      </c>
      <c r="E326" s="5" t="s">
        <v>593</v>
      </c>
      <c r="F326" s="5" t="s">
        <v>554</v>
      </c>
    </row>
    <row r="327" spans="1:6" ht="16" x14ac:dyDescent="0.2">
      <c r="A327" s="5" t="s">
        <v>315</v>
      </c>
      <c r="B327" s="5" t="s">
        <v>568</v>
      </c>
      <c r="C327" s="21" t="s">
        <v>569</v>
      </c>
      <c r="D327" s="22" t="str">
        <f t="array" ref="D327">IF(F327="n/a","—",IF(_xlfn.XLOOKUP(TRIM(SUBSTITUTE(A327,_xlfn.UNICHAR(160)," ")),TRIM(SUBSTITUTE('worker file'!$A$2:$A$406,_xlfn.UNICHAR(160)," ")),'worker file'!$L$2:$L$406,"")="US Biweekly",$I$3,$I$2))</f>
        <v>—</v>
      </c>
      <c r="E327" s="5" t="s">
        <v>570</v>
      </c>
      <c r="F327" s="5" t="s">
        <v>550</v>
      </c>
    </row>
    <row r="328" spans="1:6" ht="16" x14ac:dyDescent="0.2">
      <c r="A328" s="5" t="s">
        <v>315</v>
      </c>
      <c r="B328" s="5" t="s">
        <v>590</v>
      </c>
      <c r="C328" s="24">
        <v>28.25</v>
      </c>
      <c r="D328" s="22">
        <f t="array" ref="D328">IF(F328="n/a","—",IF(_xlfn.XLOOKUP(TRIM(SUBSTITUTE(A328,_xlfn.UNICHAR(160)," ")),TRIM(SUBSTITUTE('worker file'!$A$2:$A$406,_xlfn.UNICHAR(160)," ")),'worker file'!$L$2:$L$406,"")="US Biweekly",$I$3,$I$2))</f>
        <v>46295</v>
      </c>
      <c r="E328" s="5" t="s">
        <v>591</v>
      </c>
      <c r="F328" s="5" t="s">
        <v>554</v>
      </c>
    </row>
    <row r="329" spans="1:6" ht="16" x14ac:dyDescent="0.2">
      <c r="A329" s="5" t="s">
        <v>316</v>
      </c>
      <c r="B329" s="5" t="s">
        <v>568</v>
      </c>
      <c r="C329" s="21" t="s">
        <v>569</v>
      </c>
      <c r="D329" s="22" t="str">
        <f t="array" ref="D329">IF(F329="n/a","—",IF(_xlfn.XLOOKUP(TRIM(SUBSTITUTE(A329,_xlfn.UNICHAR(160)," ")),TRIM(SUBSTITUTE('worker file'!$A$2:$A$406,_xlfn.UNICHAR(160)," ")),'worker file'!$L$2:$L$406,"")="US Biweekly",$I$3,$I$2))</f>
        <v>—</v>
      </c>
      <c r="E329" s="5" t="s">
        <v>570</v>
      </c>
      <c r="F329" s="5" t="s">
        <v>550</v>
      </c>
    </row>
    <row r="330" spans="1:6" ht="16" x14ac:dyDescent="0.2">
      <c r="A330" s="5" t="s">
        <v>317</v>
      </c>
      <c r="B330" s="5" t="s">
        <v>568</v>
      </c>
      <c r="C330" s="21" t="s">
        <v>569</v>
      </c>
      <c r="D330" s="22" t="str">
        <f t="array" ref="D330">IF(F330="n/a","—",IF(_xlfn.XLOOKUP(TRIM(SUBSTITUTE(A330,_xlfn.UNICHAR(160)," ")),TRIM(SUBSTITUTE('worker file'!$A$2:$A$406,_xlfn.UNICHAR(160)," ")),'worker file'!$L$2:$L$406,"")="US Biweekly",$I$3,$I$2))</f>
        <v>—</v>
      </c>
      <c r="E330" s="5" t="s">
        <v>570</v>
      </c>
      <c r="F330" s="5" t="s">
        <v>550</v>
      </c>
    </row>
    <row r="331" spans="1:6" ht="16" x14ac:dyDescent="0.2">
      <c r="A331" s="5" t="s">
        <v>317</v>
      </c>
      <c r="B331" s="5" t="s">
        <v>566</v>
      </c>
      <c r="C331" s="24">
        <v>64</v>
      </c>
      <c r="D331" s="22">
        <f t="array" ref="D331">IF(F331="n/a","—",IF(_xlfn.XLOOKUP(TRIM(SUBSTITUTE(A331,_xlfn.UNICHAR(160)," ")),TRIM(SUBSTITUTE('worker file'!$A$2:$A$406,_xlfn.UNICHAR(160)," ")),'worker file'!$L$2:$L$406,"")="US Biweekly",$I$3,$I$2))</f>
        <v>46295</v>
      </c>
      <c r="E331" s="5" t="s">
        <v>571</v>
      </c>
      <c r="F331" s="5" t="s">
        <v>554</v>
      </c>
    </row>
    <row r="332" spans="1:6" ht="16" x14ac:dyDescent="0.2">
      <c r="A332" s="5" t="s">
        <v>318</v>
      </c>
      <c r="B332" s="5" t="s">
        <v>573</v>
      </c>
      <c r="C332" s="24">
        <v>48</v>
      </c>
      <c r="D332" s="22">
        <f t="array" ref="D332">IF(F332="n/a","—",IF(_xlfn.XLOOKUP(TRIM(SUBSTITUTE(A332,_xlfn.UNICHAR(160)," ")),TRIM(SUBSTITUTE('worker file'!$A$2:$A$406,_xlfn.UNICHAR(160)," ")),'worker file'!$L$2:$L$406,"")="US Biweekly",$I$3,$I$2))</f>
        <v>46298</v>
      </c>
      <c r="E332" s="5" t="s">
        <v>574</v>
      </c>
      <c r="F332" s="5" t="s">
        <v>554</v>
      </c>
    </row>
    <row r="333" spans="1:6" ht="16" x14ac:dyDescent="0.2">
      <c r="A333" s="5" t="s">
        <v>318</v>
      </c>
      <c r="B333" s="5" t="s">
        <v>566</v>
      </c>
      <c r="C333" s="24">
        <v>70.5</v>
      </c>
      <c r="D333" s="22">
        <f t="array" ref="D333">IF(F333="n/a","—",IF(_xlfn.XLOOKUP(TRIM(SUBSTITUTE(A333,_xlfn.UNICHAR(160)," ")),TRIM(SUBSTITUTE('worker file'!$A$2:$A$406,_xlfn.UNICHAR(160)," ")),'worker file'!$L$2:$L$406,"")="US Biweekly",$I$3,$I$2))</f>
        <v>46298</v>
      </c>
      <c r="E333" s="5" t="s">
        <v>571</v>
      </c>
      <c r="F333" s="5" t="s">
        <v>554</v>
      </c>
    </row>
    <row r="334" spans="1:6" ht="16" x14ac:dyDescent="0.2">
      <c r="A334" s="5" t="s">
        <v>319</v>
      </c>
      <c r="B334" s="5" t="s">
        <v>588</v>
      </c>
      <c r="C334" s="25">
        <v>12.5</v>
      </c>
      <c r="D334" s="22">
        <f t="array" ref="D334">IF(F334="n/a","—",IF(_xlfn.XLOOKUP(TRIM(SUBSTITUTE(A334,_xlfn.UNICHAR(160)," ")),TRIM(SUBSTITUTE('worker file'!$A$2:$A$406,_xlfn.UNICHAR(160)," ")),'worker file'!$L$2:$L$406,"")="US Biweekly",$I$3,$I$2))</f>
        <v>46295</v>
      </c>
      <c r="E334" s="5" t="s">
        <v>589</v>
      </c>
      <c r="F334" s="5" t="s">
        <v>559</v>
      </c>
    </row>
    <row r="335" spans="1:6" ht="16" x14ac:dyDescent="0.2">
      <c r="A335" s="5" t="s">
        <v>320</v>
      </c>
      <c r="B335" s="5" t="s">
        <v>568</v>
      </c>
      <c r="C335" s="21" t="s">
        <v>569</v>
      </c>
      <c r="D335" s="22" t="str">
        <f t="array" ref="D335">IF(F335="n/a","—",IF(_xlfn.XLOOKUP(TRIM(SUBSTITUTE(A335,_xlfn.UNICHAR(160)," ")),TRIM(SUBSTITUTE('worker file'!$A$2:$A$406,_xlfn.UNICHAR(160)," ")),'worker file'!$L$2:$L$406,"")="US Biweekly",$I$3,$I$2))</f>
        <v>—</v>
      </c>
      <c r="E335" s="5" t="s">
        <v>570</v>
      </c>
      <c r="F335" s="5" t="s">
        <v>550</v>
      </c>
    </row>
    <row r="336" spans="1:6" ht="16" x14ac:dyDescent="0.2">
      <c r="A336" s="5" t="s">
        <v>321</v>
      </c>
      <c r="B336" s="5" t="s">
        <v>568</v>
      </c>
      <c r="C336" s="21" t="s">
        <v>569</v>
      </c>
      <c r="D336" s="22" t="str">
        <f t="array" ref="D336">IF(F336="n/a","—",IF(_xlfn.XLOOKUP(TRIM(SUBSTITUTE(A336,_xlfn.UNICHAR(160)," ")),TRIM(SUBSTITUTE('worker file'!$A$2:$A$406,_xlfn.UNICHAR(160)," ")),'worker file'!$L$2:$L$406,"")="US Biweekly",$I$3,$I$2))</f>
        <v>—</v>
      </c>
      <c r="E336" s="5" t="s">
        <v>570</v>
      </c>
      <c r="F336" s="5" t="s">
        <v>550</v>
      </c>
    </row>
    <row r="337" spans="1:6" ht="16" x14ac:dyDescent="0.2">
      <c r="A337" s="5" t="s">
        <v>321</v>
      </c>
      <c r="B337" s="5" t="s">
        <v>566</v>
      </c>
      <c r="C337" s="24">
        <v>31</v>
      </c>
      <c r="D337" s="22">
        <f t="array" ref="D337">IF(F337="n/a","—",IF(_xlfn.XLOOKUP(TRIM(SUBSTITUTE(A337,_xlfn.UNICHAR(160)," ")),TRIM(SUBSTITUTE('worker file'!$A$2:$A$406,_xlfn.UNICHAR(160)," ")),'worker file'!$L$2:$L$406,"")="US Biweekly",$I$3,$I$2))</f>
        <v>46295</v>
      </c>
      <c r="E337" s="5" t="s">
        <v>571</v>
      </c>
      <c r="F337" s="5" t="s">
        <v>554</v>
      </c>
    </row>
    <row r="338" spans="1:6" ht="16" x14ac:dyDescent="0.2">
      <c r="A338" s="5" t="s">
        <v>322</v>
      </c>
      <c r="B338" s="5" t="s">
        <v>568</v>
      </c>
      <c r="C338" s="21" t="s">
        <v>569</v>
      </c>
      <c r="D338" s="22" t="str">
        <f t="array" ref="D338">IF(F338="n/a","—",IF(_xlfn.XLOOKUP(TRIM(SUBSTITUTE(A338,_xlfn.UNICHAR(160)," ")),TRIM(SUBSTITUTE('worker file'!$A$2:$A$406,_xlfn.UNICHAR(160)," ")),'worker file'!$L$2:$L$406,"")="US Biweekly",$I$3,$I$2))</f>
        <v>—</v>
      </c>
      <c r="E338" s="5" t="s">
        <v>570</v>
      </c>
      <c r="F338" s="5" t="s">
        <v>550</v>
      </c>
    </row>
    <row r="339" spans="1:6" ht="16" x14ac:dyDescent="0.2">
      <c r="A339" s="5" t="s">
        <v>322</v>
      </c>
      <c r="B339" s="5" t="s">
        <v>566</v>
      </c>
      <c r="C339" s="24">
        <v>69.5</v>
      </c>
      <c r="D339" s="22">
        <f t="array" ref="D339">IF(F339="n/a","—",IF(_xlfn.XLOOKUP(TRIM(SUBSTITUTE(A339,_xlfn.UNICHAR(160)," ")),TRIM(SUBSTITUTE('worker file'!$A$2:$A$406,_xlfn.UNICHAR(160)," ")),'worker file'!$L$2:$L$406,"")="US Biweekly",$I$3,$I$2))</f>
        <v>46295</v>
      </c>
      <c r="E339" s="5" t="s">
        <v>571</v>
      </c>
      <c r="F339" s="5" t="s">
        <v>554</v>
      </c>
    </row>
    <row r="340" spans="1:6" ht="16" x14ac:dyDescent="0.2">
      <c r="A340" s="5" t="s">
        <v>323</v>
      </c>
      <c r="B340" s="5" t="s">
        <v>568</v>
      </c>
      <c r="C340" s="21" t="s">
        <v>569</v>
      </c>
      <c r="D340" s="22" t="str">
        <f t="array" ref="D340">IF(F340="n/a","—",IF(_xlfn.XLOOKUP(TRIM(SUBSTITUTE(A340,_xlfn.UNICHAR(160)," ")),TRIM(SUBSTITUTE('worker file'!$A$2:$A$406,_xlfn.UNICHAR(160)," ")),'worker file'!$L$2:$L$406,"")="US Biweekly",$I$3,$I$2))</f>
        <v>—</v>
      </c>
      <c r="E340" s="5" t="s">
        <v>570</v>
      </c>
      <c r="F340" s="5" t="s">
        <v>550</v>
      </c>
    </row>
    <row r="341" spans="1:6" ht="16" x14ac:dyDescent="0.2">
      <c r="A341" s="5" t="s">
        <v>323</v>
      </c>
      <c r="B341" s="5" t="s">
        <v>566</v>
      </c>
      <c r="C341" s="24">
        <v>25.5</v>
      </c>
      <c r="D341" s="22">
        <f t="array" ref="D341">IF(F341="n/a","—",IF(_xlfn.XLOOKUP(TRIM(SUBSTITUTE(A341,_xlfn.UNICHAR(160)," ")),TRIM(SUBSTITUTE('worker file'!$A$2:$A$406,_xlfn.UNICHAR(160)," ")),'worker file'!$L$2:$L$406,"")="US Biweekly",$I$3,$I$2))</f>
        <v>46295</v>
      </c>
      <c r="E341" s="5" t="s">
        <v>571</v>
      </c>
      <c r="F341" s="5" t="s">
        <v>554</v>
      </c>
    </row>
    <row r="342" spans="1:6" ht="16" x14ac:dyDescent="0.2">
      <c r="A342" s="5" t="s">
        <v>324</v>
      </c>
      <c r="B342" s="5" t="s">
        <v>573</v>
      </c>
      <c r="C342" s="24">
        <v>22.25</v>
      </c>
      <c r="D342" s="22">
        <f t="array" ref="D342">IF(F342="n/a","—",IF(_xlfn.XLOOKUP(TRIM(SUBSTITUTE(A342,_xlfn.UNICHAR(160)," ")),TRIM(SUBSTITUTE('worker file'!$A$2:$A$406,_xlfn.UNICHAR(160)," ")),'worker file'!$L$2:$L$406,"")="US Biweekly",$I$3,$I$2))</f>
        <v>46298</v>
      </c>
      <c r="E342" s="5" t="s">
        <v>574</v>
      </c>
      <c r="F342" s="5" t="s">
        <v>554</v>
      </c>
    </row>
    <row r="343" spans="1:6" ht="16" x14ac:dyDescent="0.2">
      <c r="A343" s="5" t="s">
        <v>324</v>
      </c>
      <c r="B343" s="5" t="s">
        <v>566</v>
      </c>
      <c r="C343" s="24">
        <v>16.75</v>
      </c>
      <c r="D343" s="22">
        <f t="array" ref="D343">IF(F343="n/a","—",IF(_xlfn.XLOOKUP(TRIM(SUBSTITUTE(A343,_xlfn.UNICHAR(160)," ")),TRIM(SUBSTITUTE('worker file'!$A$2:$A$406,_xlfn.UNICHAR(160)," ")),'worker file'!$L$2:$L$406,"")="US Biweekly",$I$3,$I$2))</f>
        <v>46298</v>
      </c>
      <c r="E343" s="5" t="s">
        <v>571</v>
      </c>
      <c r="F343" s="5" t="s">
        <v>554</v>
      </c>
    </row>
    <row r="344" spans="1:6" ht="16" x14ac:dyDescent="0.2">
      <c r="A344" s="5" t="s">
        <v>325</v>
      </c>
      <c r="B344" s="5" t="s">
        <v>588</v>
      </c>
      <c r="C344" s="25">
        <v>6</v>
      </c>
      <c r="D344" s="22">
        <f t="array" ref="D344">IF(F344="n/a","—",IF(_xlfn.XLOOKUP(TRIM(SUBSTITUTE(A344,_xlfn.UNICHAR(160)," ")),TRIM(SUBSTITUTE('worker file'!$A$2:$A$406,_xlfn.UNICHAR(160)," ")),'worker file'!$L$2:$L$406,"")="US Biweekly",$I$3,$I$2))</f>
        <v>46295</v>
      </c>
      <c r="E344" s="5" t="s">
        <v>589</v>
      </c>
      <c r="F344" s="5" t="s">
        <v>559</v>
      </c>
    </row>
    <row r="345" spans="1:6" ht="16" x14ac:dyDescent="0.2">
      <c r="A345" s="5" t="s">
        <v>326</v>
      </c>
      <c r="B345" s="5" t="s">
        <v>568</v>
      </c>
      <c r="C345" s="21" t="s">
        <v>569</v>
      </c>
      <c r="D345" s="22" t="str">
        <f t="array" ref="D345">IF(F345="n/a","—",IF(_xlfn.XLOOKUP(TRIM(SUBSTITUTE(A345,_xlfn.UNICHAR(160)," ")),TRIM(SUBSTITUTE('worker file'!$A$2:$A$406,_xlfn.UNICHAR(160)," ")),'worker file'!$L$2:$L$406,"")="US Biweekly",$I$3,$I$2))</f>
        <v>—</v>
      </c>
      <c r="E345" s="5" t="s">
        <v>570</v>
      </c>
      <c r="F345" s="5" t="s">
        <v>550</v>
      </c>
    </row>
    <row r="346" spans="1:6" ht="16" x14ac:dyDescent="0.2">
      <c r="A346" s="5" t="s">
        <v>326</v>
      </c>
      <c r="B346" s="5" t="s">
        <v>566</v>
      </c>
      <c r="C346" s="24">
        <v>26.5</v>
      </c>
      <c r="D346" s="22">
        <f t="array" ref="D346">IF(F346="n/a","—",IF(_xlfn.XLOOKUP(TRIM(SUBSTITUTE(A346,_xlfn.UNICHAR(160)," ")),TRIM(SUBSTITUTE('worker file'!$A$2:$A$406,_xlfn.UNICHAR(160)," ")),'worker file'!$L$2:$L$406,"")="US Biweekly",$I$3,$I$2))</f>
        <v>46295</v>
      </c>
      <c r="E346" s="5" t="s">
        <v>571</v>
      </c>
      <c r="F346" s="5" t="s">
        <v>554</v>
      </c>
    </row>
    <row r="347" spans="1:6" ht="16" x14ac:dyDescent="0.2">
      <c r="A347" s="5" t="s">
        <v>327</v>
      </c>
      <c r="B347" s="5" t="s">
        <v>568</v>
      </c>
      <c r="C347" s="21" t="s">
        <v>569</v>
      </c>
      <c r="D347" s="22" t="str">
        <f t="array" ref="D347">IF(F347="n/a","—",IF(_xlfn.XLOOKUP(TRIM(SUBSTITUTE(A347,_xlfn.UNICHAR(160)," ")),TRIM(SUBSTITUTE('worker file'!$A$2:$A$406,_xlfn.UNICHAR(160)," ")),'worker file'!$L$2:$L$406,"")="US Biweekly",$I$3,$I$2))</f>
        <v>—</v>
      </c>
      <c r="E347" s="5" t="s">
        <v>570</v>
      </c>
      <c r="F347" s="5" t="s">
        <v>550</v>
      </c>
    </row>
    <row r="348" spans="1:6" ht="16" x14ac:dyDescent="0.2">
      <c r="A348" s="5" t="s">
        <v>328</v>
      </c>
      <c r="B348" s="5" t="s">
        <v>588</v>
      </c>
      <c r="C348" s="25">
        <v>12.5</v>
      </c>
      <c r="D348" s="22">
        <f t="array" ref="D348">IF(F348="n/a","—",IF(_xlfn.XLOOKUP(TRIM(SUBSTITUTE(A348,_xlfn.UNICHAR(160)," ")),TRIM(SUBSTITUTE('worker file'!$A$2:$A$406,_xlfn.UNICHAR(160)," ")),'worker file'!$L$2:$L$406,"")="US Biweekly",$I$3,$I$2))</f>
        <v>46295</v>
      </c>
      <c r="E348" s="5" t="s">
        <v>589</v>
      </c>
      <c r="F348" s="5" t="s">
        <v>559</v>
      </c>
    </row>
    <row r="349" spans="1:6" ht="16" x14ac:dyDescent="0.2">
      <c r="A349" s="5" t="s">
        <v>329</v>
      </c>
      <c r="B349" s="5" t="s">
        <v>568</v>
      </c>
      <c r="C349" s="21" t="s">
        <v>569</v>
      </c>
      <c r="D349" s="22" t="str">
        <f t="array" ref="D349">IF(F349="n/a","—",IF(_xlfn.XLOOKUP(TRIM(SUBSTITUTE(A349,_xlfn.UNICHAR(160)," ")),TRIM(SUBSTITUTE('worker file'!$A$2:$A$406,_xlfn.UNICHAR(160)," ")),'worker file'!$L$2:$L$406,"")="US Biweekly",$I$3,$I$2))</f>
        <v>—</v>
      </c>
      <c r="E349" s="5" t="s">
        <v>570</v>
      </c>
      <c r="F349" s="5" t="s">
        <v>550</v>
      </c>
    </row>
    <row r="350" spans="1:6" ht="16" x14ac:dyDescent="0.2">
      <c r="A350" s="5" t="s">
        <v>329</v>
      </c>
      <c r="B350" s="5" t="s">
        <v>566</v>
      </c>
      <c r="C350" s="24">
        <v>58.75</v>
      </c>
      <c r="D350" s="22">
        <f t="array" ref="D350">IF(F350="n/a","—",IF(_xlfn.XLOOKUP(TRIM(SUBSTITUTE(A350,_xlfn.UNICHAR(160)," ")),TRIM(SUBSTITUTE('worker file'!$A$2:$A$406,_xlfn.UNICHAR(160)," ")),'worker file'!$L$2:$L$406,"")="US Biweekly",$I$3,$I$2))</f>
        <v>46295</v>
      </c>
      <c r="E350" s="5" t="s">
        <v>571</v>
      </c>
      <c r="F350" s="5" t="s">
        <v>554</v>
      </c>
    </row>
    <row r="351" spans="1:6" ht="16" x14ac:dyDescent="0.2">
      <c r="A351" s="5" t="s">
        <v>596</v>
      </c>
      <c r="B351" s="5" t="s">
        <v>568</v>
      </c>
      <c r="C351" s="21" t="s">
        <v>569</v>
      </c>
      <c r="D351" s="22" t="str">
        <f t="array" ref="D351">IF(F351="n/a","—",IF(_xlfn.XLOOKUP(TRIM(SUBSTITUTE(A351,_xlfn.UNICHAR(160)," ")),TRIM(SUBSTITUTE('worker file'!$A$2:$A$406,_xlfn.UNICHAR(160)," ")),'worker file'!$L$2:$L$406,"")="US Biweekly",$I$3,$I$2))</f>
        <v>—</v>
      </c>
      <c r="E351" s="5" t="s">
        <v>597</v>
      </c>
      <c r="F351" s="5" t="s">
        <v>550</v>
      </c>
    </row>
    <row r="352" spans="1:6" ht="16" x14ac:dyDescent="0.2">
      <c r="A352" s="5" t="s">
        <v>596</v>
      </c>
      <c r="B352" s="5" t="s">
        <v>566</v>
      </c>
      <c r="C352" s="24">
        <v>0</v>
      </c>
      <c r="D352" s="22">
        <f t="array" ref="D352">IF(F352="n/a","—",IF(_xlfn.XLOOKUP(TRIM(SUBSTITUTE(A352,_xlfn.UNICHAR(160)," ")),TRIM(SUBSTITUTE('worker file'!$A$2:$A$406,_xlfn.UNICHAR(160)," ")),'worker file'!$L$2:$L$406,"")="US Biweekly",$I$3,$I$2))</f>
        <v>46295</v>
      </c>
      <c r="E352" s="5" t="s">
        <v>598</v>
      </c>
      <c r="F352" s="5" t="s">
        <v>554</v>
      </c>
    </row>
    <row r="353" spans="1:6" ht="16" x14ac:dyDescent="0.2">
      <c r="A353" s="5" t="s">
        <v>330</v>
      </c>
      <c r="B353" s="5" t="s">
        <v>588</v>
      </c>
      <c r="C353" s="25">
        <v>5.5</v>
      </c>
      <c r="D353" s="22">
        <f t="array" ref="D353">IF(F353="n/a","—",IF(_xlfn.XLOOKUP(TRIM(SUBSTITUTE(A353,_xlfn.UNICHAR(160)," ")),TRIM(SUBSTITUTE('worker file'!$A$2:$A$406,_xlfn.UNICHAR(160)," ")),'worker file'!$L$2:$L$406,"")="US Biweekly",$I$3,$I$2))</f>
        <v>46295</v>
      </c>
      <c r="E353" s="5" t="s">
        <v>589</v>
      </c>
      <c r="F353" s="5" t="s">
        <v>559</v>
      </c>
    </row>
    <row r="354" spans="1:6" ht="16" x14ac:dyDescent="0.2">
      <c r="A354" s="5" t="s">
        <v>331</v>
      </c>
      <c r="B354" s="5" t="s">
        <v>568</v>
      </c>
      <c r="C354" s="21" t="s">
        <v>569</v>
      </c>
      <c r="D354" s="22" t="str">
        <f t="array" ref="D354">IF(F354="n/a","—",IF(_xlfn.XLOOKUP(TRIM(SUBSTITUTE(A354,_xlfn.UNICHAR(160)," ")),TRIM(SUBSTITUTE('worker file'!$A$2:$A$406,_xlfn.UNICHAR(160)," ")),'worker file'!$L$2:$L$406,"")="US Biweekly",$I$3,$I$2))</f>
        <v>—</v>
      </c>
      <c r="E354" s="5" t="s">
        <v>570</v>
      </c>
      <c r="F354" s="5" t="s">
        <v>550</v>
      </c>
    </row>
    <row r="355" spans="1:6" ht="16" x14ac:dyDescent="0.2">
      <c r="A355" s="5" t="s">
        <v>332</v>
      </c>
      <c r="B355" s="5" t="s">
        <v>568</v>
      </c>
      <c r="C355" s="21" t="s">
        <v>569</v>
      </c>
      <c r="D355" s="22" t="str">
        <f t="array" ref="D355">IF(F355="n/a","—",IF(_xlfn.XLOOKUP(TRIM(SUBSTITUTE(A355,_xlfn.UNICHAR(160)," ")),TRIM(SUBSTITUTE('worker file'!$A$2:$A$406,_xlfn.UNICHAR(160)," ")),'worker file'!$L$2:$L$406,"")="US Biweekly",$I$3,$I$2))</f>
        <v>—</v>
      </c>
      <c r="E355" s="5" t="s">
        <v>570</v>
      </c>
      <c r="F355" s="5" t="s">
        <v>550</v>
      </c>
    </row>
    <row r="356" spans="1:6" ht="16" x14ac:dyDescent="0.2">
      <c r="A356" s="5" t="s">
        <v>332</v>
      </c>
      <c r="B356" s="5" t="s">
        <v>566</v>
      </c>
      <c r="C356" s="24">
        <v>75</v>
      </c>
      <c r="D356" s="22">
        <f t="array" ref="D356">IF(F356="n/a","—",IF(_xlfn.XLOOKUP(TRIM(SUBSTITUTE(A356,_xlfn.UNICHAR(160)," ")),TRIM(SUBSTITUTE('worker file'!$A$2:$A$406,_xlfn.UNICHAR(160)," ")),'worker file'!$L$2:$L$406,"")="US Biweekly",$I$3,$I$2))</f>
        <v>46295</v>
      </c>
      <c r="E356" s="5" t="s">
        <v>571</v>
      </c>
      <c r="F356" s="5" t="s">
        <v>554</v>
      </c>
    </row>
    <row r="357" spans="1:6" ht="16" x14ac:dyDescent="0.2">
      <c r="A357" s="5" t="s">
        <v>333</v>
      </c>
      <c r="B357" s="5" t="s">
        <v>568</v>
      </c>
      <c r="C357" s="21" t="s">
        <v>569</v>
      </c>
      <c r="D357" s="22" t="str">
        <f t="array" ref="D357">IF(F357="n/a","—",IF(_xlfn.XLOOKUP(TRIM(SUBSTITUTE(A357,_xlfn.UNICHAR(160)," ")),TRIM(SUBSTITUTE('worker file'!$A$2:$A$406,_xlfn.UNICHAR(160)," ")),'worker file'!$L$2:$L$406,"")="US Biweekly",$I$3,$I$2))</f>
        <v>—</v>
      </c>
      <c r="E357" s="5" t="s">
        <v>570</v>
      </c>
      <c r="F357" s="5" t="s">
        <v>550</v>
      </c>
    </row>
    <row r="358" spans="1:6" ht="16" x14ac:dyDescent="0.2">
      <c r="A358" s="5" t="s">
        <v>334</v>
      </c>
      <c r="B358" s="5" t="s">
        <v>584</v>
      </c>
      <c r="C358" s="25">
        <v>9.5</v>
      </c>
      <c r="D358" s="22">
        <f t="array" ref="D358">IF(F358="n/a","—",IF(_xlfn.XLOOKUP(TRIM(SUBSTITUTE(A358,_xlfn.UNICHAR(160)," ")),TRIM(SUBSTITUTE('worker file'!$A$2:$A$406,_xlfn.UNICHAR(160)," ")),'worker file'!$L$2:$L$406,"")="US Biweekly",$I$3,$I$2))</f>
        <v>46295</v>
      </c>
      <c r="E358" s="5" t="s">
        <v>585</v>
      </c>
      <c r="F358" s="5" t="s">
        <v>559</v>
      </c>
    </row>
    <row r="359" spans="1:6" ht="16" x14ac:dyDescent="0.2">
      <c r="A359" s="5" t="s">
        <v>334</v>
      </c>
      <c r="B359" s="5" t="s">
        <v>586</v>
      </c>
      <c r="C359" s="25">
        <v>7.5</v>
      </c>
      <c r="D359" s="22">
        <f t="array" ref="D359">IF(F359="n/a","—",IF(_xlfn.XLOOKUP(TRIM(SUBSTITUTE(A359,_xlfn.UNICHAR(160)," ")),TRIM(SUBSTITUTE('worker file'!$A$2:$A$406,_xlfn.UNICHAR(160)," ")),'worker file'!$L$2:$L$406,"")="US Biweekly",$I$3,$I$2))</f>
        <v>46295</v>
      </c>
      <c r="E359" s="5" t="s">
        <v>587</v>
      </c>
      <c r="F359" s="5" t="s">
        <v>559</v>
      </c>
    </row>
    <row r="360" spans="1:6" ht="16" x14ac:dyDescent="0.2">
      <c r="A360" s="5" t="s">
        <v>335</v>
      </c>
      <c r="B360" s="5" t="s">
        <v>568</v>
      </c>
      <c r="C360" s="21" t="s">
        <v>569</v>
      </c>
      <c r="D360" s="22" t="str">
        <f t="array" ref="D360">IF(F360="n/a","—",IF(_xlfn.XLOOKUP(TRIM(SUBSTITUTE(A360,_xlfn.UNICHAR(160)," ")),TRIM(SUBSTITUTE('worker file'!$A$2:$A$406,_xlfn.UNICHAR(160)," ")),'worker file'!$L$2:$L$406,"")="US Biweekly",$I$3,$I$2))</f>
        <v>—</v>
      </c>
      <c r="E360" s="5" t="s">
        <v>570</v>
      </c>
      <c r="F360" s="5" t="s">
        <v>550</v>
      </c>
    </row>
    <row r="361" spans="1:6" ht="16" x14ac:dyDescent="0.2">
      <c r="A361" s="5" t="s">
        <v>335</v>
      </c>
      <c r="B361" s="5" t="s">
        <v>566</v>
      </c>
      <c r="C361" s="24">
        <v>35.75</v>
      </c>
      <c r="D361" s="22">
        <f t="array" ref="D361">IF(F361="n/a","—",IF(_xlfn.XLOOKUP(TRIM(SUBSTITUTE(A361,_xlfn.UNICHAR(160)," ")),TRIM(SUBSTITUTE('worker file'!$A$2:$A$406,_xlfn.UNICHAR(160)," ")),'worker file'!$L$2:$L$406,"")="US Biweekly",$I$3,$I$2))</f>
        <v>46295</v>
      </c>
      <c r="E361" s="5" t="s">
        <v>571</v>
      </c>
      <c r="F361" s="5" t="s">
        <v>554</v>
      </c>
    </row>
    <row r="362" spans="1:6" ht="16" x14ac:dyDescent="0.2">
      <c r="A362" s="5" t="s">
        <v>336</v>
      </c>
      <c r="B362" s="5" t="s">
        <v>584</v>
      </c>
      <c r="C362" s="25">
        <v>2</v>
      </c>
      <c r="D362" s="22">
        <f t="array" ref="D362">IF(F362="n/a","—",IF(_xlfn.XLOOKUP(TRIM(SUBSTITUTE(A362,_xlfn.UNICHAR(160)," ")),TRIM(SUBSTITUTE('worker file'!$A$2:$A$406,_xlfn.UNICHAR(160)," ")),'worker file'!$L$2:$L$406,"")="US Biweekly",$I$3,$I$2))</f>
        <v>46295</v>
      </c>
      <c r="E362" s="5" t="s">
        <v>585</v>
      </c>
      <c r="F362" s="5" t="s">
        <v>559</v>
      </c>
    </row>
    <row r="363" spans="1:6" ht="16" x14ac:dyDescent="0.2">
      <c r="A363" s="5" t="s">
        <v>336</v>
      </c>
      <c r="B363" s="5" t="s">
        <v>586</v>
      </c>
      <c r="C363" s="25">
        <v>5</v>
      </c>
      <c r="D363" s="22">
        <f t="array" ref="D363">IF(F363="n/a","—",IF(_xlfn.XLOOKUP(TRIM(SUBSTITUTE(A363,_xlfn.UNICHAR(160)," ")),TRIM(SUBSTITUTE('worker file'!$A$2:$A$406,_xlfn.UNICHAR(160)," ")),'worker file'!$L$2:$L$406,"")="US Biweekly",$I$3,$I$2))</f>
        <v>46295</v>
      </c>
      <c r="E363" s="5" t="s">
        <v>587</v>
      </c>
      <c r="F363" s="5" t="s">
        <v>559</v>
      </c>
    </row>
    <row r="364" spans="1:6" ht="16" x14ac:dyDescent="0.2">
      <c r="A364" s="5" t="s">
        <v>337</v>
      </c>
      <c r="B364" s="5" t="s">
        <v>573</v>
      </c>
      <c r="C364" s="24">
        <v>44.25</v>
      </c>
      <c r="D364" s="22">
        <f t="array" ref="D364">IF(F364="n/a","—",IF(_xlfn.XLOOKUP(TRIM(SUBSTITUTE(A364,_xlfn.UNICHAR(160)," ")),TRIM(SUBSTITUTE('worker file'!$A$2:$A$406,_xlfn.UNICHAR(160)," ")),'worker file'!$L$2:$L$406,"")="US Biweekly",$I$3,$I$2))</f>
        <v>46298</v>
      </c>
      <c r="E364" s="5" t="s">
        <v>574</v>
      </c>
      <c r="F364" s="5" t="s">
        <v>554</v>
      </c>
    </row>
    <row r="365" spans="1:6" ht="16" x14ac:dyDescent="0.2">
      <c r="A365" s="5" t="s">
        <v>337</v>
      </c>
      <c r="B365" s="5" t="s">
        <v>566</v>
      </c>
      <c r="C365" s="24">
        <v>34</v>
      </c>
      <c r="D365" s="22">
        <f t="array" ref="D365">IF(F365="n/a","—",IF(_xlfn.XLOOKUP(TRIM(SUBSTITUTE(A365,_xlfn.UNICHAR(160)," ")),TRIM(SUBSTITUTE('worker file'!$A$2:$A$406,_xlfn.UNICHAR(160)," ")),'worker file'!$L$2:$L$406,"")="US Biweekly",$I$3,$I$2))</f>
        <v>46298</v>
      </c>
      <c r="E365" s="5" t="s">
        <v>571</v>
      </c>
      <c r="F365" s="5" t="s">
        <v>554</v>
      </c>
    </row>
    <row r="366" spans="1:6" ht="16" x14ac:dyDescent="0.2">
      <c r="A366" s="5" t="s">
        <v>338</v>
      </c>
      <c r="B366" s="5" t="s">
        <v>573</v>
      </c>
      <c r="C366" s="24">
        <v>42</v>
      </c>
      <c r="D366" s="22">
        <f t="array" ref="D366">IF(F366="n/a","—",IF(_xlfn.XLOOKUP(TRIM(SUBSTITUTE(A366,_xlfn.UNICHAR(160)," ")),TRIM(SUBSTITUTE('worker file'!$A$2:$A$406,_xlfn.UNICHAR(160)," ")),'worker file'!$L$2:$L$406,"")="US Biweekly",$I$3,$I$2))</f>
        <v>46298</v>
      </c>
      <c r="E366" s="5" t="s">
        <v>574</v>
      </c>
      <c r="F366" s="5" t="s">
        <v>554</v>
      </c>
    </row>
    <row r="367" spans="1:6" ht="16" x14ac:dyDescent="0.2">
      <c r="A367" s="5" t="s">
        <v>338</v>
      </c>
      <c r="B367" s="5" t="s">
        <v>575</v>
      </c>
      <c r="C367" s="24">
        <v>27.5</v>
      </c>
      <c r="D367" s="22">
        <f t="array" ref="D367">IF(F367="n/a","—",IF(_xlfn.XLOOKUP(TRIM(SUBSTITUTE(A367,_xlfn.UNICHAR(160)," ")),TRIM(SUBSTITUTE('worker file'!$A$2:$A$406,_xlfn.UNICHAR(160)," ")),'worker file'!$L$2:$L$406,"")="US Biweekly",$I$3,$I$2))</f>
        <v>46298</v>
      </c>
      <c r="E367" s="5" t="s">
        <v>576</v>
      </c>
      <c r="F367" s="5" t="s">
        <v>554</v>
      </c>
    </row>
    <row r="368" spans="1:6" ht="16" x14ac:dyDescent="0.2">
      <c r="A368" s="5" t="s">
        <v>339</v>
      </c>
      <c r="B368" s="5" t="s">
        <v>568</v>
      </c>
      <c r="C368" s="21" t="s">
        <v>569</v>
      </c>
      <c r="D368" s="22" t="str">
        <f t="array" ref="D368">IF(F368="n/a","—",IF(_xlfn.XLOOKUP(TRIM(SUBSTITUTE(A368,_xlfn.UNICHAR(160)," ")),TRIM(SUBSTITUTE('worker file'!$A$2:$A$406,_xlfn.UNICHAR(160)," ")),'worker file'!$L$2:$L$406,"")="US Biweekly",$I$3,$I$2))</f>
        <v>—</v>
      </c>
      <c r="E368" s="5" t="s">
        <v>570</v>
      </c>
      <c r="F368" s="5" t="s">
        <v>550</v>
      </c>
    </row>
    <row r="369" spans="1:6" ht="16" x14ac:dyDescent="0.2">
      <c r="A369" s="5" t="s">
        <v>340</v>
      </c>
      <c r="B369" s="5" t="s">
        <v>568</v>
      </c>
      <c r="C369" s="21" t="s">
        <v>569</v>
      </c>
      <c r="D369" s="22" t="str">
        <f t="array" ref="D369">IF(F369="n/a","—",IF(_xlfn.XLOOKUP(TRIM(SUBSTITUTE(A369,_xlfn.UNICHAR(160)," ")),TRIM(SUBSTITUTE('worker file'!$A$2:$A$406,_xlfn.UNICHAR(160)," ")),'worker file'!$L$2:$L$406,"")="US Biweekly",$I$3,$I$2))</f>
        <v>—</v>
      </c>
      <c r="E369" s="5" t="s">
        <v>570</v>
      </c>
      <c r="F369" s="5" t="s">
        <v>550</v>
      </c>
    </row>
    <row r="370" spans="1:6" ht="16" x14ac:dyDescent="0.2">
      <c r="A370" s="5" t="s">
        <v>340</v>
      </c>
      <c r="B370" s="5" t="s">
        <v>566</v>
      </c>
      <c r="C370" s="24">
        <v>50</v>
      </c>
      <c r="D370" s="22">
        <f t="array" ref="D370">IF(F370="n/a","—",IF(_xlfn.XLOOKUP(TRIM(SUBSTITUTE(A370,_xlfn.UNICHAR(160)," ")),TRIM(SUBSTITUTE('worker file'!$A$2:$A$406,_xlfn.UNICHAR(160)," ")),'worker file'!$L$2:$L$406,"")="US Biweekly",$I$3,$I$2))</f>
        <v>46295</v>
      </c>
      <c r="E370" s="5" t="s">
        <v>571</v>
      </c>
      <c r="F370" s="5" t="s">
        <v>554</v>
      </c>
    </row>
    <row r="371" spans="1:6" ht="16" x14ac:dyDescent="0.2">
      <c r="A371" s="5" t="s">
        <v>341</v>
      </c>
      <c r="B371" s="5" t="s">
        <v>568</v>
      </c>
      <c r="C371" s="21" t="s">
        <v>569</v>
      </c>
      <c r="D371" s="22" t="str">
        <f t="array" ref="D371">IF(F371="n/a","—",IF(_xlfn.XLOOKUP(TRIM(SUBSTITUTE(A371,_xlfn.UNICHAR(160)," ")),TRIM(SUBSTITUTE('worker file'!$A$2:$A$406,_xlfn.UNICHAR(160)," ")),'worker file'!$L$2:$L$406,"")="US Biweekly",$I$3,$I$2))</f>
        <v>—</v>
      </c>
      <c r="E371" s="5" t="s">
        <v>570</v>
      </c>
      <c r="F371" s="5" t="s">
        <v>550</v>
      </c>
    </row>
    <row r="372" spans="1:6" ht="16" x14ac:dyDescent="0.2">
      <c r="A372" s="5" t="s">
        <v>341</v>
      </c>
      <c r="B372" s="5" t="s">
        <v>590</v>
      </c>
      <c r="C372" s="24">
        <v>21</v>
      </c>
      <c r="D372" s="22">
        <f t="array" ref="D372">IF(F372="n/a","—",IF(_xlfn.XLOOKUP(TRIM(SUBSTITUTE(A372,_xlfn.UNICHAR(160)," ")),TRIM(SUBSTITUTE('worker file'!$A$2:$A$406,_xlfn.UNICHAR(160)," ")),'worker file'!$L$2:$L$406,"")="US Biweekly",$I$3,$I$2))</f>
        <v>46295</v>
      </c>
      <c r="E372" s="5" t="s">
        <v>591</v>
      </c>
      <c r="F372" s="5" t="s">
        <v>554</v>
      </c>
    </row>
    <row r="373" spans="1:6" ht="16" x14ac:dyDescent="0.2">
      <c r="A373" s="5" t="s">
        <v>342</v>
      </c>
      <c r="B373" s="5" t="s">
        <v>588</v>
      </c>
      <c r="C373" s="25">
        <v>4.5</v>
      </c>
      <c r="D373" s="22">
        <f t="array" ref="D373">IF(F373="n/a","—",IF(_xlfn.XLOOKUP(TRIM(SUBSTITUTE(A373,_xlfn.UNICHAR(160)," ")),TRIM(SUBSTITUTE('worker file'!$A$2:$A$406,_xlfn.UNICHAR(160)," ")),'worker file'!$L$2:$L$406,"")="US Biweekly",$I$3,$I$2))</f>
        <v>46295</v>
      </c>
      <c r="E373" s="5" t="s">
        <v>589</v>
      </c>
      <c r="F373" s="5" t="s">
        <v>559</v>
      </c>
    </row>
    <row r="374" spans="1:6" ht="16" x14ac:dyDescent="0.2">
      <c r="A374" s="5" t="s">
        <v>343</v>
      </c>
      <c r="B374" s="5" t="s">
        <v>568</v>
      </c>
      <c r="C374" s="21" t="s">
        <v>569</v>
      </c>
      <c r="D374" s="22" t="str">
        <f t="array" ref="D374">IF(F374="n/a","—",IF(_xlfn.XLOOKUP(TRIM(SUBSTITUTE(A374,_xlfn.UNICHAR(160)," ")),TRIM(SUBSTITUTE('worker file'!$A$2:$A$406,_xlfn.UNICHAR(160)," ")),'worker file'!$L$2:$L$406,"")="US Biweekly",$I$3,$I$2))</f>
        <v>—</v>
      </c>
      <c r="E374" s="5" t="s">
        <v>570</v>
      </c>
      <c r="F374" s="5" t="s">
        <v>550</v>
      </c>
    </row>
    <row r="375" spans="1:6" ht="16" x14ac:dyDescent="0.2">
      <c r="A375" s="5" t="s">
        <v>343</v>
      </c>
      <c r="B375" s="5" t="s">
        <v>566</v>
      </c>
      <c r="C375" s="24">
        <v>65</v>
      </c>
      <c r="D375" s="22">
        <f t="array" ref="D375">IF(F375="n/a","—",IF(_xlfn.XLOOKUP(TRIM(SUBSTITUTE(A375,_xlfn.UNICHAR(160)," ")),TRIM(SUBSTITUTE('worker file'!$A$2:$A$406,_xlfn.UNICHAR(160)," ")),'worker file'!$L$2:$L$406,"")="US Biweekly",$I$3,$I$2))</f>
        <v>46295</v>
      </c>
      <c r="E375" s="5" t="s">
        <v>571</v>
      </c>
      <c r="F375" s="5" t="s">
        <v>554</v>
      </c>
    </row>
    <row r="376" spans="1:6" ht="16" x14ac:dyDescent="0.2">
      <c r="A376" s="5" t="s">
        <v>344</v>
      </c>
      <c r="B376" s="5" t="s">
        <v>568</v>
      </c>
      <c r="C376" s="21" t="s">
        <v>569</v>
      </c>
      <c r="D376" s="22" t="str">
        <f t="array" ref="D376">IF(F376="n/a","—",IF(_xlfn.XLOOKUP(TRIM(SUBSTITUTE(A376,_xlfn.UNICHAR(160)," ")),TRIM(SUBSTITUTE('worker file'!$A$2:$A$406,_xlfn.UNICHAR(160)," ")),'worker file'!$L$2:$L$406,"")="US Biweekly",$I$3,$I$2))</f>
        <v>—</v>
      </c>
      <c r="E376" s="5" t="s">
        <v>570</v>
      </c>
      <c r="F376" s="5" t="s">
        <v>550</v>
      </c>
    </row>
    <row r="377" spans="1:6" ht="16" x14ac:dyDescent="0.2">
      <c r="A377" s="5" t="s">
        <v>344</v>
      </c>
      <c r="B377" s="5" t="s">
        <v>577</v>
      </c>
      <c r="C377" s="24">
        <v>48.25</v>
      </c>
      <c r="D377" s="22">
        <f t="array" ref="D377">IF(F377="n/a","—",IF(_xlfn.XLOOKUP(TRIM(SUBSTITUTE(A377,_xlfn.UNICHAR(160)," ")),TRIM(SUBSTITUTE('worker file'!$A$2:$A$406,_xlfn.UNICHAR(160)," ")),'worker file'!$L$2:$L$406,"")="US Biweekly",$I$3,$I$2))</f>
        <v>46295</v>
      </c>
      <c r="E377" s="5" t="s">
        <v>578</v>
      </c>
      <c r="F377" s="5" t="s">
        <v>554</v>
      </c>
    </row>
    <row r="378" spans="1:6" ht="16" x14ac:dyDescent="0.2">
      <c r="A378" s="5" t="s">
        <v>345</v>
      </c>
      <c r="B378" s="5" t="s">
        <v>568</v>
      </c>
      <c r="C378" s="21" t="s">
        <v>569</v>
      </c>
      <c r="D378" s="22" t="str">
        <f t="array" ref="D378">IF(F378="n/a","—",IF(_xlfn.XLOOKUP(TRIM(SUBSTITUTE(A378,_xlfn.UNICHAR(160)," ")),TRIM(SUBSTITUTE('worker file'!$A$2:$A$406,_xlfn.UNICHAR(160)," ")),'worker file'!$L$2:$L$406,"")="US Biweekly",$I$3,$I$2))</f>
        <v>—</v>
      </c>
      <c r="E378" s="5" t="s">
        <v>570</v>
      </c>
      <c r="F378" s="5" t="s">
        <v>550</v>
      </c>
    </row>
    <row r="379" spans="1:6" ht="16" x14ac:dyDescent="0.2">
      <c r="A379" s="5" t="s">
        <v>346</v>
      </c>
      <c r="B379" s="5" t="s">
        <v>568</v>
      </c>
      <c r="C379" s="21" t="s">
        <v>569</v>
      </c>
      <c r="D379" s="22" t="str">
        <f t="array" ref="D379">IF(F379="n/a","—",IF(_xlfn.XLOOKUP(TRIM(SUBSTITUTE(A379,_xlfn.UNICHAR(160)," ")),TRIM(SUBSTITUTE('worker file'!$A$2:$A$406,_xlfn.UNICHAR(160)," ")),'worker file'!$L$2:$L$406,"")="US Biweekly",$I$3,$I$2))</f>
        <v>—</v>
      </c>
      <c r="E379" s="5" t="s">
        <v>570</v>
      </c>
      <c r="F379" s="5" t="s">
        <v>550</v>
      </c>
    </row>
    <row r="380" spans="1:6" ht="16" x14ac:dyDescent="0.2">
      <c r="A380" s="5" t="s">
        <v>347</v>
      </c>
      <c r="B380" s="5" t="s">
        <v>568</v>
      </c>
      <c r="C380" s="21" t="s">
        <v>569</v>
      </c>
      <c r="D380" s="22" t="str">
        <f t="array" ref="D380">IF(F380="n/a","—",IF(_xlfn.XLOOKUP(TRIM(SUBSTITUTE(A380,_xlfn.UNICHAR(160)," ")),TRIM(SUBSTITUTE('worker file'!$A$2:$A$406,_xlfn.UNICHAR(160)," ")),'worker file'!$L$2:$L$406,"")="US Biweekly",$I$3,$I$2))</f>
        <v>—</v>
      </c>
      <c r="E380" s="5" t="s">
        <v>570</v>
      </c>
      <c r="F380" s="5" t="s">
        <v>550</v>
      </c>
    </row>
    <row r="381" spans="1:6" ht="16" x14ac:dyDescent="0.2">
      <c r="A381" s="5" t="s">
        <v>347</v>
      </c>
      <c r="B381" s="5" t="s">
        <v>590</v>
      </c>
      <c r="C381" s="24">
        <v>20.25</v>
      </c>
      <c r="D381" s="22">
        <f t="array" ref="D381">IF(F381="n/a","—",IF(_xlfn.XLOOKUP(TRIM(SUBSTITUTE(A381,_xlfn.UNICHAR(160)," ")),TRIM(SUBSTITUTE('worker file'!$A$2:$A$406,_xlfn.UNICHAR(160)," ")),'worker file'!$L$2:$L$406,"")="US Biweekly",$I$3,$I$2))</f>
        <v>46295</v>
      </c>
      <c r="E381" s="5" t="s">
        <v>591</v>
      </c>
      <c r="F381" s="5" t="s">
        <v>554</v>
      </c>
    </row>
    <row r="382" spans="1:6" ht="16" x14ac:dyDescent="0.2">
      <c r="A382" s="5" t="s">
        <v>348</v>
      </c>
      <c r="B382" s="5" t="s">
        <v>568</v>
      </c>
      <c r="C382" s="21" t="s">
        <v>569</v>
      </c>
      <c r="D382" s="22" t="str">
        <f t="array" ref="D382">IF(F382="n/a","—",IF(_xlfn.XLOOKUP(TRIM(SUBSTITUTE(A382,_xlfn.UNICHAR(160)," ")),TRIM(SUBSTITUTE('worker file'!$A$2:$A$406,_xlfn.UNICHAR(160)," ")),'worker file'!$L$2:$L$406,"")="US Biweekly",$I$3,$I$2))</f>
        <v>—</v>
      </c>
      <c r="E382" s="5" t="s">
        <v>570</v>
      </c>
      <c r="F382" s="5" t="s">
        <v>550</v>
      </c>
    </row>
    <row r="383" spans="1:6" ht="16" x14ac:dyDescent="0.2">
      <c r="A383" s="5" t="s">
        <v>348</v>
      </c>
      <c r="B383" s="5" t="s">
        <v>566</v>
      </c>
      <c r="C383" s="24">
        <v>72.5</v>
      </c>
      <c r="D383" s="22">
        <f t="array" ref="D383">IF(F383="n/a","—",IF(_xlfn.XLOOKUP(TRIM(SUBSTITUTE(A383,_xlfn.UNICHAR(160)," ")),TRIM(SUBSTITUTE('worker file'!$A$2:$A$406,_xlfn.UNICHAR(160)," ")),'worker file'!$L$2:$L$406,"")="US Biweekly",$I$3,$I$2))</f>
        <v>46295</v>
      </c>
      <c r="E383" s="5" t="s">
        <v>571</v>
      </c>
      <c r="F383" s="5" t="s">
        <v>554</v>
      </c>
    </row>
    <row r="384" spans="1:6" ht="16" x14ac:dyDescent="0.2">
      <c r="A384" s="5" t="s">
        <v>349</v>
      </c>
      <c r="B384" s="5" t="s">
        <v>573</v>
      </c>
      <c r="C384" s="24">
        <v>23.5</v>
      </c>
      <c r="D384" s="22">
        <f t="array" ref="D384">IF(F384="n/a","—",IF(_xlfn.XLOOKUP(TRIM(SUBSTITUTE(A384,_xlfn.UNICHAR(160)," ")),TRIM(SUBSTITUTE('worker file'!$A$2:$A$406,_xlfn.UNICHAR(160)," ")),'worker file'!$L$2:$L$406,"")="US Biweekly",$I$3,$I$2))</f>
        <v>46298</v>
      </c>
      <c r="E384" s="5" t="s">
        <v>574</v>
      </c>
      <c r="F384" s="5" t="s">
        <v>554</v>
      </c>
    </row>
    <row r="385" spans="1:6" ht="16" x14ac:dyDescent="0.2">
      <c r="A385" s="5" t="s">
        <v>349</v>
      </c>
      <c r="B385" s="5" t="s">
        <v>566</v>
      </c>
      <c r="C385" s="24">
        <v>6.75</v>
      </c>
      <c r="D385" s="22">
        <f t="array" ref="D385">IF(F385="n/a","—",IF(_xlfn.XLOOKUP(TRIM(SUBSTITUTE(A385,_xlfn.UNICHAR(160)," ")),TRIM(SUBSTITUTE('worker file'!$A$2:$A$406,_xlfn.UNICHAR(160)," ")),'worker file'!$L$2:$L$406,"")="US Biweekly",$I$3,$I$2))</f>
        <v>46298</v>
      </c>
      <c r="E385" s="5" t="s">
        <v>571</v>
      </c>
      <c r="F385" s="5" t="s">
        <v>554</v>
      </c>
    </row>
    <row r="386" spans="1:6" ht="16" x14ac:dyDescent="0.2">
      <c r="A386" s="5" t="s">
        <v>350</v>
      </c>
      <c r="B386" s="5" t="s">
        <v>588</v>
      </c>
      <c r="C386" s="25">
        <v>10.5</v>
      </c>
      <c r="D386" s="22">
        <f t="array" ref="D386">IF(F386="n/a","—",IF(_xlfn.XLOOKUP(TRIM(SUBSTITUTE(A386,_xlfn.UNICHAR(160)," ")),TRIM(SUBSTITUTE('worker file'!$A$2:$A$406,_xlfn.UNICHAR(160)," ")),'worker file'!$L$2:$L$406,"")="US Biweekly",$I$3,$I$2))</f>
        <v>46295</v>
      </c>
      <c r="E386" s="5" t="s">
        <v>589</v>
      </c>
      <c r="F386" s="5" t="s">
        <v>559</v>
      </c>
    </row>
    <row r="387" spans="1:6" ht="16" x14ac:dyDescent="0.2">
      <c r="A387" s="5" t="s">
        <v>351</v>
      </c>
      <c r="B387" s="5" t="s">
        <v>573</v>
      </c>
      <c r="C387" s="24">
        <v>34.5</v>
      </c>
      <c r="D387" s="22">
        <f t="array" ref="D387">IF(F387="n/a","—",IF(_xlfn.XLOOKUP(TRIM(SUBSTITUTE(A387,_xlfn.UNICHAR(160)," ")),TRIM(SUBSTITUTE('worker file'!$A$2:$A$406,_xlfn.UNICHAR(160)," ")),'worker file'!$L$2:$L$406,"")="US Biweekly",$I$3,$I$2))</f>
        <v>46298</v>
      </c>
      <c r="E387" s="5" t="s">
        <v>574</v>
      </c>
      <c r="F387" s="5" t="s">
        <v>554</v>
      </c>
    </row>
    <row r="388" spans="1:6" ht="16" x14ac:dyDescent="0.2">
      <c r="A388" s="5" t="s">
        <v>351</v>
      </c>
      <c r="B388" s="5" t="s">
        <v>566</v>
      </c>
      <c r="C388" s="24">
        <v>25</v>
      </c>
      <c r="D388" s="22">
        <f t="array" ref="D388">IF(F388="n/a","—",IF(_xlfn.XLOOKUP(TRIM(SUBSTITUTE(A388,_xlfn.UNICHAR(160)," ")),TRIM(SUBSTITUTE('worker file'!$A$2:$A$406,_xlfn.UNICHAR(160)," ")),'worker file'!$L$2:$L$406,"")="US Biweekly",$I$3,$I$2))</f>
        <v>46298</v>
      </c>
      <c r="E388" s="5" t="s">
        <v>571</v>
      </c>
      <c r="F388" s="5" t="s">
        <v>554</v>
      </c>
    </row>
    <row r="389" spans="1:6" ht="16" x14ac:dyDescent="0.2">
      <c r="A389" s="5" t="s">
        <v>352</v>
      </c>
      <c r="B389" s="5" t="s">
        <v>568</v>
      </c>
      <c r="C389" s="21" t="s">
        <v>569</v>
      </c>
      <c r="D389" s="22" t="str">
        <f t="array" ref="D389">IF(F389="n/a","—",IF(_xlfn.XLOOKUP(TRIM(SUBSTITUTE(A389,_xlfn.UNICHAR(160)," ")),TRIM(SUBSTITUTE('worker file'!$A$2:$A$406,_xlfn.UNICHAR(160)," ")),'worker file'!$L$2:$L$406,"")="US Biweekly",$I$3,$I$2))</f>
        <v>—</v>
      </c>
      <c r="E389" s="5" t="s">
        <v>570</v>
      </c>
      <c r="F389" s="5" t="s">
        <v>550</v>
      </c>
    </row>
    <row r="390" spans="1:6" ht="16" x14ac:dyDescent="0.2">
      <c r="A390" s="5" t="s">
        <v>352</v>
      </c>
      <c r="B390" s="5" t="s">
        <v>566</v>
      </c>
      <c r="C390" s="24">
        <v>53.25</v>
      </c>
      <c r="D390" s="22">
        <f t="array" ref="D390">IF(F390="n/a","—",IF(_xlfn.XLOOKUP(TRIM(SUBSTITUTE(A390,_xlfn.UNICHAR(160)," ")),TRIM(SUBSTITUTE('worker file'!$A$2:$A$406,_xlfn.UNICHAR(160)," ")),'worker file'!$L$2:$L$406,"")="US Biweekly",$I$3,$I$2))</f>
        <v>46295</v>
      </c>
      <c r="E390" s="5" t="s">
        <v>571</v>
      </c>
      <c r="F390" s="5" t="s">
        <v>554</v>
      </c>
    </row>
    <row r="391" spans="1:6" ht="16" x14ac:dyDescent="0.2">
      <c r="A391" s="5" t="s">
        <v>353</v>
      </c>
      <c r="B391" s="5" t="s">
        <v>568</v>
      </c>
      <c r="C391" s="21" t="s">
        <v>569</v>
      </c>
      <c r="D391" s="22" t="str">
        <f t="array" ref="D391">IF(F391="n/a","—",IF(_xlfn.XLOOKUP(TRIM(SUBSTITUTE(A391,_xlfn.UNICHAR(160)," ")),TRIM(SUBSTITUTE('worker file'!$A$2:$A$406,_xlfn.UNICHAR(160)," ")),'worker file'!$L$2:$L$406,"")="US Biweekly",$I$3,$I$2))</f>
        <v>—</v>
      </c>
      <c r="E391" s="5" t="s">
        <v>570</v>
      </c>
      <c r="F391" s="5" t="s">
        <v>550</v>
      </c>
    </row>
    <row r="392" spans="1:6" ht="16" x14ac:dyDescent="0.2">
      <c r="A392" s="5" t="s">
        <v>354</v>
      </c>
      <c r="B392" s="5" t="s">
        <v>573</v>
      </c>
      <c r="C392" s="24">
        <v>42</v>
      </c>
      <c r="D392" s="22">
        <f t="array" ref="D392">IF(F392="n/a","—",IF(_xlfn.XLOOKUP(TRIM(SUBSTITUTE(A392,_xlfn.UNICHAR(160)," ")),TRIM(SUBSTITUTE('worker file'!$A$2:$A$406,_xlfn.UNICHAR(160)," ")),'worker file'!$L$2:$L$406,"")="US Biweekly",$I$3,$I$2))</f>
        <v>46298</v>
      </c>
      <c r="E392" s="5" t="s">
        <v>574</v>
      </c>
      <c r="F392" s="5" t="s">
        <v>554</v>
      </c>
    </row>
    <row r="393" spans="1:6" ht="16" x14ac:dyDescent="0.2">
      <c r="A393" s="5" t="s">
        <v>354</v>
      </c>
      <c r="B393" s="5" t="s">
        <v>566</v>
      </c>
      <c r="C393" s="24">
        <v>42.5</v>
      </c>
      <c r="D393" s="22">
        <f t="array" ref="D393">IF(F393="n/a","—",IF(_xlfn.XLOOKUP(TRIM(SUBSTITUTE(A393,_xlfn.UNICHAR(160)," ")),TRIM(SUBSTITUTE('worker file'!$A$2:$A$406,_xlfn.UNICHAR(160)," ")),'worker file'!$L$2:$L$406,"")="US Biweekly",$I$3,$I$2))</f>
        <v>46298</v>
      </c>
      <c r="E393" s="5" t="s">
        <v>571</v>
      </c>
      <c r="F393" s="5" t="s">
        <v>554</v>
      </c>
    </row>
    <row r="394" spans="1:6" ht="16" x14ac:dyDescent="0.2">
      <c r="A394" s="5" t="s">
        <v>355</v>
      </c>
      <c r="B394" s="5" t="s">
        <v>568</v>
      </c>
      <c r="C394" s="21" t="s">
        <v>569</v>
      </c>
      <c r="D394" s="22" t="str">
        <f t="array" ref="D394">IF(F394="n/a","—",IF(_xlfn.XLOOKUP(TRIM(SUBSTITUTE(A394,_xlfn.UNICHAR(160)," ")),TRIM(SUBSTITUTE('worker file'!$A$2:$A$406,_xlfn.UNICHAR(160)," ")),'worker file'!$L$2:$L$406,"")="US Biweekly",$I$3,$I$2))</f>
        <v>—</v>
      </c>
      <c r="E394" s="5" t="s">
        <v>570</v>
      </c>
      <c r="F394" s="5" t="s">
        <v>550</v>
      </c>
    </row>
    <row r="395" spans="1:6" ht="16" x14ac:dyDescent="0.2">
      <c r="A395" s="5" t="s">
        <v>356</v>
      </c>
      <c r="B395" s="5" t="s">
        <v>568</v>
      </c>
      <c r="C395" s="21" t="s">
        <v>569</v>
      </c>
      <c r="D395" s="22" t="str">
        <f t="array" ref="D395">IF(F395="n/a","—",IF(_xlfn.XLOOKUP(TRIM(SUBSTITUTE(A395,_xlfn.UNICHAR(160)," ")),TRIM(SUBSTITUTE('worker file'!$A$2:$A$406,_xlfn.UNICHAR(160)," ")),'worker file'!$L$2:$L$406,"")="US Biweekly",$I$3,$I$2))</f>
        <v>—</v>
      </c>
      <c r="E395" s="5" t="s">
        <v>570</v>
      </c>
      <c r="F395" s="5" t="s">
        <v>550</v>
      </c>
    </row>
    <row r="396" spans="1:6" ht="16" x14ac:dyDescent="0.2">
      <c r="A396" s="5" t="s">
        <v>357</v>
      </c>
      <c r="B396" s="5" t="s">
        <v>568</v>
      </c>
      <c r="C396" s="21" t="s">
        <v>569</v>
      </c>
      <c r="D396" s="22" t="str">
        <f t="array" ref="D396">IF(F396="n/a","—",IF(_xlfn.XLOOKUP(TRIM(SUBSTITUTE(A396,_xlfn.UNICHAR(160)," ")),TRIM(SUBSTITUTE('worker file'!$A$2:$A$406,_xlfn.UNICHAR(160)," ")),'worker file'!$L$2:$L$406,"")="US Biweekly",$I$3,$I$2))</f>
        <v>—</v>
      </c>
      <c r="E396" s="5" t="s">
        <v>570</v>
      </c>
      <c r="F396" s="5" t="s">
        <v>550</v>
      </c>
    </row>
    <row r="397" spans="1:6" ht="16" x14ac:dyDescent="0.2">
      <c r="A397" s="5" t="s">
        <v>357</v>
      </c>
      <c r="B397" s="5" t="s">
        <v>566</v>
      </c>
      <c r="C397" s="24">
        <v>75.5</v>
      </c>
      <c r="D397" s="22">
        <f t="array" ref="D397">IF(F397="n/a","—",IF(_xlfn.XLOOKUP(TRIM(SUBSTITUTE(A397,_xlfn.UNICHAR(160)," ")),TRIM(SUBSTITUTE('worker file'!$A$2:$A$406,_xlfn.UNICHAR(160)," ")),'worker file'!$L$2:$L$406,"")="US Biweekly",$I$3,$I$2))</f>
        <v>46295</v>
      </c>
      <c r="E397" s="5" t="s">
        <v>571</v>
      </c>
      <c r="F397" s="5" t="s">
        <v>554</v>
      </c>
    </row>
    <row r="398" spans="1:6" ht="16" x14ac:dyDescent="0.2">
      <c r="A398" s="5" t="s">
        <v>358</v>
      </c>
      <c r="B398" s="5" t="s">
        <v>573</v>
      </c>
      <c r="C398" s="24">
        <v>35.25</v>
      </c>
      <c r="D398" s="22">
        <f t="array" ref="D398">IF(F398="n/a","—",IF(_xlfn.XLOOKUP(TRIM(SUBSTITUTE(A398,_xlfn.UNICHAR(160)," ")),TRIM(SUBSTITUTE('worker file'!$A$2:$A$406,_xlfn.UNICHAR(160)," ")),'worker file'!$L$2:$L$406,"")="US Biweekly",$I$3,$I$2))</f>
        <v>46298</v>
      </c>
      <c r="E398" s="5" t="s">
        <v>574</v>
      </c>
      <c r="F398" s="5" t="s">
        <v>554</v>
      </c>
    </row>
    <row r="399" spans="1:6" ht="16" x14ac:dyDescent="0.2">
      <c r="A399" s="5" t="s">
        <v>358</v>
      </c>
      <c r="B399" s="5" t="s">
        <v>575</v>
      </c>
      <c r="C399" s="24">
        <v>19.5</v>
      </c>
      <c r="D399" s="22">
        <f t="array" ref="D399">IF(F399="n/a","—",IF(_xlfn.XLOOKUP(TRIM(SUBSTITUTE(A399,_xlfn.UNICHAR(160)," ")),TRIM(SUBSTITUTE('worker file'!$A$2:$A$406,_xlfn.UNICHAR(160)," ")),'worker file'!$L$2:$L$406,"")="US Biweekly",$I$3,$I$2))</f>
        <v>46298</v>
      </c>
      <c r="E399" s="5" t="s">
        <v>576</v>
      </c>
      <c r="F399" s="5" t="s">
        <v>554</v>
      </c>
    </row>
    <row r="400" spans="1:6" ht="16" x14ac:dyDescent="0.2">
      <c r="A400" s="5" t="s">
        <v>359</v>
      </c>
      <c r="B400" s="5" t="s">
        <v>568</v>
      </c>
      <c r="C400" s="21" t="s">
        <v>569</v>
      </c>
      <c r="D400" s="22" t="str">
        <f t="array" ref="D400">IF(F400="n/a","—",IF(_xlfn.XLOOKUP(TRIM(SUBSTITUTE(A400,_xlfn.UNICHAR(160)," ")),TRIM(SUBSTITUTE('worker file'!$A$2:$A$406,_xlfn.UNICHAR(160)," ")),'worker file'!$L$2:$L$406,"")="US Biweekly",$I$3,$I$2))</f>
        <v>—</v>
      </c>
      <c r="E400" s="5" t="s">
        <v>570</v>
      </c>
      <c r="F400" s="5" t="s">
        <v>550</v>
      </c>
    </row>
    <row r="401" spans="1:6" ht="16" x14ac:dyDescent="0.2">
      <c r="A401" s="5" t="s">
        <v>359</v>
      </c>
      <c r="B401" s="5" t="s">
        <v>566</v>
      </c>
      <c r="C401" s="24">
        <v>59</v>
      </c>
      <c r="D401" s="22">
        <f t="array" ref="D401">IF(F401="n/a","—",IF(_xlfn.XLOOKUP(TRIM(SUBSTITUTE(A401,_xlfn.UNICHAR(160)," ")),TRIM(SUBSTITUTE('worker file'!$A$2:$A$406,_xlfn.UNICHAR(160)," ")),'worker file'!$L$2:$L$406,"")="US Biweekly",$I$3,$I$2))</f>
        <v>46295</v>
      </c>
      <c r="E401" s="5" t="s">
        <v>571</v>
      </c>
      <c r="F401" s="5" t="s">
        <v>554</v>
      </c>
    </row>
    <row r="402" spans="1:6" ht="16" x14ac:dyDescent="0.2">
      <c r="A402" s="5" t="s">
        <v>360</v>
      </c>
      <c r="B402" s="5" t="s">
        <v>588</v>
      </c>
      <c r="C402" s="25">
        <v>13</v>
      </c>
      <c r="D402" s="22">
        <f t="array" ref="D402">IF(F402="n/a","—",IF(_xlfn.XLOOKUP(TRIM(SUBSTITUTE(A402,_xlfn.UNICHAR(160)," ")),TRIM(SUBSTITUTE('worker file'!$A$2:$A$406,_xlfn.UNICHAR(160)," ")),'worker file'!$L$2:$L$406,"")="US Biweekly",$I$3,$I$2))</f>
        <v>46295</v>
      </c>
      <c r="E402" s="5" t="s">
        <v>589</v>
      </c>
      <c r="F402" s="5" t="s">
        <v>559</v>
      </c>
    </row>
    <row r="403" spans="1:6" ht="16" x14ac:dyDescent="0.2">
      <c r="A403" s="5" t="s">
        <v>361</v>
      </c>
      <c r="B403" s="5" t="s">
        <v>568</v>
      </c>
      <c r="C403" s="21" t="s">
        <v>569</v>
      </c>
      <c r="D403" s="22" t="str">
        <f t="array" ref="D403">IF(F403="n/a","—",IF(_xlfn.XLOOKUP(TRIM(SUBSTITUTE(A403,_xlfn.UNICHAR(160)," ")),TRIM(SUBSTITUTE('worker file'!$A$2:$A$406,_xlfn.UNICHAR(160)," ")),'worker file'!$L$2:$L$406,"")="US Biweekly",$I$3,$I$2))</f>
        <v>—</v>
      </c>
      <c r="E403" s="5" t="s">
        <v>570</v>
      </c>
      <c r="F403" s="5" t="s">
        <v>550</v>
      </c>
    </row>
    <row r="404" spans="1:6" ht="16" x14ac:dyDescent="0.2">
      <c r="A404" s="5" t="s">
        <v>361</v>
      </c>
      <c r="B404" s="5" t="s">
        <v>566</v>
      </c>
      <c r="C404" s="24">
        <v>24</v>
      </c>
      <c r="D404" s="22">
        <f t="array" ref="D404">IF(F404="n/a","—",IF(_xlfn.XLOOKUP(TRIM(SUBSTITUTE(A404,_xlfn.UNICHAR(160)," ")),TRIM(SUBSTITUTE('worker file'!$A$2:$A$406,_xlfn.UNICHAR(160)," ")),'worker file'!$L$2:$L$406,"")="US Biweekly",$I$3,$I$2))</f>
        <v>46295</v>
      </c>
      <c r="E404" s="5" t="s">
        <v>599</v>
      </c>
      <c r="F404" s="5" t="s">
        <v>554</v>
      </c>
    </row>
    <row r="405" spans="1:6" ht="16" x14ac:dyDescent="0.2">
      <c r="A405" s="5" t="s">
        <v>362</v>
      </c>
      <c r="B405" s="5" t="s">
        <v>568</v>
      </c>
      <c r="C405" s="21" t="s">
        <v>569</v>
      </c>
      <c r="D405" s="22" t="str">
        <f t="array" ref="D405">IF(F405="n/a","—",IF(_xlfn.XLOOKUP(TRIM(SUBSTITUTE(A405,_xlfn.UNICHAR(160)," ")),TRIM(SUBSTITUTE('worker file'!$A$2:$A$406,_xlfn.UNICHAR(160)," ")),'worker file'!$L$2:$L$406,"")="US Biweekly",$I$3,$I$2))</f>
        <v>—</v>
      </c>
      <c r="E405" s="5" t="s">
        <v>570</v>
      </c>
      <c r="F405" s="5" t="s">
        <v>550</v>
      </c>
    </row>
    <row r="406" spans="1:6" ht="16" x14ac:dyDescent="0.2">
      <c r="A406" s="5" t="s">
        <v>362</v>
      </c>
      <c r="B406" s="5" t="s">
        <v>566</v>
      </c>
      <c r="C406" s="24">
        <v>50</v>
      </c>
      <c r="D406" s="22">
        <f t="array" ref="D406">IF(F406="n/a","—",IF(_xlfn.XLOOKUP(TRIM(SUBSTITUTE(A406,_xlfn.UNICHAR(160)," ")),TRIM(SUBSTITUTE('worker file'!$A$2:$A$406,_xlfn.UNICHAR(160)," ")),'worker file'!$L$2:$L$406,"")="US Biweekly",$I$3,$I$2))</f>
        <v>46295</v>
      </c>
      <c r="E406" s="5" t="s">
        <v>571</v>
      </c>
      <c r="F406" s="5" t="s">
        <v>554</v>
      </c>
    </row>
    <row r="407" spans="1:6" ht="16" x14ac:dyDescent="0.2">
      <c r="A407" s="5" t="s">
        <v>363</v>
      </c>
      <c r="B407" s="5" t="s">
        <v>573</v>
      </c>
      <c r="C407" s="24">
        <v>28.25</v>
      </c>
      <c r="D407" s="22">
        <f t="array" ref="D407">IF(F407="n/a","—",IF(_xlfn.XLOOKUP(TRIM(SUBSTITUTE(A407,_xlfn.UNICHAR(160)," ")),TRIM(SUBSTITUTE('worker file'!$A$2:$A$406,_xlfn.UNICHAR(160)," ")),'worker file'!$L$2:$L$406,"")="US Biweekly",$I$3,$I$2))</f>
        <v>46298</v>
      </c>
      <c r="E407" s="5" t="s">
        <v>574</v>
      </c>
      <c r="F407" s="5" t="s">
        <v>554</v>
      </c>
    </row>
    <row r="408" spans="1:6" ht="16" x14ac:dyDescent="0.2">
      <c r="A408" s="5" t="s">
        <v>363</v>
      </c>
      <c r="B408" s="5" t="s">
        <v>575</v>
      </c>
      <c r="C408" s="24">
        <v>39.25</v>
      </c>
      <c r="D408" s="22">
        <f t="array" ref="D408">IF(F408="n/a","—",IF(_xlfn.XLOOKUP(TRIM(SUBSTITUTE(A408,_xlfn.UNICHAR(160)," ")),TRIM(SUBSTITUTE('worker file'!$A$2:$A$406,_xlfn.UNICHAR(160)," ")),'worker file'!$L$2:$L$406,"")="US Biweekly",$I$3,$I$2))</f>
        <v>46298</v>
      </c>
      <c r="E408" s="5" t="s">
        <v>576</v>
      </c>
      <c r="F408" s="5" t="s">
        <v>554</v>
      </c>
    </row>
    <row r="409" spans="1:6" ht="16" x14ac:dyDescent="0.2">
      <c r="A409" s="5" t="s">
        <v>364</v>
      </c>
      <c r="B409" s="5" t="s">
        <v>568</v>
      </c>
      <c r="C409" s="21" t="s">
        <v>569</v>
      </c>
      <c r="D409" s="22" t="str">
        <f t="array" ref="D409">IF(F409="n/a","—",IF(_xlfn.XLOOKUP(TRIM(SUBSTITUTE(A409,_xlfn.UNICHAR(160)," ")),TRIM(SUBSTITUTE('worker file'!$A$2:$A$406,_xlfn.UNICHAR(160)," ")),'worker file'!$L$2:$L$406,"")="US Biweekly",$I$3,$I$2))</f>
        <v>—</v>
      </c>
      <c r="E409" s="5" t="s">
        <v>570</v>
      </c>
      <c r="F409" s="5" t="s">
        <v>550</v>
      </c>
    </row>
    <row r="410" spans="1:6" ht="16" x14ac:dyDescent="0.2">
      <c r="A410" s="5" t="s">
        <v>364</v>
      </c>
      <c r="B410" s="5" t="s">
        <v>590</v>
      </c>
      <c r="C410" s="24">
        <v>35</v>
      </c>
      <c r="D410" s="22">
        <f t="array" ref="D410">IF(F410="n/a","—",IF(_xlfn.XLOOKUP(TRIM(SUBSTITUTE(A410,_xlfn.UNICHAR(160)," ")),TRIM(SUBSTITUTE('worker file'!$A$2:$A$406,_xlfn.UNICHAR(160)," ")),'worker file'!$L$2:$L$406,"")="US Biweekly",$I$3,$I$2))</f>
        <v>46295</v>
      </c>
      <c r="E410" s="5" t="s">
        <v>591</v>
      </c>
      <c r="F410" s="5" t="s">
        <v>554</v>
      </c>
    </row>
    <row r="411" spans="1:6" ht="16" x14ac:dyDescent="0.2">
      <c r="A411" s="5" t="s">
        <v>365</v>
      </c>
      <c r="B411" s="5" t="s">
        <v>584</v>
      </c>
      <c r="C411" s="25">
        <v>10</v>
      </c>
      <c r="D411" s="22">
        <f t="array" ref="D411">IF(F411="n/a","—",IF(_xlfn.XLOOKUP(TRIM(SUBSTITUTE(A411,_xlfn.UNICHAR(160)," ")),TRIM(SUBSTITUTE('worker file'!$A$2:$A$406,_xlfn.UNICHAR(160)," ")),'worker file'!$L$2:$L$406,"")="US Biweekly",$I$3,$I$2))</f>
        <v>46295</v>
      </c>
      <c r="E411" s="5" t="s">
        <v>585</v>
      </c>
      <c r="F411" s="5" t="s">
        <v>559</v>
      </c>
    </row>
    <row r="412" spans="1:6" ht="16" x14ac:dyDescent="0.2">
      <c r="A412" s="5" t="s">
        <v>365</v>
      </c>
      <c r="B412" s="5" t="s">
        <v>586</v>
      </c>
      <c r="C412" s="25">
        <v>8</v>
      </c>
      <c r="D412" s="22">
        <f t="array" ref="D412">IF(F412="n/a","—",IF(_xlfn.XLOOKUP(TRIM(SUBSTITUTE(A412,_xlfn.UNICHAR(160)," ")),TRIM(SUBSTITUTE('worker file'!$A$2:$A$406,_xlfn.UNICHAR(160)," ")),'worker file'!$L$2:$L$406,"")="US Biweekly",$I$3,$I$2))</f>
        <v>46295</v>
      </c>
      <c r="E412" s="5" t="s">
        <v>587</v>
      </c>
      <c r="F412" s="5" t="s">
        <v>559</v>
      </c>
    </row>
    <row r="413" spans="1:6" ht="16" x14ac:dyDescent="0.2">
      <c r="A413" s="5" t="s">
        <v>366</v>
      </c>
      <c r="B413" s="5" t="s">
        <v>584</v>
      </c>
      <c r="C413" s="25">
        <v>3</v>
      </c>
      <c r="D413" s="22">
        <f t="array" ref="D413">IF(F413="n/a","—",IF(_xlfn.XLOOKUP(TRIM(SUBSTITUTE(A413,_xlfn.UNICHAR(160)," ")),TRIM(SUBSTITUTE('worker file'!$A$2:$A$406,_xlfn.UNICHAR(160)," ")),'worker file'!$L$2:$L$406,"")="US Biweekly",$I$3,$I$2))</f>
        <v>46295</v>
      </c>
      <c r="E413" s="5" t="s">
        <v>585</v>
      </c>
      <c r="F413" s="5" t="s">
        <v>559</v>
      </c>
    </row>
    <row r="414" spans="1:6" ht="16" x14ac:dyDescent="0.2">
      <c r="A414" s="5" t="s">
        <v>366</v>
      </c>
      <c r="B414" s="5" t="s">
        <v>586</v>
      </c>
      <c r="C414" s="25">
        <v>5.5</v>
      </c>
      <c r="D414" s="22">
        <f t="array" ref="D414">IF(F414="n/a","—",IF(_xlfn.XLOOKUP(TRIM(SUBSTITUTE(A414,_xlfn.UNICHAR(160)," ")),TRIM(SUBSTITUTE('worker file'!$A$2:$A$406,_xlfn.UNICHAR(160)," ")),'worker file'!$L$2:$L$406,"")="US Biweekly",$I$3,$I$2))</f>
        <v>46295</v>
      </c>
      <c r="E414" s="5" t="s">
        <v>587</v>
      </c>
      <c r="F414" s="5" t="s">
        <v>559</v>
      </c>
    </row>
    <row r="415" spans="1:6" ht="16" x14ac:dyDescent="0.2">
      <c r="A415" s="5" t="s">
        <v>367</v>
      </c>
      <c r="B415" s="5" t="s">
        <v>568</v>
      </c>
      <c r="C415" s="21" t="s">
        <v>569</v>
      </c>
      <c r="D415" s="22" t="str">
        <f t="array" ref="D415">IF(F415="n/a","—",IF(_xlfn.XLOOKUP(TRIM(SUBSTITUTE(A415,_xlfn.UNICHAR(160)," ")),TRIM(SUBSTITUTE('worker file'!$A$2:$A$406,_xlfn.UNICHAR(160)," ")),'worker file'!$L$2:$L$406,"")="US Biweekly",$I$3,$I$2))</f>
        <v>—</v>
      </c>
      <c r="E415" s="5" t="s">
        <v>570</v>
      </c>
      <c r="F415" s="5" t="s">
        <v>550</v>
      </c>
    </row>
    <row r="416" spans="1:6" ht="16" x14ac:dyDescent="0.2">
      <c r="A416" s="5" t="s">
        <v>367</v>
      </c>
      <c r="B416" s="5" t="s">
        <v>566</v>
      </c>
      <c r="C416" s="24">
        <v>44.5</v>
      </c>
      <c r="D416" s="22">
        <f t="array" ref="D416">IF(F416="n/a","—",IF(_xlfn.XLOOKUP(TRIM(SUBSTITUTE(A416,_xlfn.UNICHAR(160)," ")),TRIM(SUBSTITUTE('worker file'!$A$2:$A$406,_xlfn.UNICHAR(160)," ")),'worker file'!$L$2:$L$406,"")="US Biweekly",$I$3,$I$2))</f>
        <v>46295</v>
      </c>
      <c r="E416" s="5" t="s">
        <v>571</v>
      </c>
      <c r="F416" s="5" t="s">
        <v>554</v>
      </c>
    </row>
    <row r="417" spans="1:6" ht="16" x14ac:dyDescent="0.2">
      <c r="A417" s="5" t="s">
        <v>368</v>
      </c>
      <c r="B417" s="5" t="s">
        <v>568</v>
      </c>
      <c r="C417" s="21" t="s">
        <v>569</v>
      </c>
      <c r="D417" s="22" t="str">
        <f t="array" ref="D417">IF(F417="n/a","—",IF(_xlfn.XLOOKUP(TRIM(SUBSTITUTE(A417,_xlfn.UNICHAR(160)," ")),TRIM(SUBSTITUTE('worker file'!$A$2:$A$406,_xlfn.UNICHAR(160)," ")),'worker file'!$L$2:$L$406,"")="US Biweekly",$I$3,$I$2))</f>
        <v>—</v>
      </c>
      <c r="E417" s="5" t="s">
        <v>570</v>
      </c>
      <c r="F417" s="5" t="s">
        <v>550</v>
      </c>
    </row>
    <row r="418" spans="1:6" ht="16" x14ac:dyDescent="0.2">
      <c r="A418" s="5" t="s">
        <v>368</v>
      </c>
      <c r="B418" s="5" t="s">
        <v>566</v>
      </c>
      <c r="C418" s="24">
        <v>29.5</v>
      </c>
      <c r="D418" s="22">
        <f t="array" ref="D418">IF(F418="n/a","—",IF(_xlfn.XLOOKUP(TRIM(SUBSTITUTE(A418,_xlfn.UNICHAR(160)," ")),TRIM(SUBSTITUTE('worker file'!$A$2:$A$406,_xlfn.UNICHAR(160)," ")),'worker file'!$L$2:$L$406,"")="US Biweekly",$I$3,$I$2))</f>
        <v>46295</v>
      </c>
      <c r="E418" s="5" t="s">
        <v>571</v>
      </c>
      <c r="F418" s="5" t="s">
        <v>554</v>
      </c>
    </row>
    <row r="419" spans="1:6" ht="16" x14ac:dyDescent="0.2">
      <c r="A419" s="5" t="s">
        <v>369</v>
      </c>
      <c r="B419" s="5" t="s">
        <v>588</v>
      </c>
      <c r="C419" s="25">
        <v>12</v>
      </c>
      <c r="D419" s="22">
        <f t="array" ref="D419">IF(F419="n/a","—",IF(_xlfn.XLOOKUP(TRIM(SUBSTITUTE(A419,_xlfn.UNICHAR(160)," ")),TRIM(SUBSTITUTE('worker file'!$A$2:$A$406,_xlfn.UNICHAR(160)," ")),'worker file'!$L$2:$L$406,"")="US Biweekly",$I$3,$I$2))</f>
        <v>46295</v>
      </c>
      <c r="E419" s="5" t="s">
        <v>589</v>
      </c>
      <c r="F419" s="5" t="s">
        <v>559</v>
      </c>
    </row>
    <row r="420" spans="1:6" ht="16" x14ac:dyDescent="0.2">
      <c r="A420" s="5" t="s">
        <v>370</v>
      </c>
      <c r="B420" s="5" t="s">
        <v>568</v>
      </c>
      <c r="C420" s="21" t="s">
        <v>569</v>
      </c>
      <c r="D420" s="22" t="str">
        <f t="array" ref="D420">IF(F420="n/a","—",IF(_xlfn.XLOOKUP(TRIM(SUBSTITUTE(A420,_xlfn.UNICHAR(160)," ")),TRIM(SUBSTITUTE('worker file'!$A$2:$A$406,_xlfn.UNICHAR(160)," ")),'worker file'!$L$2:$L$406,"")="US Biweekly",$I$3,$I$2))</f>
        <v>—</v>
      </c>
      <c r="E420" s="5" t="s">
        <v>570</v>
      </c>
      <c r="F420" s="5" t="s">
        <v>550</v>
      </c>
    </row>
    <row r="421" spans="1:6" ht="16" x14ac:dyDescent="0.2">
      <c r="A421" s="5" t="s">
        <v>371</v>
      </c>
      <c r="B421" s="5" t="s">
        <v>568</v>
      </c>
      <c r="C421" s="21" t="s">
        <v>569</v>
      </c>
      <c r="D421" s="22" t="str">
        <f t="array" ref="D421">IF(F421="n/a","—",IF(_xlfn.XLOOKUP(TRIM(SUBSTITUTE(A421,_xlfn.UNICHAR(160)," ")),TRIM(SUBSTITUTE('worker file'!$A$2:$A$406,_xlfn.UNICHAR(160)," ")),'worker file'!$L$2:$L$406,"")="US Biweekly",$I$3,$I$2))</f>
        <v>—</v>
      </c>
      <c r="E421" s="5" t="s">
        <v>570</v>
      </c>
      <c r="F421" s="5" t="s">
        <v>550</v>
      </c>
    </row>
    <row r="422" spans="1:6" ht="16" x14ac:dyDescent="0.2">
      <c r="A422" s="5" t="s">
        <v>372</v>
      </c>
      <c r="B422" s="5" t="s">
        <v>568</v>
      </c>
      <c r="C422" s="21" t="s">
        <v>569</v>
      </c>
      <c r="D422" s="22" t="str">
        <f t="array" ref="D422">IF(F422="n/a","—",IF(_xlfn.XLOOKUP(TRIM(SUBSTITUTE(A422,_xlfn.UNICHAR(160)," ")),TRIM(SUBSTITUTE('worker file'!$A$2:$A$406,_xlfn.UNICHAR(160)," ")),'worker file'!$L$2:$L$406,"")="US Biweekly",$I$3,$I$2))</f>
        <v>—</v>
      </c>
      <c r="E422" s="5" t="s">
        <v>570</v>
      </c>
      <c r="F422" s="5" t="s">
        <v>550</v>
      </c>
    </row>
    <row r="423" spans="1:6" ht="16" x14ac:dyDescent="0.2">
      <c r="A423" s="5" t="s">
        <v>373</v>
      </c>
      <c r="B423" s="5" t="s">
        <v>568</v>
      </c>
      <c r="C423" s="21" t="s">
        <v>569</v>
      </c>
      <c r="D423" s="22" t="str">
        <f t="array" ref="D423">IF(F423="n/a","—",IF(_xlfn.XLOOKUP(TRIM(SUBSTITUTE(A423,_xlfn.UNICHAR(160)," ")),TRIM(SUBSTITUTE('worker file'!$A$2:$A$406,_xlfn.UNICHAR(160)," ")),'worker file'!$L$2:$L$406,"")="US Biweekly",$I$3,$I$2))</f>
        <v>—</v>
      </c>
      <c r="E423" s="5" t="s">
        <v>570</v>
      </c>
      <c r="F423" s="5" t="s">
        <v>550</v>
      </c>
    </row>
    <row r="424" spans="1:6" ht="16" x14ac:dyDescent="0.2">
      <c r="A424" s="5" t="s">
        <v>373</v>
      </c>
      <c r="B424" s="5" t="s">
        <v>566</v>
      </c>
      <c r="C424" s="24">
        <v>67.5</v>
      </c>
      <c r="D424" s="22">
        <f t="array" ref="D424">IF(F424="n/a","—",IF(_xlfn.XLOOKUP(TRIM(SUBSTITUTE(A424,_xlfn.UNICHAR(160)," ")),TRIM(SUBSTITUTE('worker file'!$A$2:$A$406,_xlfn.UNICHAR(160)," ")),'worker file'!$L$2:$L$406,"")="US Biweekly",$I$3,$I$2))</f>
        <v>46295</v>
      </c>
      <c r="E424" s="5" t="s">
        <v>571</v>
      </c>
      <c r="F424" s="5" t="s">
        <v>554</v>
      </c>
    </row>
    <row r="425" spans="1:6" ht="16" x14ac:dyDescent="0.2">
      <c r="A425" s="5" t="s">
        <v>374</v>
      </c>
      <c r="B425" s="5" t="s">
        <v>568</v>
      </c>
      <c r="C425" s="21" t="s">
        <v>569</v>
      </c>
      <c r="D425" s="22" t="str">
        <f t="array" ref="D425">IF(F425="n/a","—",IF(_xlfn.XLOOKUP(TRIM(SUBSTITUTE(A425,_xlfn.UNICHAR(160)," ")),TRIM(SUBSTITUTE('worker file'!$A$2:$A$406,_xlfn.UNICHAR(160)," ")),'worker file'!$L$2:$L$406,"")="US Biweekly",$I$3,$I$2))</f>
        <v>—</v>
      </c>
      <c r="E425" s="5" t="s">
        <v>570</v>
      </c>
      <c r="F425" s="5" t="s">
        <v>550</v>
      </c>
    </row>
    <row r="426" spans="1:6" ht="16" x14ac:dyDescent="0.2">
      <c r="A426" s="5" t="s">
        <v>375</v>
      </c>
      <c r="B426" s="5" t="s">
        <v>568</v>
      </c>
      <c r="C426" s="21" t="s">
        <v>569</v>
      </c>
      <c r="D426" s="22" t="str">
        <f t="array" ref="D426">IF(F426="n/a","—",IF(_xlfn.XLOOKUP(TRIM(SUBSTITUTE(A426,_xlfn.UNICHAR(160)," ")),TRIM(SUBSTITUTE('worker file'!$A$2:$A$406,_xlfn.UNICHAR(160)," ")),'worker file'!$L$2:$L$406,"")="US Biweekly",$I$3,$I$2))</f>
        <v>—</v>
      </c>
      <c r="E426" s="5" t="s">
        <v>570</v>
      </c>
      <c r="F426" s="5" t="s">
        <v>550</v>
      </c>
    </row>
    <row r="427" spans="1:6" ht="16" x14ac:dyDescent="0.2">
      <c r="A427" s="5" t="s">
        <v>375</v>
      </c>
      <c r="B427" s="5" t="s">
        <v>566</v>
      </c>
      <c r="C427" s="24">
        <v>29.5</v>
      </c>
      <c r="D427" s="22">
        <f t="array" ref="D427">IF(F427="n/a","—",IF(_xlfn.XLOOKUP(TRIM(SUBSTITUTE(A427,_xlfn.UNICHAR(160)," ")),TRIM(SUBSTITUTE('worker file'!$A$2:$A$406,_xlfn.UNICHAR(160)," ")),'worker file'!$L$2:$L$406,"")="US Biweekly",$I$3,$I$2))</f>
        <v>46295</v>
      </c>
      <c r="E427" s="5" t="s">
        <v>571</v>
      </c>
      <c r="F427" s="5" t="s">
        <v>554</v>
      </c>
    </row>
    <row r="428" spans="1:6" ht="16" x14ac:dyDescent="0.2">
      <c r="A428" s="5" t="s">
        <v>376</v>
      </c>
      <c r="B428" s="5" t="s">
        <v>573</v>
      </c>
      <c r="C428" s="24">
        <v>17.25</v>
      </c>
      <c r="D428" s="22">
        <f t="array" ref="D428">IF(F428="n/a","—",IF(_xlfn.XLOOKUP(TRIM(SUBSTITUTE(A428,_xlfn.UNICHAR(160)," ")),TRIM(SUBSTITUTE('worker file'!$A$2:$A$406,_xlfn.UNICHAR(160)," ")),'worker file'!$L$2:$L$406,"")="US Biweekly",$I$3,$I$2))</f>
        <v>46298</v>
      </c>
      <c r="E428" s="5" t="s">
        <v>574</v>
      </c>
      <c r="F428" s="5" t="s">
        <v>554</v>
      </c>
    </row>
    <row r="429" spans="1:6" ht="16" x14ac:dyDescent="0.2">
      <c r="A429" s="5" t="s">
        <v>376</v>
      </c>
      <c r="B429" s="5" t="s">
        <v>575</v>
      </c>
      <c r="C429" s="24">
        <v>27.25</v>
      </c>
      <c r="D429" s="22">
        <f t="array" ref="D429">IF(F429="n/a","—",IF(_xlfn.XLOOKUP(TRIM(SUBSTITUTE(A429,_xlfn.UNICHAR(160)," ")),TRIM(SUBSTITUTE('worker file'!$A$2:$A$406,_xlfn.UNICHAR(160)," ")),'worker file'!$L$2:$L$406,"")="US Biweekly",$I$3,$I$2))</f>
        <v>46298</v>
      </c>
      <c r="E429" s="5" t="s">
        <v>576</v>
      </c>
      <c r="F429" s="5" t="s">
        <v>554</v>
      </c>
    </row>
    <row r="430" spans="1:6" ht="16" x14ac:dyDescent="0.2">
      <c r="A430" s="5" t="s">
        <v>377</v>
      </c>
      <c r="B430" s="5" t="s">
        <v>573</v>
      </c>
      <c r="C430" s="24">
        <v>35.25</v>
      </c>
      <c r="D430" s="22">
        <f t="array" ref="D430">IF(F430="n/a","—",IF(_xlfn.XLOOKUP(TRIM(SUBSTITUTE(A430,_xlfn.UNICHAR(160)," ")),TRIM(SUBSTITUTE('worker file'!$A$2:$A$406,_xlfn.UNICHAR(160)," ")),'worker file'!$L$2:$L$406,"")="US Biweekly",$I$3,$I$2))</f>
        <v>46298</v>
      </c>
      <c r="E430" s="5" t="s">
        <v>574</v>
      </c>
      <c r="F430" s="5" t="s">
        <v>554</v>
      </c>
    </row>
    <row r="431" spans="1:6" ht="16" x14ac:dyDescent="0.2">
      <c r="A431" s="5" t="s">
        <v>377</v>
      </c>
      <c r="B431" s="5" t="s">
        <v>575</v>
      </c>
      <c r="C431" s="24">
        <v>21</v>
      </c>
      <c r="D431" s="22">
        <f t="array" ref="D431">IF(F431="n/a","—",IF(_xlfn.XLOOKUP(TRIM(SUBSTITUTE(A431,_xlfn.UNICHAR(160)," ")),TRIM(SUBSTITUTE('worker file'!$A$2:$A$406,_xlfn.UNICHAR(160)," ")),'worker file'!$L$2:$L$406,"")="US Biweekly",$I$3,$I$2))</f>
        <v>46298</v>
      </c>
      <c r="E431" s="5" t="s">
        <v>576</v>
      </c>
      <c r="F431" s="5" t="s">
        <v>554</v>
      </c>
    </row>
    <row r="432" spans="1:6" ht="16" x14ac:dyDescent="0.2">
      <c r="A432" s="5" t="s">
        <v>378</v>
      </c>
      <c r="B432" s="5" t="s">
        <v>568</v>
      </c>
      <c r="C432" s="21" t="s">
        <v>569</v>
      </c>
      <c r="D432" s="22" t="str">
        <f t="array" ref="D432">IF(F432="n/a","—",IF(_xlfn.XLOOKUP(TRIM(SUBSTITUTE(A432,_xlfn.UNICHAR(160)," ")),TRIM(SUBSTITUTE('worker file'!$A$2:$A$406,_xlfn.UNICHAR(160)," ")),'worker file'!$L$2:$L$406,"")="US Biweekly",$I$3,$I$2))</f>
        <v>—</v>
      </c>
      <c r="E432" s="5" t="s">
        <v>570</v>
      </c>
      <c r="F432" s="5" t="s">
        <v>550</v>
      </c>
    </row>
    <row r="433" spans="1:6" ht="16" x14ac:dyDescent="0.2">
      <c r="A433" s="5" t="s">
        <v>378</v>
      </c>
      <c r="B433" s="5" t="s">
        <v>566</v>
      </c>
      <c r="C433" s="24">
        <v>66</v>
      </c>
      <c r="D433" s="22">
        <f t="array" ref="D433">IF(F433="n/a","—",IF(_xlfn.XLOOKUP(TRIM(SUBSTITUTE(A433,_xlfn.UNICHAR(160)," ")),TRIM(SUBSTITUTE('worker file'!$A$2:$A$406,_xlfn.UNICHAR(160)," ")),'worker file'!$L$2:$L$406,"")="US Biweekly",$I$3,$I$2))</f>
        <v>46295</v>
      </c>
      <c r="E433" s="5" t="s">
        <v>571</v>
      </c>
      <c r="F433" s="5" t="s">
        <v>554</v>
      </c>
    </row>
    <row r="434" spans="1:6" ht="16" x14ac:dyDescent="0.2">
      <c r="A434" s="5" t="s">
        <v>379</v>
      </c>
      <c r="B434" s="5" t="s">
        <v>573</v>
      </c>
      <c r="C434" s="24">
        <v>32.25</v>
      </c>
      <c r="D434" s="22">
        <f t="array" ref="D434">IF(F434="n/a","—",IF(_xlfn.XLOOKUP(TRIM(SUBSTITUTE(A434,_xlfn.UNICHAR(160)," ")),TRIM(SUBSTITUTE('worker file'!$A$2:$A$406,_xlfn.UNICHAR(160)," ")),'worker file'!$L$2:$L$406,"")="US Biweekly",$I$3,$I$2))</f>
        <v>46298</v>
      </c>
      <c r="E434" s="5" t="s">
        <v>574</v>
      </c>
      <c r="F434" s="5" t="s">
        <v>554</v>
      </c>
    </row>
    <row r="435" spans="1:6" ht="16" x14ac:dyDescent="0.2">
      <c r="A435" s="5" t="s">
        <v>379</v>
      </c>
      <c r="B435" s="5" t="s">
        <v>575</v>
      </c>
      <c r="C435" s="24">
        <v>5.5</v>
      </c>
      <c r="D435" s="22">
        <f t="array" ref="D435">IF(F435="n/a","—",IF(_xlfn.XLOOKUP(TRIM(SUBSTITUTE(A435,_xlfn.UNICHAR(160)," ")),TRIM(SUBSTITUTE('worker file'!$A$2:$A$406,_xlfn.UNICHAR(160)," ")),'worker file'!$L$2:$L$406,"")="US Biweekly",$I$3,$I$2))</f>
        <v>46298</v>
      </c>
      <c r="E435" s="5" t="s">
        <v>576</v>
      </c>
      <c r="F435" s="5" t="s">
        <v>554</v>
      </c>
    </row>
    <row r="436" spans="1:6" ht="16" x14ac:dyDescent="0.2">
      <c r="A436" s="5" t="s">
        <v>380</v>
      </c>
      <c r="B436" s="5" t="s">
        <v>584</v>
      </c>
      <c r="C436" s="25">
        <v>18.5</v>
      </c>
      <c r="D436" s="22">
        <f t="array" ref="D436">IF(F436="n/a","—",IF(_xlfn.XLOOKUP(TRIM(SUBSTITUTE(A436,_xlfn.UNICHAR(160)," ")),TRIM(SUBSTITUTE('worker file'!$A$2:$A$406,_xlfn.UNICHAR(160)," ")),'worker file'!$L$2:$L$406,"")="US Biweekly",$I$3,$I$2))</f>
        <v>46295</v>
      </c>
      <c r="E436" s="5" t="s">
        <v>585</v>
      </c>
      <c r="F436" s="5" t="s">
        <v>559</v>
      </c>
    </row>
    <row r="437" spans="1:6" ht="16" x14ac:dyDescent="0.2">
      <c r="A437" s="5" t="s">
        <v>380</v>
      </c>
      <c r="B437" s="5" t="s">
        <v>586</v>
      </c>
      <c r="C437" s="25">
        <v>5.5</v>
      </c>
      <c r="D437" s="22">
        <f t="array" ref="D437">IF(F437="n/a","—",IF(_xlfn.XLOOKUP(TRIM(SUBSTITUTE(A437,_xlfn.UNICHAR(160)," ")),TRIM(SUBSTITUTE('worker file'!$A$2:$A$406,_xlfn.UNICHAR(160)," ")),'worker file'!$L$2:$L$406,"")="US Biweekly",$I$3,$I$2))</f>
        <v>46295</v>
      </c>
      <c r="E437" s="5" t="s">
        <v>587</v>
      </c>
      <c r="F437" s="5" t="s">
        <v>559</v>
      </c>
    </row>
    <row r="438" spans="1:6" ht="16" x14ac:dyDescent="0.2">
      <c r="A438" s="5" t="s">
        <v>381</v>
      </c>
      <c r="B438" s="5" t="s">
        <v>588</v>
      </c>
      <c r="C438" s="25">
        <v>1.5</v>
      </c>
      <c r="D438" s="22">
        <f t="array" ref="D438">IF(F438="n/a","—",IF(_xlfn.XLOOKUP(TRIM(SUBSTITUTE(A438,_xlfn.UNICHAR(160)," ")),TRIM(SUBSTITUTE('worker file'!$A$2:$A$406,_xlfn.UNICHAR(160)," ")),'worker file'!$L$2:$L$406,"")="US Biweekly",$I$3,$I$2))</f>
        <v>46295</v>
      </c>
      <c r="E438" s="5" t="s">
        <v>589</v>
      </c>
      <c r="F438" s="5" t="s">
        <v>559</v>
      </c>
    </row>
    <row r="439" spans="1:6" ht="16" x14ac:dyDescent="0.2">
      <c r="A439" s="5" t="s">
        <v>382</v>
      </c>
      <c r="B439" s="5" t="s">
        <v>568</v>
      </c>
      <c r="C439" s="21" t="s">
        <v>569</v>
      </c>
      <c r="D439" s="22" t="str">
        <f t="array" ref="D439">IF(F439="n/a","—",IF(_xlfn.XLOOKUP(TRIM(SUBSTITUTE(A439,_xlfn.UNICHAR(160)," ")),TRIM(SUBSTITUTE('worker file'!$A$2:$A$406,_xlfn.UNICHAR(160)," ")),'worker file'!$L$2:$L$406,"")="US Biweekly",$I$3,$I$2))</f>
        <v>—</v>
      </c>
      <c r="E439" s="5" t="s">
        <v>570</v>
      </c>
      <c r="F439" s="5" t="s">
        <v>550</v>
      </c>
    </row>
    <row r="440" spans="1:6" ht="16" x14ac:dyDescent="0.2">
      <c r="A440" s="5" t="s">
        <v>382</v>
      </c>
      <c r="B440" s="5" t="s">
        <v>582</v>
      </c>
      <c r="C440" s="24">
        <v>15.25</v>
      </c>
      <c r="D440" s="22">
        <f t="array" ref="D440">IF(F440="n/a","—",IF(_xlfn.XLOOKUP(TRIM(SUBSTITUTE(A440,_xlfn.UNICHAR(160)," ")),TRIM(SUBSTITUTE('worker file'!$A$2:$A$406,_xlfn.UNICHAR(160)," ")),'worker file'!$L$2:$L$406,"")="US Biweekly",$I$3,$I$2))</f>
        <v>46295</v>
      </c>
      <c r="E440" s="5" t="s">
        <v>583</v>
      </c>
      <c r="F440" s="5" t="s">
        <v>554</v>
      </c>
    </row>
    <row r="441" spans="1:6" ht="16" x14ac:dyDescent="0.2">
      <c r="A441" s="5" t="s">
        <v>383</v>
      </c>
      <c r="B441" s="5" t="s">
        <v>568</v>
      </c>
      <c r="C441" s="21" t="s">
        <v>569</v>
      </c>
      <c r="D441" s="22" t="str">
        <f t="array" ref="D441">IF(F441="n/a","—",IF(_xlfn.XLOOKUP(TRIM(SUBSTITUTE(A441,_xlfn.UNICHAR(160)," ")),TRIM(SUBSTITUTE('worker file'!$A$2:$A$406,_xlfn.UNICHAR(160)," ")),'worker file'!$L$2:$L$406,"")="US Biweekly",$I$3,$I$2))</f>
        <v>—</v>
      </c>
      <c r="E441" s="5" t="s">
        <v>570</v>
      </c>
      <c r="F441" s="5" t="s">
        <v>550</v>
      </c>
    </row>
    <row r="442" spans="1:6" ht="16" x14ac:dyDescent="0.2">
      <c r="A442" s="5" t="s">
        <v>383</v>
      </c>
      <c r="B442" s="5" t="s">
        <v>566</v>
      </c>
      <c r="C442" s="24">
        <v>52.75</v>
      </c>
      <c r="D442" s="22">
        <f t="array" ref="D442">IF(F442="n/a","—",IF(_xlfn.XLOOKUP(TRIM(SUBSTITUTE(A442,_xlfn.UNICHAR(160)," ")),TRIM(SUBSTITUTE('worker file'!$A$2:$A$406,_xlfn.UNICHAR(160)," ")),'worker file'!$L$2:$L$406,"")="US Biweekly",$I$3,$I$2))</f>
        <v>46295</v>
      </c>
      <c r="E442" s="5" t="s">
        <v>571</v>
      </c>
      <c r="F442" s="5" t="s">
        <v>554</v>
      </c>
    </row>
    <row r="443" spans="1:6" ht="16" x14ac:dyDescent="0.2">
      <c r="A443" s="5" t="s">
        <v>384</v>
      </c>
      <c r="B443" s="5" t="s">
        <v>568</v>
      </c>
      <c r="C443" s="21" t="s">
        <v>569</v>
      </c>
      <c r="D443" s="22" t="str">
        <f t="array" ref="D443">IF(F443="n/a","—",IF(_xlfn.XLOOKUP(TRIM(SUBSTITUTE(A443,_xlfn.UNICHAR(160)," ")),TRIM(SUBSTITUTE('worker file'!$A$2:$A$406,_xlfn.UNICHAR(160)," ")),'worker file'!$L$2:$L$406,"")="US Biweekly",$I$3,$I$2))</f>
        <v>—</v>
      </c>
      <c r="E443" s="5" t="s">
        <v>570</v>
      </c>
      <c r="F443" s="5" t="s">
        <v>550</v>
      </c>
    </row>
    <row r="444" spans="1:6" ht="16" x14ac:dyDescent="0.2">
      <c r="A444" s="5" t="s">
        <v>384</v>
      </c>
      <c r="B444" s="5" t="s">
        <v>577</v>
      </c>
      <c r="C444" s="24">
        <v>17.25</v>
      </c>
      <c r="D444" s="22">
        <f t="array" ref="D444">IF(F444="n/a","—",IF(_xlfn.XLOOKUP(TRIM(SUBSTITUTE(A444,_xlfn.UNICHAR(160)," ")),TRIM(SUBSTITUTE('worker file'!$A$2:$A$406,_xlfn.UNICHAR(160)," ")),'worker file'!$L$2:$L$406,"")="US Biweekly",$I$3,$I$2))</f>
        <v>46295</v>
      </c>
      <c r="E444" s="5" t="s">
        <v>578</v>
      </c>
      <c r="F444" s="5" t="s">
        <v>554</v>
      </c>
    </row>
    <row r="445" spans="1:6" ht="16" x14ac:dyDescent="0.2">
      <c r="A445" s="5" t="s">
        <v>385</v>
      </c>
      <c r="B445" s="5" t="s">
        <v>568</v>
      </c>
      <c r="C445" s="21" t="s">
        <v>569</v>
      </c>
      <c r="D445" s="22" t="str">
        <f t="array" ref="D445">IF(F445="n/a","—",IF(_xlfn.XLOOKUP(TRIM(SUBSTITUTE(A445,_xlfn.UNICHAR(160)," ")),TRIM(SUBSTITUTE('worker file'!$A$2:$A$406,_xlfn.UNICHAR(160)," ")),'worker file'!$L$2:$L$406,"")="US Biweekly",$I$3,$I$2))</f>
        <v>—</v>
      </c>
      <c r="E445" s="5" t="s">
        <v>570</v>
      </c>
      <c r="F445" s="5" t="s">
        <v>550</v>
      </c>
    </row>
    <row r="446" spans="1:6" ht="16" x14ac:dyDescent="0.2">
      <c r="A446" s="5" t="s">
        <v>386</v>
      </c>
      <c r="B446" s="5" t="s">
        <v>568</v>
      </c>
      <c r="C446" s="21" t="s">
        <v>569</v>
      </c>
      <c r="D446" s="22" t="str">
        <f t="array" ref="D446">IF(F446="n/a","—",IF(_xlfn.XLOOKUP(TRIM(SUBSTITUTE(A446,_xlfn.UNICHAR(160)," ")),TRIM(SUBSTITUTE('worker file'!$A$2:$A$406,_xlfn.UNICHAR(160)," ")),'worker file'!$L$2:$L$406,"")="US Biweekly",$I$3,$I$2))</f>
        <v>—</v>
      </c>
      <c r="E446" s="5" t="s">
        <v>570</v>
      </c>
      <c r="F446" s="5" t="s">
        <v>550</v>
      </c>
    </row>
    <row r="447" spans="1:6" ht="16" x14ac:dyDescent="0.2">
      <c r="A447" s="5" t="s">
        <v>386</v>
      </c>
      <c r="B447" s="5" t="s">
        <v>566</v>
      </c>
      <c r="C447" s="24">
        <v>56</v>
      </c>
      <c r="D447" s="22">
        <f t="array" ref="D447">IF(F447="n/a","—",IF(_xlfn.XLOOKUP(TRIM(SUBSTITUTE(A447,_xlfn.UNICHAR(160)," ")),TRIM(SUBSTITUTE('worker file'!$A$2:$A$406,_xlfn.UNICHAR(160)," ")),'worker file'!$L$2:$L$406,"")="US Biweekly",$I$3,$I$2))</f>
        <v>46295</v>
      </c>
      <c r="E447" s="5" t="s">
        <v>571</v>
      </c>
      <c r="F447" s="5" t="s">
        <v>554</v>
      </c>
    </row>
    <row r="448" spans="1:6" ht="16" x14ac:dyDescent="0.2">
      <c r="A448" s="5" t="s">
        <v>387</v>
      </c>
      <c r="B448" s="5" t="s">
        <v>568</v>
      </c>
      <c r="C448" s="21" t="s">
        <v>569</v>
      </c>
      <c r="D448" s="22" t="str">
        <f t="array" ref="D448">IF(F448="n/a","—",IF(_xlfn.XLOOKUP(TRIM(SUBSTITUTE(A448,_xlfn.UNICHAR(160)," ")),TRIM(SUBSTITUTE('worker file'!$A$2:$A$406,_xlfn.UNICHAR(160)," ")),'worker file'!$L$2:$L$406,"")="US Biweekly",$I$3,$I$2))</f>
        <v>—</v>
      </c>
      <c r="E448" s="5" t="s">
        <v>570</v>
      </c>
      <c r="F448" s="5" t="s">
        <v>550</v>
      </c>
    </row>
    <row r="449" spans="1:6" ht="16" x14ac:dyDescent="0.2">
      <c r="A449" s="5" t="s">
        <v>388</v>
      </c>
      <c r="B449" s="5" t="s">
        <v>568</v>
      </c>
      <c r="C449" s="21" t="s">
        <v>569</v>
      </c>
      <c r="D449" s="22" t="str">
        <f t="array" ref="D449">IF(F449="n/a","—",IF(_xlfn.XLOOKUP(TRIM(SUBSTITUTE(A449,_xlfn.UNICHAR(160)," ")),TRIM(SUBSTITUTE('worker file'!$A$2:$A$406,_xlfn.UNICHAR(160)," ")),'worker file'!$L$2:$L$406,"")="US Biweekly",$I$3,$I$2))</f>
        <v>—</v>
      </c>
      <c r="E449" s="5" t="s">
        <v>570</v>
      </c>
      <c r="F449" s="5" t="s">
        <v>550</v>
      </c>
    </row>
    <row r="450" spans="1:6" ht="16" x14ac:dyDescent="0.2">
      <c r="A450" s="5" t="s">
        <v>388</v>
      </c>
      <c r="B450" s="5" t="s">
        <v>566</v>
      </c>
      <c r="C450" s="24">
        <v>46</v>
      </c>
      <c r="D450" s="22">
        <f t="array" ref="D450">IF(F450="n/a","—",IF(_xlfn.XLOOKUP(TRIM(SUBSTITUTE(A450,_xlfn.UNICHAR(160)," ")),TRIM(SUBSTITUTE('worker file'!$A$2:$A$406,_xlfn.UNICHAR(160)," ")),'worker file'!$L$2:$L$406,"")="US Biweekly",$I$3,$I$2))</f>
        <v>46295</v>
      </c>
      <c r="E450" s="5" t="s">
        <v>571</v>
      </c>
      <c r="F450" s="5" t="s">
        <v>554</v>
      </c>
    </row>
    <row r="451" spans="1:6" ht="16" x14ac:dyDescent="0.2">
      <c r="A451" s="5" t="s">
        <v>389</v>
      </c>
      <c r="B451" s="5" t="s">
        <v>568</v>
      </c>
      <c r="C451" s="21" t="s">
        <v>569</v>
      </c>
      <c r="D451" s="22" t="str">
        <f t="array" ref="D451">IF(F451="n/a","—",IF(_xlfn.XLOOKUP(TRIM(SUBSTITUTE(A451,_xlfn.UNICHAR(160)," ")),TRIM(SUBSTITUTE('worker file'!$A$2:$A$406,_xlfn.UNICHAR(160)," ")),'worker file'!$L$2:$L$406,"")="US Biweekly",$I$3,$I$2))</f>
        <v>—</v>
      </c>
      <c r="E451" s="5" t="s">
        <v>570</v>
      </c>
      <c r="F451" s="5" t="s">
        <v>550</v>
      </c>
    </row>
    <row r="452" spans="1:6" ht="16" x14ac:dyDescent="0.2">
      <c r="A452" s="5" t="s">
        <v>389</v>
      </c>
      <c r="B452" s="5" t="s">
        <v>566</v>
      </c>
      <c r="C452" s="24">
        <v>60.5</v>
      </c>
      <c r="D452" s="22">
        <f t="array" ref="D452">IF(F452="n/a","—",IF(_xlfn.XLOOKUP(TRIM(SUBSTITUTE(A452,_xlfn.UNICHAR(160)," ")),TRIM(SUBSTITUTE('worker file'!$A$2:$A$406,_xlfn.UNICHAR(160)," ")),'worker file'!$L$2:$L$406,"")="US Biweekly",$I$3,$I$2))</f>
        <v>46295</v>
      </c>
      <c r="E452" s="5" t="s">
        <v>571</v>
      </c>
      <c r="F452" s="5" t="s">
        <v>554</v>
      </c>
    </row>
    <row r="453" spans="1:6" ht="16" x14ac:dyDescent="0.2">
      <c r="A453" s="5" t="s">
        <v>390</v>
      </c>
      <c r="B453" s="5" t="s">
        <v>568</v>
      </c>
      <c r="C453" s="21" t="s">
        <v>569</v>
      </c>
      <c r="D453" s="22" t="str">
        <f t="array" ref="D453">IF(F453="n/a","—",IF(_xlfn.XLOOKUP(TRIM(SUBSTITUTE(A453,_xlfn.UNICHAR(160)," ")),TRIM(SUBSTITUTE('worker file'!$A$2:$A$406,_xlfn.UNICHAR(160)," ")),'worker file'!$L$2:$L$406,"")="US Biweekly",$I$3,$I$2))</f>
        <v>—</v>
      </c>
      <c r="E453" s="5" t="s">
        <v>570</v>
      </c>
      <c r="F453" s="5" t="s">
        <v>550</v>
      </c>
    </row>
    <row r="454" spans="1:6" ht="16" x14ac:dyDescent="0.2">
      <c r="A454" s="5" t="s">
        <v>390</v>
      </c>
      <c r="B454" s="5" t="s">
        <v>566</v>
      </c>
      <c r="C454" s="24">
        <v>24.5</v>
      </c>
      <c r="D454" s="22">
        <f t="array" ref="D454">IF(F454="n/a","—",IF(_xlfn.XLOOKUP(TRIM(SUBSTITUTE(A454,_xlfn.UNICHAR(160)," ")),TRIM(SUBSTITUTE('worker file'!$A$2:$A$406,_xlfn.UNICHAR(160)," ")),'worker file'!$L$2:$L$406,"")="US Biweekly",$I$3,$I$2))</f>
        <v>46295</v>
      </c>
      <c r="E454" s="5" t="s">
        <v>571</v>
      </c>
      <c r="F454" s="5" t="s">
        <v>554</v>
      </c>
    </row>
    <row r="455" spans="1:6" ht="16" x14ac:dyDescent="0.2">
      <c r="A455" s="5" t="s">
        <v>391</v>
      </c>
      <c r="B455" s="5" t="s">
        <v>588</v>
      </c>
      <c r="C455" s="25">
        <v>4</v>
      </c>
      <c r="D455" s="22">
        <f t="array" ref="D455">IF(F455="n/a","—",IF(_xlfn.XLOOKUP(TRIM(SUBSTITUTE(A455,_xlfn.UNICHAR(160)," ")),TRIM(SUBSTITUTE('worker file'!$A$2:$A$406,_xlfn.UNICHAR(160)," ")),'worker file'!$L$2:$L$406,"")="US Biweekly",$I$3,$I$2))</f>
        <v>46295</v>
      </c>
      <c r="E455" s="5" t="s">
        <v>589</v>
      </c>
      <c r="F455" s="5" t="s">
        <v>559</v>
      </c>
    </row>
    <row r="456" spans="1:6" ht="16" x14ac:dyDescent="0.2">
      <c r="A456" s="5" t="s">
        <v>392</v>
      </c>
      <c r="B456" s="5" t="s">
        <v>568</v>
      </c>
      <c r="C456" s="21" t="s">
        <v>569</v>
      </c>
      <c r="D456" s="22" t="str">
        <f t="array" ref="D456">IF(F456="n/a","—",IF(_xlfn.XLOOKUP(TRIM(SUBSTITUTE(A456,_xlfn.UNICHAR(160)," ")),TRIM(SUBSTITUTE('worker file'!$A$2:$A$406,_xlfn.UNICHAR(160)," ")),'worker file'!$L$2:$L$406,"")="US Biweekly",$I$3,$I$2))</f>
        <v>—</v>
      </c>
      <c r="E456" s="5" t="s">
        <v>570</v>
      </c>
      <c r="F456" s="5" t="s">
        <v>550</v>
      </c>
    </row>
    <row r="457" spans="1:6" ht="16" x14ac:dyDescent="0.2">
      <c r="A457" s="5" t="s">
        <v>393</v>
      </c>
      <c r="B457" s="5" t="s">
        <v>568</v>
      </c>
      <c r="C457" s="21" t="s">
        <v>569</v>
      </c>
      <c r="D457" s="22" t="str">
        <f t="array" ref="D457">IF(F457="n/a","—",IF(_xlfn.XLOOKUP(TRIM(SUBSTITUTE(A457,_xlfn.UNICHAR(160)," ")),TRIM(SUBSTITUTE('worker file'!$A$2:$A$406,_xlfn.UNICHAR(160)," ")),'worker file'!$L$2:$L$406,"")="US Biweekly",$I$3,$I$2))</f>
        <v>—</v>
      </c>
      <c r="E457" s="5" t="s">
        <v>570</v>
      </c>
      <c r="F457" s="5" t="s">
        <v>550</v>
      </c>
    </row>
    <row r="458" spans="1:6" ht="16" x14ac:dyDescent="0.2">
      <c r="A458" s="5" t="s">
        <v>393</v>
      </c>
      <c r="B458" s="5" t="s">
        <v>566</v>
      </c>
      <c r="C458" s="24">
        <v>30.75</v>
      </c>
      <c r="D458" s="22">
        <f t="array" ref="D458">IF(F458="n/a","—",IF(_xlfn.XLOOKUP(TRIM(SUBSTITUTE(A458,_xlfn.UNICHAR(160)," ")),TRIM(SUBSTITUTE('worker file'!$A$2:$A$406,_xlfn.UNICHAR(160)," ")),'worker file'!$L$2:$L$406,"")="US Biweekly",$I$3,$I$2))</f>
        <v>46295</v>
      </c>
      <c r="E458" s="5" t="s">
        <v>571</v>
      </c>
      <c r="F458" s="5" t="s">
        <v>554</v>
      </c>
    </row>
    <row r="459" spans="1:6" ht="16" x14ac:dyDescent="0.2">
      <c r="A459" s="5" t="s">
        <v>394</v>
      </c>
      <c r="B459" s="5" t="s">
        <v>568</v>
      </c>
      <c r="C459" s="21" t="s">
        <v>569</v>
      </c>
      <c r="D459" s="22" t="str">
        <f t="array" ref="D459">IF(F459="n/a","—",IF(_xlfn.XLOOKUP(TRIM(SUBSTITUTE(A459,_xlfn.UNICHAR(160)," ")),TRIM(SUBSTITUTE('worker file'!$A$2:$A$406,_xlfn.UNICHAR(160)," ")),'worker file'!$L$2:$L$406,"")="US Biweekly",$I$3,$I$2))</f>
        <v>—</v>
      </c>
      <c r="E459" s="5" t="s">
        <v>570</v>
      </c>
      <c r="F459" s="5" t="s">
        <v>550</v>
      </c>
    </row>
    <row r="460" spans="1:6" ht="16" x14ac:dyDescent="0.2">
      <c r="A460" s="5" t="s">
        <v>394</v>
      </c>
      <c r="B460" s="5" t="s">
        <v>566</v>
      </c>
      <c r="C460" s="24">
        <v>30.75</v>
      </c>
      <c r="D460" s="22">
        <f t="array" ref="D460">IF(F460="n/a","—",IF(_xlfn.XLOOKUP(TRIM(SUBSTITUTE(A460,_xlfn.UNICHAR(160)," ")),TRIM(SUBSTITUTE('worker file'!$A$2:$A$406,_xlfn.UNICHAR(160)," ")),'worker file'!$L$2:$L$406,"")="US Biweekly",$I$3,$I$2))</f>
        <v>46295</v>
      </c>
      <c r="E460" s="5" t="s">
        <v>571</v>
      </c>
      <c r="F460" s="5" t="s">
        <v>554</v>
      </c>
    </row>
    <row r="461" spans="1:6" ht="16" x14ac:dyDescent="0.2">
      <c r="A461" s="5" t="s">
        <v>396</v>
      </c>
      <c r="B461" s="5" t="s">
        <v>568</v>
      </c>
      <c r="C461" s="21" t="s">
        <v>569</v>
      </c>
      <c r="D461" s="22" t="str">
        <f t="array" ref="D461">IF(F461="n/a","—",IF(_xlfn.XLOOKUP(TRIM(SUBSTITUTE(A461,_xlfn.UNICHAR(160)," ")),TRIM(SUBSTITUTE('worker file'!$A$2:$A$406,_xlfn.UNICHAR(160)," ")),'worker file'!$L$2:$L$406,"")="US Biweekly",$I$3,$I$2))</f>
        <v>—</v>
      </c>
      <c r="E461" s="5" t="s">
        <v>570</v>
      </c>
      <c r="F461" s="5" t="s">
        <v>550</v>
      </c>
    </row>
    <row r="462" spans="1:6" ht="16" x14ac:dyDescent="0.2">
      <c r="A462" s="5" t="s">
        <v>397</v>
      </c>
      <c r="B462" s="5" t="s">
        <v>568</v>
      </c>
      <c r="C462" s="21" t="s">
        <v>569</v>
      </c>
      <c r="D462" s="22" t="str">
        <f t="array" ref="D462">IF(F462="n/a","—",IF(_xlfn.XLOOKUP(TRIM(SUBSTITUTE(A462,_xlfn.UNICHAR(160)," ")),TRIM(SUBSTITUTE('worker file'!$A$2:$A$406,_xlfn.UNICHAR(160)," ")),'worker file'!$L$2:$L$406,"")="US Biweekly",$I$3,$I$2))</f>
        <v>—</v>
      </c>
      <c r="E462" s="5" t="s">
        <v>570</v>
      </c>
      <c r="F462" s="5" t="s">
        <v>550</v>
      </c>
    </row>
    <row r="463" spans="1:6" ht="16" x14ac:dyDescent="0.2">
      <c r="A463" s="5" t="s">
        <v>397</v>
      </c>
      <c r="B463" s="5" t="s">
        <v>566</v>
      </c>
      <c r="C463" s="24">
        <v>29</v>
      </c>
      <c r="D463" s="22">
        <f t="array" ref="D463">IF(F463="n/a","—",IF(_xlfn.XLOOKUP(TRIM(SUBSTITUTE(A463,_xlfn.UNICHAR(160)," ")),TRIM(SUBSTITUTE('worker file'!$A$2:$A$406,_xlfn.UNICHAR(160)," ")),'worker file'!$L$2:$L$406,"")="US Biweekly",$I$3,$I$2))</f>
        <v>46295</v>
      </c>
      <c r="E463" s="5" t="s">
        <v>571</v>
      </c>
      <c r="F463" s="5" t="s">
        <v>554</v>
      </c>
    </row>
    <row r="464" spans="1:6" ht="16" x14ac:dyDescent="0.2">
      <c r="A464" s="5" t="s">
        <v>399</v>
      </c>
      <c r="B464" s="5" t="s">
        <v>588</v>
      </c>
      <c r="C464" s="25">
        <v>8</v>
      </c>
      <c r="D464" s="22">
        <f t="array" ref="D464">IF(F464="n/a","—",IF(_xlfn.XLOOKUP(TRIM(SUBSTITUTE(A464,_xlfn.UNICHAR(160)," ")),TRIM(SUBSTITUTE('worker file'!$A$2:$A$406,_xlfn.UNICHAR(160)," ")),'worker file'!$L$2:$L$406,"")="US Biweekly",$I$3,$I$2))</f>
        <v>46295</v>
      </c>
      <c r="E464" s="5" t="s">
        <v>589</v>
      </c>
      <c r="F464" s="5" t="s">
        <v>559</v>
      </c>
    </row>
    <row r="465" spans="1:6" ht="16" x14ac:dyDescent="0.2">
      <c r="A465" s="5" t="s">
        <v>400</v>
      </c>
      <c r="B465" s="5" t="s">
        <v>568</v>
      </c>
      <c r="C465" s="21" t="s">
        <v>569</v>
      </c>
      <c r="D465" s="22" t="str">
        <f t="array" ref="D465">IF(F465="n/a","—",IF(_xlfn.XLOOKUP(TRIM(SUBSTITUTE(A465,_xlfn.UNICHAR(160)," ")),TRIM(SUBSTITUTE('worker file'!$A$2:$A$406,_xlfn.UNICHAR(160)," ")),'worker file'!$L$2:$L$406,"")="US Biweekly",$I$3,$I$2))</f>
        <v>—</v>
      </c>
      <c r="E465" s="5" t="s">
        <v>570</v>
      </c>
      <c r="F465" s="5" t="s">
        <v>550</v>
      </c>
    </row>
    <row r="466" spans="1:6" ht="16" x14ac:dyDescent="0.2">
      <c r="A466" s="5" t="s">
        <v>401</v>
      </c>
      <c r="B466" s="5" t="s">
        <v>568</v>
      </c>
      <c r="C466" s="21" t="s">
        <v>569</v>
      </c>
      <c r="D466" s="22" t="str">
        <f t="array" ref="D466">IF(F466="n/a","—",IF(_xlfn.XLOOKUP(TRIM(SUBSTITUTE(A466,_xlfn.UNICHAR(160)," ")),TRIM(SUBSTITUTE('worker file'!$A$2:$A$406,_xlfn.UNICHAR(160)," ")),'worker file'!$L$2:$L$406,"")="US Biweekly",$I$3,$I$2))</f>
        <v>—</v>
      </c>
      <c r="E466" s="5" t="s">
        <v>570</v>
      </c>
      <c r="F466" s="5" t="s">
        <v>550</v>
      </c>
    </row>
    <row r="467" spans="1:6" ht="16" x14ac:dyDescent="0.2">
      <c r="A467" s="5" t="s">
        <v>401</v>
      </c>
      <c r="B467" s="5" t="s">
        <v>566</v>
      </c>
      <c r="C467" s="24">
        <v>39.25</v>
      </c>
      <c r="D467" s="22">
        <f t="array" ref="D467">IF(F467="n/a","—",IF(_xlfn.XLOOKUP(TRIM(SUBSTITUTE(A467,_xlfn.UNICHAR(160)," ")),TRIM(SUBSTITUTE('worker file'!$A$2:$A$406,_xlfn.UNICHAR(160)," ")),'worker file'!$L$2:$L$406,"")="US Biweekly",$I$3,$I$2))</f>
        <v>46295</v>
      </c>
      <c r="E467" s="5" t="s">
        <v>571</v>
      </c>
      <c r="F467" s="5" t="s">
        <v>554</v>
      </c>
    </row>
    <row r="468" spans="1:6" ht="16" x14ac:dyDescent="0.2">
      <c r="A468" s="5" t="s">
        <v>403</v>
      </c>
      <c r="B468" s="5" t="s">
        <v>573</v>
      </c>
      <c r="C468" s="24">
        <v>27.5</v>
      </c>
      <c r="D468" s="22">
        <f t="array" ref="D468">IF(F468="n/a","—",IF(_xlfn.XLOOKUP(TRIM(SUBSTITUTE(A468,_xlfn.UNICHAR(160)," ")),TRIM(SUBSTITUTE('worker file'!$A$2:$A$406,_xlfn.UNICHAR(160)," ")),'worker file'!$L$2:$L$406,"")="US Biweekly",$I$3,$I$2))</f>
        <v>46298</v>
      </c>
      <c r="E468" s="5" t="s">
        <v>574</v>
      </c>
      <c r="F468" s="5" t="s">
        <v>554</v>
      </c>
    </row>
    <row r="469" spans="1:6" ht="16" x14ac:dyDescent="0.2">
      <c r="A469" s="5" t="s">
        <v>403</v>
      </c>
      <c r="B469" s="5" t="s">
        <v>566</v>
      </c>
      <c r="C469" s="24">
        <v>35.5</v>
      </c>
      <c r="D469" s="22">
        <f t="array" ref="D469">IF(F469="n/a","—",IF(_xlfn.XLOOKUP(TRIM(SUBSTITUTE(A469,_xlfn.UNICHAR(160)," ")),TRIM(SUBSTITUTE('worker file'!$A$2:$A$406,_xlfn.UNICHAR(160)," ")),'worker file'!$L$2:$L$406,"")="US Biweekly",$I$3,$I$2))</f>
        <v>46298</v>
      </c>
      <c r="E469" s="5" t="s">
        <v>571</v>
      </c>
      <c r="F469" s="5" t="s">
        <v>554</v>
      </c>
    </row>
    <row r="470" spans="1:6" ht="16" x14ac:dyDescent="0.2">
      <c r="A470" s="5" t="s">
        <v>404</v>
      </c>
      <c r="B470" s="5" t="s">
        <v>588</v>
      </c>
      <c r="C470" s="25">
        <v>8.5</v>
      </c>
      <c r="D470" s="22">
        <f t="array" ref="D470">IF(F470="n/a","—",IF(_xlfn.XLOOKUP(TRIM(SUBSTITUTE(A470,_xlfn.UNICHAR(160)," ")),TRIM(SUBSTITUTE('worker file'!$A$2:$A$406,_xlfn.UNICHAR(160)," ")),'worker file'!$L$2:$L$406,"")="US Biweekly",$I$3,$I$2))</f>
        <v>46295</v>
      </c>
      <c r="E470" s="5" t="s">
        <v>589</v>
      </c>
      <c r="F470" s="5" t="s">
        <v>559</v>
      </c>
    </row>
    <row r="471" spans="1:6" ht="16" x14ac:dyDescent="0.2">
      <c r="A471" s="5" t="s">
        <v>405</v>
      </c>
      <c r="B471" s="5" t="s">
        <v>573</v>
      </c>
      <c r="C471" s="24">
        <v>21.5</v>
      </c>
      <c r="D471" s="22">
        <f t="array" ref="D471">IF(F471="n/a","—",IF(_xlfn.XLOOKUP(TRIM(SUBSTITUTE(A471,_xlfn.UNICHAR(160)," ")),TRIM(SUBSTITUTE('worker file'!$A$2:$A$406,_xlfn.UNICHAR(160)," ")),'worker file'!$L$2:$L$406,"")="US Biweekly",$I$3,$I$2))</f>
        <v>46298</v>
      </c>
      <c r="E471" s="5" t="s">
        <v>574</v>
      </c>
      <c r="F471" s="5" t="s">
        <v>554</v>
      </c>
    </row>
    <row r="472" spans="1:6" ht="16" x14ac:dyDescent="0.2">
      <c r="A472" s="5" t="s">
        <v>405</v>
      </c>
      <c r="B472" s="5" t="s">
        <v>575</v>
      </c>
      <c r="C472" s="24">
        <v>4</v>
      </c>
      <c r="D472" s="22">
        <f t="array" ref="D472">IF(F472="n/a","—",IF(_xlfn.XLOOKUP(TRIM(SUBSTITUTE(A472,_xlfn.UNICHAR(160)," ")),TRIM(SUBSTITUTE('worker file'!$A$2:$A$406,_xlfn.UNICHAR(160)," ")),'worker file'!$L$2:$L$406,"")="US Biweekly",$I$3,$I$2))</f>
        <v>46298</v>
      </c>
      <c r="E472" s="5" t="s">
        <v>576</v>
      </c>
      <c r="F472" s="5" t="s">
        <v>554</v>
      </c>
    </row>
    <row r="473" spans="1:6" ht="16" x14ac:dyDescent="0.2">
      <c r="A473" s="5" t="s">
        <v>406</v>
      </c>
      <c r="B473" s="5" t="s">
        <v>588</v>
      </c>
      <c r="C473" s="25">
        <v>0</v>
      </c>
      <c r="D473" s="22">
        <f t="array" ref="D473">IF(F473="n/a","—",IF(_xlfn.XLOOKUP(TRIM(SUBSTITUTE(A473,_xlfn.UNICHAR(160)," ")),TRIM(SUBSTITUTE('worker file'!$A$2:$A$406,_xlfn.UNICHAR(160)," ")),'worker file'!$L$2:$L$406,"")="US Biweekly",$I$3,$I$2))</f>
        <v>46295</v>
      </c>
      <c r="E473" s="5" t="s">
        <v>589</v>
      </c>
      <c r="F473" s="5" t="s">
        <v>559</v>
      </c>
    </row>
    <row r="474" spans="1:6" ht="16" x14ac:dyDescent="0.2">
      <c r="A474" s="5" t="s">
        <v>407</v>
      </c>
      <c r="B474" s="5" t="s">
        <v>568</v>
      </c>
      <c r="C474" s="21" t="s">
        <v>569</v>
      </c>
      <c r="D474" s="22" t="str">
        <f t="array" ref="D474">IF(F474="n/a","—",IF(_xlfn.XLOOKUP(TRIM(SUBSTITUTE(A474,_xlfn.UNICHAR(160)," ")),TRIM(SUBSTITUTE('worker file'!$A$2:$A$406,_xlfn.UNICHAR(160)," ")),'worker file'!$L$2:$L$406,"")="US Biweekly",$I$3,$I$2))</f>
        <v>—</v>
      </c>
      <c r="E474" s="5" t="s">
        <v>570</v>
      </c>
      <c r="F474" s="5" t="s">
        <v>550</v>
      </c>
    </row>
    <row r="475" spans="1:6" ht="16" x14ac:dyDescent="0.2">
      <c r="A475" s="5" t="s">
        <v>407</v>
      </c>
      <c r="B475" s="5" t="s">
        <v>582</v>
      </c>
      <c r="C475" s="24">
        <v>17.75</v>
      </c>
      <c r="D475" s="22">
        <f t="array" ref="D475">IF(F475="n/a","—",IF(_xlfn.XLOOKUP(TRIM(SUBSTITUTE(A475,_xlfn.UNICHAR(160)," ")),TRIM(SUBSTITUTE('worker file'!$A$2:$A$406,_xlfn.UNICHAR(160)," ")),'worker file'!$L$2:$L$406,"")="US Biweekly",$I$3,$I$2))</f>
        <v>46295</v>
      </c>
      <c r="E475" s="5" t="s">
        <v>583</v>
      </c>
      <c r="F475" s="5" t="s">
        <v>554</v>
      </c>
    </row>
    <row r="476" spans="1:6" ht="16" x14ac:dyDescent="0.2">
      <c r="A476" s="5" t="s">
        <v>408</v>
      </c>
      <c r="B476" s="5" t="s">
        <v>568</v>
      </c>
      <c r="C476" s="21" t="s">
        <v>569</v>
      </c>
      <c r="D476" s="22" t="str">
        <f t="array" ref="D476">IF(F476="n/a","—",IF(_xlfn.XLOOKUP(TRIM(SUBSTITUTE(A476,_xlfn.UNICHAR(160)," ")),TRIM(SUBSTITUTE('worker file'!$A$2:$A$406,_xlfn.UNICHAR(160)," ")),'worker file'!$L$2:$L$406,"")="US Biweekly",$I$3,$I$2))</f>
        <v>—</v>
      </c>
      <c r="E476" s="5" t="s">
        <v>570</v>
      </c>
      <c r="F476" s="5" t="s">
        <v>550</v>
      </c>
    </row>
    <row r="477" spans="1:6" ht="16" x14ac:dyDescent="0.2">
      <c r="A477" s="5" t="s">
        <v>409</v>
      </c>
      <c r="B477" s="5" t="s">
        <v>568</v>
      </c>
      <c r="C477" s="21" t="s">
        <v>569</v>
      </c>
      <c r="D477" s="22" t="str">
        <f t="array" ref="D477">IF(F477="n/a","—",IF(_xlfn.XLOOKUP(TRIM(SUBSTITUTE(A477,_xlfn.UNICHAR(160)," ")),TRIM(SUBSTITUTE('worker file'!$A$2:$A$406,_xlfn.UNICHAR(160)," ")),'worker file'!$L$2:$L$406,"")="US Biweekly",$I$3,$I$2))</f>
        <v>—</v>
      </c>
      <c r="E477" s="5" t="s">
        <v>570</v>
      </c>
      <c r="F477" s="5" t="s">
        <v>550</v>
      </c>
    </row>
    <row r="478" spans="1:6" ht="16" x14ac:dyDescent="0.2">
      <c r="A478" s="5" t="s">
        <v>409</v>
      </c>
      <c r="B478" s="5" t="s">
        <v>566</v>
      </c>
      <c r="C478" s="24">
        <v>19.5</v>
      </c>
      <c r="D478" s="22">
        <f t="array" ref="D478">IF(F478="n/a","—",IF(_xlfn.XLOOKUP(TRIM(SUBSTITUTE(A478,_xlfn.UNICHAR(160)," ")),TRIM(SUBSTITUTE('worker file'!$A$2:$A$406,_xlfn.UNICHAR(160)," ")),'worker file'!$L$2:$L$406,"")="US Biweekly",$I$3,$I$2))</f>
        <v>46295</v>
      </c>
      <c r="E478" s="5" t="s">
        <v>599</v>
      </c>
      <c r="F478" s="5" t="s">
        <v>554</v>
      </c>
    </row>
    <row r="479" spans="1:6" ht="16" x14ac:dyDescent="0.2">
      <c r="A479" s="5" t="s">
        <v>410</v>
      </c>
      <c r="B479" s="5" t="s">
        <v>568</v>
      </c>
      <c r="C479" s="21" t="s">
        <v>569</v>
      </c>
      <c r="D479" s="22" t="str">
        <f t="array" ref="D479">IF(F479="n/a","—",IF(_xlfn.XLOOKUP(TRIM(SUBSTITUTE(A479,_xlfn.UNICHAR(160)," ")),TRIM(SUBSTITUTE('worker file'!$A$2:$A$406,_xlfn.UNICHAR(160)," ")),'worker file'!$L$2:$L$406,"")="US Biweekly",$I$3,$I$2))</f>
        <v>—</v>
      </c>
      <c r="E479" s="5" t="s">
        <v>570</v>
      </c>
      <c r="F479" s="5" t="s">
        <v>550</v>
      </c>
    </row>
    <row r="480" spans="1:6" ht="16" x14ac:dyDescent="0.2">
      <c r="A480" s="5" t="s">
        <v>410</v>
      </c>
      <c r="B480" s="5" t="s">
        <v>590</v>
      </c>
      <c r="C480" s="24">
        <v>22</v>
      </c>
      <c r="D480" s="22">
        <f t="array" ref="D480">IF(F480="n/a","—",IF(_xlfn.XLOOKUP(TRIM(SUBSTITUTE(A480,_xlfn.UNICHAR(160)," ")),TRIM(SUBSTITUTE('worker file'!$A$2:$A$406,_xlfn.UNICHAR(160)," ")),'worker file'!$L$2:$L$406,"")="US Biweekly",$I$3,$I$2))</f>
        <v>46295</v>
      </c>
      <c r="E480" s="5" t="s">
        <v>591</v>
      </c>
      <c r="F480" s="5" t="s">
        <v>554</v>
      </c>
    </row>
    <row r="481" spans="1:6" ht="16" x14ac:dyDescent="0.2">
      <c r="A481" s="5" t="s">
        <v>411</v>
      </c>
      <c r="B481" s="5" t="s">
        <v>568</v>
      </c>
      <c r="C481" s="21" t="s">
        <v>569</v>
      </c>
      <c r="D481" s="22" t="str">
        <f t="array" ref="D481">IF(F481="n/a","—",IF(_xlfn.XLOOKUP(TRIM(SUBSTITUTE(A481,_xlfn.UNICHAR(160)," ")),TRIM(SUBSTITUTE('worker file'!$A$2:$A$406,_xlfn.UNICHAR(160)," ")),'worker file'!$L$2:$L$406,"")="US Biweekly",$I$3,$I$2))</f>
        <v>—</v>
      </c>
      <c r="E481" s="5" t="s">
        <v>570</v>
      </c>
      <c r="F481" s="5" t="s">
        <v>550</v>
      </c>
    </row>
    <row r="482" spans="1:6" ht="16" x14ac:dyDescent="0.2">
      <c r="A482" s="5" t="s">
        <v>411</v>
      </c>
      <c r="B482" s="5" t="s">
        <v>566</v>
      </c>
      <c r="C482" s="24">
        <v>36.75</v>
      </c>
      <c r="D482" s="22">
        <f t="array" ref="D482">IF(F482="n/a","—",IF(_xlfn.XLOOKUP(TRIM(SUBSTITUTE(A482,_xlfn.UNICHAR(160)," ")),TRIM(SUBSTITUTE('worker file'!$A$2:$A$406,_xlfn.UNICHAR(160)," ")),'worker file'!$L$2:$L$406,"")="US Biweekly",$I$3,$I$2))</f>
        <v>46295</v>
      </c>
      <c r="E482" s="5" t="s">
        <v>571</v>
      </c>
      <c r="F482" s="5" t="s">
        <v>554</v>
      </c>
    </row>
    <row r="483" spans="1:6" ht="16" x14ac:dyDescent="0.2">
      <c r="A483" s="5" t="s">
        <v>412</v>
      </c>
      <c r="B483" s="5" t="s">
        <v>568</v>
      </c>
      <c r="C483" s="21" t="s">
        <v>569</v>
      </c>
      <c r="D483" s="22" t="str">
        <f t="array" ref="D483">IF(F483="n/a","—",IF(_xlfn.XLOOKUP(TRIM(SUBSTITUTE(A483,_xlfn.UNICHAR(160)," ")),TRIM(SUBSTITUTE('worker file'!$A$2:$A$406,_xlfn.UNICHAR(160)," ")),'worker file'!$L$2:$L$406,"")="US Biweekly",$I$3,$I$2))</f>
        <v>—</v>
      </c>
      <c r="E483" s="5" t="s">
        <v>570</v>
      </c>
      <c r="F483" s="5" t="s">
        <v>550</v>
      </c>
    </row>
    <row r="484" spans="1:6" ht="16" x14ac:dyDescent="0.2">
      <c r="A484" s="5" t="s">
        <v>413</v>
      </c>
      <c r="B484" s="5" t="s">
        <v>568</v>
      </c>
      <c r="C484" s="21" t="s">
        <v>569</v>
      </c>
      <c r="D484" s="22" t="str">
        <f t="array" ref="D484">IF(F484="n/a","—",IF(_xlfn.XLOOKUP(TRIM(SUBSTITUTE(A484,_xlfn.UNICHAR(160)," ")),TRIM(SUBSTITUTE('worker file'!$A$2:$A$406,_xlfn.UNICHAR(160)," ")),'worker file'!$L$2:$L$406,"")="US Biweekly",$I$3,$I$2))</f>
        <v>—</v>
      </c>
      <c r="E484" s="5" t="s">
        <v>570</v>
      </c>
      <c r="F484" s="5" t="s">
        <v>550</v>
      </c>
    </row>
    <row r="485" spans="1:6" ht="16" x14ac:dyDescent="0.2">
      <c r="A485" s="5" t="s">
        <v>413</v>
      </c>
      <c r="B485" s="5" t="s">
        <v>566</v>
      </c>
      <c r="C485" s="24">
        <v>40.25</v>
      </c>
      <c r="D485" s="22">
        <f t="array" ref="D485">IF(F485="n/a","—",IF(_xlfn.XLOOKUP(TRIM(SUBSTITUTE(A485,_xlfn.UNICHAR(160)," ")),TRIM(SUBSTITUTE('worker file'!$A$2:$A$406,_xlfn.UNICHAR(160)," ")),'worker file'!$L$2:$L$406,"")="US Biweekly",$I$3,$I$2))</f>
        <v>46295</v>
      </c>
      <c r="E485" s="5" t="s">
        <v>571</v>
      </c>
      <c r="F485" s="5" t="s">
        <v>554</v>
      </c>
    </row>
    <row r="486" spans="1:6" ht="16" x14ac:dyDescent="0.2">
      <c r="A486" s="5" t="s">
        <v>414</v>
      </c>
      <c r="B486" s="5" t="s">
        <v>568</v>
      </c>
      <c r="C486" s="21" t="s">
        <v>569</v>
      </c>
      <c r="D486" s="22" t="str">
        <f t="array" ref="D486">IF(F486="n/a","—",IF(_xlfn.XLOOKUP(TRIM(SUBSTITUTE(A486,_xlfn.UNICHAR(160)," ")),TRIM(SUBSTITUTE('worker file'!$A$2:$A$406,_xlfn.UNICHAR(160)," ")),'worker file'!$L$2:$L$406,"")="US Biweekly",$I$3,$I$2))</f>
        <v>—</v>
      </c>
      <c r="E486" s="5" t="s">
        <v>570</v>
      </c>
      <c r="F486" s="5" t="s">
        <v>550</v>
      </c>
    </row>
    <row r="487" spans="1:6" ht="16" x14ac:dyDescent="0.2">
      <c r="A487" s="5" t="s">
        <v>414</v>
      </c>
      <c r="B487" s="5" t="s">
        <v>566</v>
      </c>
      <c r="C487" s="24">
        <v>19</v>
      </c>
      <c r="D487" s="22">
        <f t="array" ref="D487">IF(F487="n/a","—",IF(_xlfn.XLOOKUP(TRIM(SUBSTITUTE(A487,_xlfn.UNICHAR(160)," ")),TRIM(SUBSTITUTE('worker file'!$A$2:$A$406,_xlfn.UNICHAR(160)," ")),'worker file'!$L$2:$L$406,"")="US Biweekly",$I$3,$I$2))</f>
        <v>46295</v>
      </c>
      <c r="E487" s="5" t="s">
        <v>571</v>
      </c>
      <c r="F487" s="5" t="s">
        <v>554</v>
      </c>
    </row>
    <row r="488" spans="1:6" ht="16" x14ac:dyDescent="0.2">
      <c r="A488" s="5" t="s">
        <v>415</v>
      </c>
      <c r="B488" s="5" t="s">
        <v>588</v>
      </c>
      <c r="C488" s="25">
        <v>0.5</v>
      </c>
      <c r="D488" s="22">
        <f t="array" ref="D488">IF(F488="n/a","—",IF(_xlfn.XLOOKUP(TRIM(SUBSTITUTE(A488,_xlfn.UNICHAR(160)," ")),TRIM(SUBSTITUTE('worker file'!$A$2:$A$406,_xlfn.UNICHAR(160)," ")),'worker file'!$L$2:$L$406,"")="US Biweekly",$I$3,$I$2))</f>
        <v>46295</v>
      </c>
      <c r="E488" s="5" t="s">
        <v>589</v>
      </c>
      <c r="F488" s="5" t="s">
        <v>559</v>
      </c>
    </row>
    <row r="489" spans="1:6" ht="16" x14ac:dyDescent="0.2">
      <c r="A489" s="5" t="s">
        <v>416</v>
      </c>
      <c r="B489" s="5" t="s">
        <v>568</v>
      </c>
      <c r="C489" s="21" t="s">
        <v>569</v>
      </c>
      <c r="D489" s="22" t="str">
        <f t="array" ref="D489">IF(F489="n/a","—",IF(_xlfn.XLOOKUP(TRIM(SUBSTITUTE(A489,_xlfn.UNICHAR(160)," ")),TRIM(SUBSTITUTE('worker file'!$A$2:$A$406,_xlfn.UNICHAR(160)," ")),'worker file'!$L$2:$L$406,"")="US Biweekly",$I$3,$I$2))</f>
        <v>—</v>
      </c>
      <c r="E489" s="5" t="s">
        <v>570</v>
      </c>
      <c r="F489" s="5" t="s">
        <v>550</v>
      </c>
    </row>
    <row r="490" spans="1:6" ht="16" x14ac:dyDescent="0.2">
      <c r="A490" s="5" t="s">
        <v>416</v>
      </c>
      <c r="B490" s="5" t="s">
        <v>566</v>
      </c>
      <c r="C490" s="24">
        <v>25</v>
      </c>
      <c r="D490" s="22">
        <f t="array" ref="D490">IF(F490="n/a","—",IF(_xlfn.XLOOKUP(TRIM(SUBSTITUTE(A490,_xlfn.UNICHAR(160)," ")),TRIM(SUBSTITUTE('worker file'!$A$2:$A$406,_xlfn.UNICHAR(160)," ")),'worker file'!$L$2:$L$406,"")="US Biweekly",$I$3,$I$2))</f>
        <v>46295</v>
      </c>
      <c r="E490" s="5" t="s">
        <v>571</v>
      </c>
      <c r="F490" s="5" t="s">
        <v>554</v>
      </c>
    </row>
    <row r="491" spans="1:6" ht="16" x14ac:dyDescent="0.2">
      <c r="A491" s="5" t="s">
        <v>417</v>
      </c>
      <c r="B491" s="5" t="s">
        <v>568</v>
      </c>
      <c r="C491" s="21" t="s">
        <v>569</v>
      </c>
      <c r="D491" s="22" t="str">
        <f t="array" ref="D491">IF(F491="n/a","—",IF(_xlfn.XLOOKUP(TRIM(SUBSTITUTE(A491,_xlfn.UNICHAR(160)," ")),TRIM(SUBSTITUTE('worker file'!$A$2:$A$406,_xlfn.UNICHAR(160)," ")),'worker file'!$L$2:$L$406,"")="US Biweekly",$I$3,$I$2))</f>
        <v>—</v>
      </c>
      <c r="E491" s="5" t="s">
        <v>570</v>
      </c>
      <c r="F491" s="5" t="s">
        <v>550</v>
      </c>
    </row>
    <row r="492" spans="1:6" ht="16" x14ac:dyDescent="0.2">
      <c r="A492" s="5" t="s">
        <v>418</v>
      </c>
      <c r="B492" s="5" t="s">
        <v>568</v>
      </c>
      <c r="C492" s="21" t="s">
        <v>569</v>
      </c>
      <c r="D492" s="22" t="str">
        <f t="array" ref="D492">IF(F492="n/a","—",IF(_xlfn.XLOOKUP(TRIM(SUBSTITUTE(A492,_xlfn.UNICHAR(160)," ")),TRIM(SUBSTITUTE('worker file'!$A$2:$A$406,_xlfn.UNICHAR(160)," ")),'worker file'!$L$2:$L$406,"")="US Biweekly",$I$3,$I$2))</f>
        <v>—</v>
      </c>
      <c r="E492" s="5" t="s">
        <v>570</v>
      </c>
      <c r="F492" s="5" t="s">
        <v>550</v>
      </c>
    </row>
    <row r="493" spans="1:6" ht="16" x14ac:dyDescent="0.2">
      <c r="A493" s="5" t="s">
        <v>418</v>
      </c>
      <c r="B493" s="5" t="s">
        <v>577</v>
      </c>
      <c r="C493" s="24">
        <v>17.75</v>
      </c>
      <c r="D493" s="22">
        <f t="array" ref="D493">IF(F493="n/a","—",IF(_xlfn.XLOOKUP(TRIM(SUBSTITUTE(A493,_xlfn.UNICHAR(160)," ")),TRIM(SUBSTITUTE('worker file'!$A$2:$A$406,_xlfn.UNICHAR(160)," ")),'worker file'!$L$2:$L$406,"")="US Biweekly",$I$3,$I$2))</f>
        <v>46295</v>
      </c>
      <c r="E493" s="5" t="s">
        <v>578</v>
      </c>
      <c r="F493" s="5" t="s">
        <v>554</v>
      </c>
    </row>
    <row r="494" spans="1:6" ht="16" x14ac:dyDescent="0.2">
      <c r="A494" s="5" t="s">
        <v>419</v>
      </c>
      <c r="B494" s="5" t="s">
        <v>573</v>
      </c>
      <c r="C494" s="24">
        <v>20.75</v>
      </c>
      <c r="D494" s="22">
        <f t="array" ref="D494">IF(F494="n/a","—",IF(_xlfn.XLOOKUP(TRIM(SUBSTITUTE(A494,_xlfn.UNICHAR(160)," ")),TRIM(SUBSTITUTE('worker file'!$A$2:$A$406,_xlfn.UNICHAR(160)," ")),'worker file'!$L$2:$L$406,"")="US Biweekly",$I$3,$I$2))</f>
        <v>46298</v>
      </c>
      <c r="E494" s="5" t="s">
        <v>574</v>
      </c>
      <c r="F494" s="5" t="s">
        <v>554</v>
      </c>
    </row>
    <row r="495" spans="1:6" ht="16" x14ac:dyDescent="0.2">
      <c r="A495" s="5" t="s">
        <v>419</v>
      </c>
      <c r="B495" s="5" t="s">
        <v>575</v>
      </c>
      <c r="C495" s="24">
        <v>9.25</v>
      </c>
      <c r="D495" s="22">
        <f t="array" ref="D495">IF(F495="n/a","—",IF(_xlfn.XLOOKUP(TRIM(SUBSTITUTE(A495,_xlfn.UNICHAR(160)," ")),TRIM(SUBSTITUTE('worker file'!$A$2:$A$406,_xlfn.UNICHAR(160)," ")),'worker file'!$L$2:$L$406,"")="US Biweekly",$I$3,$I$2))</f>
        <v>46298</v>
      </c>
      <c r="E495" s="5" t="s">
        <v>576</v>
      </c>
      <c r="F495" s="5" t="s">
        <v>554</v>
      </c>
    </row>
    <row r="496" spans="1:6" ht="16" x14ac:dyDescent="0.2">
      <c r="A496" s="5" t="s">
        <v>420</v>
      </c>
      <c r="B496" s="5" t="s">
        <v>584</v>
      </c>
      <c r="C496" s="25">
        <v>10.5</v>
      </c>
      <c r="D496" s="22">
        <f t="array" ref="D496">IF(F496="n/a","—",IF(_xlfn.XLOOKUP(TRIM(SUBSTITUTE(A496,_xlfn.UNICHAR(160)," ")),TRIM(SUBSTITUTE('worker file'!$A$2:$A$406,_xlfn.UNICHAR(160)," ")),'worker file'!$L$2:$L$406,"")="US Biweekly",$I$3,$I$2))</f>
        <v>46295</v>
      </c>
      <c r="E496" s="5" t="s">
        <v>585</v>
      </c>
      <c r="F496" s="5" t="s">
        <v>559</v>
      </c>
    </row>
    <row r="497" spans="1:6" ht="16" x14ac:dyDescent="0.2">
      <c r="A497" s="5" t="s">
        <v>420</v>
      </c>
      <c r="B497" s="5" t="s">
        <v>586</v>
      </c>
      <c r="C497" s="25">
        <v>1</v>
      </c>
      <c r="D497" s="22">
        <f t="array" ref="D497">IF(F497="n/a","—",IF(_xlfn.XLOOKUP(TRIM(SUBSTITUTE(A497,_xlfn.UNICHAR(160)," ")),TRIM(SUBSTITUTE('worker file'!$A$2:$A$406,_xlfn.UNICHAR(160)," ")),'worker file'!$L$2:$L$406,"")="US Biweekly",$I$3,$I$2))</f>
        <v>46295</v>
      </c>
      <c r="E497" s="5" t="s">
        <v>587</v>
      </c>
      <c r="F497" s="5" t="s">
        <v>559</v>
      </c>
    </row>
    <row r="498" spans="1:6" ht="16" x14ac:dyDescent="0.2">
      <c r="A498" s="5" t="s">
        <v>421</v>
      </c>
      <c r="B498" s="5" t="s">
        <v>568</v>
      </c>
      <c r="C498" s="21" t="s">
        <v>569</v>
      </c>
      <c r="D498" s="22" t="str">
        <f t="array" ref="D498">IF(F498="n/a","—",IF(_xlfn.XLOOKUP(TRIM(SUBSTITUTE(A498,_xlfn.UNICHAR(160)," ")),TRIM(SUBSTITUTE('worker file'!$A$2:$A$406,_xlfn.UNICHAR(160)," ")),'worker file'!$L$2:$L$406,"")="US Biweekly",$I$3,$I$2))</f>
        <v>—</v>
      </c>
      <c r="E498" s="5" t="s">
        <v>570</v>
      </c>
      <c r="F498" s="5" t="s">
        <v>550</v>
      </c>
    </row>
    <row r="499" spans="1:6" ht="16" x14ac:dyDescent="0.2">
      <c r="A499" s="5" t="s">
        <v>421</v>
      </c>
      <c r="B499" s="5" t="s">
        <v>566</v>
      </c>
      <c r="C499" s="24">
        <v>40</v>
      </c>
      <c r="D499" s="22">
        <f t="array" ref="D499">IF(F499="n/a","—",IF(_xlfn.XLOOKUP(TRIM(SUBSTITUTE(A499,_xlfn.UNICHAR(160)," ")),TRIM(SUBSTITUTE('worker file'!$A$2:$A$406,_xlfn.UNICHAR(160)," ")),'worker file'!$L$2:$L$406,"")="US Biweekly",$I$3,$I$2))</f>
        <v>46295</v>
      </c>
      <c r="E499" s="5" t="s">
        <v>571</v>
      </c>
      <c r="F499" s="5" t="s">
        <v>554</v>
      </c>
    </row>
    <row r="500" spans="1:6" ht="16" x14ac:dyDescent="0.2">
      <c r="A500" s="5" t="s">
        <v>422</v>
      </c>
      <c r="B500" s="5" t="s">
        <v>568</v>
      </c>
      <c r="C500" s="21" t="s">
        <v>569</v>
      </c>
      <c r="D500" s="22" t="str">
        <f t="array" ref="D500">IF(F500="n/a","—",IF(_xlfn.XLOOKUP(TRIM(SUBSTITUTE(A500,_xlfn.UNICHAR(160)," ")),TRIM(SUBSTITUTE('worker file'!$A$2:$A$406,_xlfn.UNICHAR(160)," ")),'worker file'!$L$2:$L$406,"")="US Biweekly",$I$3,$I$2))</f>
        <v>—</v>
      </c>
      <c r="E500" s="5" t="s">
        <v>570</v>
      </c>
      <c r="F500" s="5" t="s">
        <v>550</v>
      </c>
    </row>
    <row r="501" spans="1:6" ht="16" x14ac:dyDescent="0.2">
      <c r="A501" s="5" t="s">
        <v>422</v>
      </c>
      <c r="B501" s="5" t="s">
        <v>566</v>
      </c>
      <c r="C501" s="24">
        <v>14.25</v>
      </c>
      <c r="D501" s="22">
        <f t="array" ref="D501">IF(F501="n/a","—",IF(_xlfn.XLOOKUP(TRIM(SUBSTITUTE(A501,_xlfn.UNICHAR(160)," ")),TRIM(SUBSTITUTE('worker file'!$A$2:$A$406,_xlfn.UNICHAR(160)," ")),'worker file'!$L$2:$L$406,"")="US Biweekly",$I$3,$I$2))</f>
        <v>46295</v>
      </c>
      <c r="E501" s="5" t="s">
        <v>571</v>
      </c>
      <c r="F501" s="5" t="s">
        <v>554</v>
      </c>
    </row>
    <row r="502" spans="1:6" ht="16" x14ac:dyDescent="0.2">
      <c r="A502" s="5" t="s">
        <v>424</v>
      </c>
      <c r="B502" s="5" t="s">
        <v>584</v>
      </c>
      <c r="C502" s="25">
        <v>12.5</v>
      </c>
      <c r="D502" s="22">
        <f t="array" ref="D502">IF(F502="n/a","—",IF(_xlfn.XLOOKUP(TRIM(SUBSTITUTE(A502,_xlfn.UNICHAR(160)," ")),TRIM(SUBSTITUTE('worker file'!$A$2:$A$406,_xlfn.UNICHAR(160)," ")),'worker file'!$L$2:$L$406,"")="US Biweekly",$I$3,$I$2))</f>
        <v>46295</v>
      </c>
      <c r="E502" s="5" t="s">
        <v>585</v>
      </c>
      <c r="F502" s="5" t="s">
        <v>559</v>
      </c>
    </row>
    <row r="503" spans="1:6" ht="16" x14ac:dyDescent="0.2">
      <c r="A503" s="5" t="s">
        <v>424</v>
      </c>
      <c r="B503" s="5" t="s">
        <v>586</v>
      </c>
      <c r="C503" s="25">
        <v>2.5</v>
      </c>
      <c r="D503" s="22">
        <f t="array" ref="D503">IF(F503="n/a","—",IF(_xlfn.XLOOKUP(TRIM(SUBSTITUTE(A503,_xlfn.UNICHAR(160)," ")),TRIM(SUBSTITUTE('worker file'!$A$2:$A$406,_xlfn.UNICHAR(160)," ")),'worker file'!$L$2:$L$406,"")="US Biweekly",$I$3,$I$2))</f>
        <v>46295</v>
      </c>
      <c r="E503" s="5" t="s">
        <v>587</v>
      </c>
      <c r="F503" s="5" t="s">
        <v>559</v>
      </c>
    </row>
    <row r="504" spans="1:6" ht="16" x14ac:dyDescent="0.2">
      <c r="A504" s="5" t="s">
        <v>425</v>
      </c>
      <c r="B504" s="5" t="s">
        <v>568</v>
      </c>
      <c r="C504" s="21" t="s">
        <v>569</v>
      </c>
      <c r="D504" s="22" t="str">
        <f t="array" ref="D504">IF(F504="n/a","—",IF(_xlfn.XLOOKUP(TRIM(SUBSTITUTE(A504,_xlfn.UNICHAR(160)," ")),TRIM(SUBSTITUTE('worker file'!$A$2:$A$406,_xlfn.UNICHAR(160)," ")),'worker file'!$L$2:$L$406,"")="US Biweekly",$I$3,$I$2))</f>
        <v>—</v>
      </c>
      <c r="E504" s="5" t="s">
        <v>570</v>
      </c>
      <c r="F504" s="5" t="s">
        <v>550</v>
      </c>
    </row>
    <row r="505" spans="1:6" ht="16" x14ac:dyDescent="0.2">
      <c r="A505" s="5" t="s">
        <v>425</v>
      </c>
      <c r="B505" s="5" t="s">
        <v>566</v>
      </c>
      <c r="C505" s="24">
        <v>13.75</v>
      </c>
      <c r="D505" s="22">
        <f t="array" ref="D505">IF(F505="n/a","—",IF(_xlfn.XLOOKUP(TRIM(SUBSTITUTE(A505,_xlfn.UNICHAR(160)," ")),TRIM(SUBSTITUTE('worker file'!$A$2:$A$406,_xlfn.UNICHAR(160)," ")),'worker file'!$L$2:$L$406,"")="US Biweekly",$I$3,$I$2))</f>
        <v>46295</v>
      </c>
      <c r="E505" s="5" t="s">
        <v>571</v>
      </c>
      <c r="F505" s="5" t="s">
        <v>554</v>
      </c>
    </row>
    <row r="506" spans="1:6" ht="16" x14ac:dyDescent="0.2">
      <c r="A506" s="5" t="s">
        <v>426</v>
      </c>
      <c r="B506" s="5" t="s">
        <v>568</v>
      </c>
      <c r="C506" s="21" t="s">
        <v>569</v>
      </c>
      <c r="D506" s="22" t="str">
        <f t="array" ref="D506">IF(F506="n/a","—",IF(_xlfn.XLOOKUP(TRIM(SUBSTITUTE(A506,_xlfn.UNICHAR(160)," ")),TRIM(SUBSTITUTE('worker file'!$A$2:$A$406,_xlfn.UNICHAR(160)," ")),'worker file'!$L$2:$L$406,"")="US Biweekly",$I$3,$I$2))</f>
        <v>—</v>
      </c>
      <c r="E506" s="5" t="s">
        <v>570</v>
      </c>
      <c r="F506" s="5" t="s">
        <v>550</v>
      </c>
    </row>
    <row r="507" spans="1:6" ht="16" x14ac:dyDescent="0.2">
      <c r="A507" s="5" t="s">
        <v>427</v>
      </c>
      <c r="B507" s="5" t="s">
        <v>568</v>
      </c>
      <c r="C507" s="21" t="s">
        <v>569</v>
      </c>
      <c r="D507" s="22" t="str">
        <f t="array" ref="D507">IF(F507="n/a","—",IF(_xlfn.XLOOKUP(TRIM(SUBSTITUTE(A507,_xlfn.UNICHAR(160)," ")),TRIM(SUBSTITUTE('worker file'!$A$2:$A$406,_xlfn.UNICHAR(160)," ")),'worker file'!$L$2:$L$406,"")="US Biweekly",$I$3,$I$2))</f>
        <v>—</v>
      </c>
      <c r="E507" s="5" t="s">
        <v>570</v>
      </c>
      <c r="F507" s="5" t="s">
        <v>550</v>
      </c>
    </row>
    <row r="508" spans="1:6" ht="16" x14ac:dyDescent="0.2">
      <c r="A508" s="5" t="s">
        <v>427</v>
      </c>
      <c r="B508" s="5" t="s">
        <v>566</v>
      </c>
      <c r="C508" s="24">
        <v>34.25</v>
      </c>
      <c r="D508" s="22">
        <f t="array" ref="D508">IF(F508="n/a","—",IF(_xlfn.XLOOKUP(TRIM(SUBSTITUTE(A508,_xlfn.UNICHAR(160)," ")),TRIM(SUBSTITUTE('worker file'!$A$2:$A$406,_xlfn.UNICHAR(160)," ")),'worker file'!$L$2:$L$406,"")="US Biweekly",$I$3,$I$2))</f>
        <v>46295</v>
      </c>
      <c r="E508" s="5" t="s">
        <v>571</v>
      </c>
      <c r="F508" s="5" t="s">
        <v>554</v>
      </c>
    </row>
    <row r="509" spans="1:6" ht="16" x14ac:dyDescent="0.2">
      <c r="A509" s="5" t="s">
        <v>428</v>
      </c>
      <c r="B509" s="5" t="s">
        <v>568</v>
      </c>
      <c r="C509" s="21" t="s">
        <v>569</v>
      </c>
      <c r="D509" s="22" t="str">
        <f t="array" ref="D509">IF(F509="n/a","—",IF(_xlfn.XLOOKUP(TRIM(SUBSTITUTE(A509,_xlfn.UNICHAR(160)," ")),TRIM(SUBSTITUTE('worker file'!$A$2:$A$406,_xlfn.UNICHAR(160)," ")),'worker file'!$L$2:$L$406,"")="US Biweekly",$I$3,$I$2))</f>
        <v>—</v>
      </c>
      <c r="E509" s="5" t="s">
        <v>570</v>
      </c>
      <c r="F509" s="5" t="s">
        <v>550</v>
      </c>
    </row>
    <row r="510" spans="1:6" ht="16" x14ac:dyDescent="0.2">
      <c r="A510" s="5" t="s">
        <v>428</v>
      </c>
      <c r="B510" s="5" t="s">
        <v>566</v>
      </c>
      <c r="C510" s="24">
        <v>12.25</v>
      </c>
      <c r="D510" s="22">
        <f t="array" ref="D510">IF(F510="n/a","—",IF(_xlfn.XLOOKUP(TRIM(SUBSTITUTE(A510,_xlfn.UNICHAR(160)," ")),TRIM(SUBSTITUTE('worker file'!$A$2:$A$406,_xlfn.UNICHAR(160)," ")),'worker file'!$L$2:$L$406,"")="US Biweekly",$I$3,$I$2))</f>
        <v>46295</v>
      </c>
      <c r="E510" s="5" t="s">
        <v>571</v>
      </c>
      <c r="F510" s="5" t="s">
        <v>554</v>
      </c>
    </row>
    <row r="511" spans="1:6" ht="16" x14ac:dyDescent="0.2">
      <c r="A511" s="5" t="s">
        <v>429</v>
      </c>
      <c r="B511" s="5" t="s">
        <v>568</v>
      </c>
      <c r="C511" s="21" t="s">
        <v>569</v>
      </c>
      <c r="D511" s="22" t="str">
        <f t="array" ref="D511">IF(F511="n/a","—",IF(_xlfn.XLOOKUP(TRIM(SUBSTITUTE(A511,_xlfn.UNICHAR(160)," ")),TRIM(SUBSTITUTE('worker file'!$A$2:$A$406,_xlfn.UNICHAR(160)," ")),'worker file'!$L$2:$L$406,"")="US Biweekly",$I$3,$I$2))</f>
        <v>—</v>
      </c>
      <c r="E511" s="5" t="s">
        <v>570</v>
      </c>
      <c r="F511" s="5" t="s">
        <v>550</v>
      </c>
    </row>
    <row r="512" spans="1:6" ht="16" x14ac:dyDescent="0.2">
      <c r="A512" s="5" t="s">
        <v>430</v>
      </c>
      <c r="B512" s="5" t="s">
        <v>568</v>
      </c>
      <c r="C512" s="21" t="s">
        <v>569</v>
      </c>
      <c r="D512" s="22" t="str">
        <f t="array" ref="D512">IF(F512="n/a","—",IF(_xlfn.XLOOKUP(TRIM(SUBSTITUTE(A512,_xlfn.UNICHAR(160)," ")),TRIM(SUBSTITUTE('worker file'!$A$2:$A$406,_xlfn.UNICHAR(160)," ")),'worker file'!$L$2:$L$406,"")="US Biweekly",$I$3,$I$2))</f>
        <v>—</v>
      </c>
      <c r="E512" s="5" t="s">
        <v>570</v>
      </c>
      <c r="F512" s="5" t="s">
        <v>550</v>
      </c>
    </row>
    <row r="513" spans="1:6" ht="16" x14ac:dyDescent="0.2">
      <c r="A513" s="5" t="s">
        <v>430</v>
      </c>
      <c r="B513" s="5" t="s">
        <v>566</v>
      </c>
      <c r="C513" s="24">
        <v>26.5</v>
      </c>
      <c r="D513" s="22">
        <f t="array" ref="D513">IF(F513="n/a","—",IF(_xlfn.XLOOKUP(TRIM(SUBSTITUTE(A513,_xlfn.UNICHAR(160)," ")),TRIM(SUBSTITUTE('worker file'!$A$2:$A$406,_xlfn.UNICHAR(160)," ")),'worker file'!$L$2:$L$406,"")="US Biweekly",$I$3,$I$2))</f>
        <v>46295</v>
      </c>
      <c r="E513" s="5" t="s">
        <v>571</v>
      </c>
      <c r="F513" s="5" t="s">
        <v>554</v>
      </c>
    </row>
    <row r="514" spans="1:6" ht="16" x14ac:dyDescent="0.2">
      <c r="A514" s="5" t="s">
        <v>431</v>
      </c>
      <c r="B514" s="5" t="s">
        <v>568</v>
      </c>
      <c r="C514" s="21" t="s">
        <v>569</v>
      </c>
      <c r="D514" s="22" t="str">
        <f t="array" ref="D514">IF(F514="n/a","—",IF(_xlfn.XLOOKUP(TRIM(SUBSTITUTE(A514,_xlfn.UNICHAR(160)," ")),TRIM(SUBSTITUTE('worker file'!$A$2:$A$406,_xlfn.UNICHAR(160)," ")),'worker file'!$L$2:$L$406,"")="US Biweekly",$I$3,$I$2))</f>
        <v>—</v>
      </c>
      <c r="E514" s="5" t="s">
        <v>570</v>
      </c>
      <c r="F514" s="5" t="s">
        <v>550</v>
      </c>
    </row>
    <row r="515" spans="1:6" ht="16" x14ac:dyDescent="0.2">
      <c r="A515" s="5" t="s">
        <v>431</v>
      </c>
      <c r="B515" s="5" t="s">
        <v>566</v>
      </c>
      <c r="C515" s="24">
        <v>18</v>
      </c>
      <c r="D515" s="22">
        <f t="array" ref="D515">IF(F515="n/a","—",IF(_xlfn.XLOOKUP(TRIM(SUBSTITUTE(A515,_xlfn.UNICHAR(160)," ")),TRIM(SUBSTITUTE('worker file'!$A$2:$A$406,_xlfn.UNICHAR(160)," ")),'worker file'!$L$2:$L$406,"")="US Biweekly",$I$3,$I$2))</f>
        <v>46295</v>
      </c>
      <c r="E515" s="5" t="s">
        <v>571</v>
      </c>
      <c r="F515" s="5" t="s">
        <v>554</v>
      </c>
    </row>
    <row r="516" spans="1:6" ht="16" x14ac:dyDescent="0.2">
      <c r="A516" s="5" t="s">
        <v>432</v>
      </c>
      <c r="B516" s="5" t="s">
        <v>568</v>
      </c>
      <c r="C516" s="21" t="s">
        <v>569</v>
      </c>
      <c r="D516" s="22" t="str">
        <f t="array" ref="D516">IF(F516="n/a","—",IF(_xlfn.XLOOKUP(TRIM(SUBSTITUTE(A516,_xlfn.UNICHAR(160)," ")),TRIM(SUBSTITUTE('worker file'!$A$2:$A$406,_xlfn.UNICHAR(160)," ")),'worker file'!$L$2:$L$406,"")="US Biweekly",$I$3,$I$2))</f>
        <v>—</v>
      </c>
      <c r="E516" s="5" t="s">
        <v>570</v>
      </c>
      <c r="F516" s="5" t="s">
        <v>550</v>
      </c>
    </row>
    <row r="517" spans="1:6" ht="16" x14ac:dyDescent="0.2">
      <c r="A517" s="5" t="s">
        <v>432</v>
      </c>
      <c r="B517" s="5" t="s">
        <v>577</v>
      </c>
      <c r="C517" s="24">
        <v>12.5</v>
      </c>
      <c r="D517" s="22">
        <f t="array" ref="D517">IF(F517="n/a","—",IF(_xlfn.XLOOKUP(TRIM(SUBSTITUTE(A517,_xlfn.UNICHAR(160)," ")),TRIM(SUBSTITUTE('worker file'!$A$2:$A$406,_xlfn.UNICHAR(160)," ")),'worker file'!$L$2:$L$406,"")="US Biweekly",$I$3,$I$2))</f>
        <v>46295</v>
      </c>
      <c r="E517" s="5" t="s">
        <v>578</v>
      </c>
      <c r="F517" s="5" t="s">
        <v>554</v>
      </c>
    </row>
    <row r="518" spans="1:6" ht="16" x14ac:dyDescent="0.2">
      <c r="A518" s="5" t="s">
        <v>433</v>
      </c>
      <c r="B518" s="5" t="s">
        <v>584</v>
      </c>
      <c r="C518" s="25">
        <v>13</v>
      </c>
      <c r="D518" s="22">
        <f t="array" ref="D518">IF(F518="n/a","—",IF(_xlfn.XLOOKUP(TRIM(SUBSTITUTE(A518,_xlfn.UNICHAR(160)," ")),TRIM(SUBSTITUTE('worker file'!$A$2:$A$406,_xlfn.UNICHAR(160)," ")),'worker file'!$L$2:$L$406,"")="US Biweekly",$I$3,$I$2))</f>
        <v>46295</v>
      </c>
      <c r="E518" s="5" t="s">
        <v>585</v>
      </c>
      <c r="F518" s="5" t="s">
        <v>559</v>
      </c>
    </row>
    <row r="519" spans="1:6" ht="16" x14ac:dyDescent="0.2">
      <c r="A519" s="5" t="s">
        <v>433</v>
      </c>
      <c r="B519" s="5" t="s">
        <v>586</v>
      </c>
      <c r="C519" s="25">
        <v>1.5</v>
      </c>
      <c r="D519" s="22">
        <f t="array" ref="D519">IF(F519="n/a","—",IF(_xlfn.XLOOKUP(TRIM(SUBSTITUTE(A519,_xlfn.UNICHAR(160)," ")),TRIM(SUBSTITUTE('worker file'!$A$2:$A$406,_xlfn.UNICHAR(160)," ")),'worker file'!$L$2:$L$406,"")="US Biweekly",$I$3,$I$2))</f>
        <v>46295</v>
      </c>
      <c r="E519" s="5" t="s">
        <v>587</v>
      </c>
      <c r="F519" s="5" t="s">
        <v>559</v>
      </c>
    </row>
    <row r="520" spans="1:6" ht="16" x14ac:dyDescent="0.2">
      <c r="A520" s="5" t="s">
        <v>434</v>
      </c>
      <c r="B520" s="5" t="s">
        <v>568</v>
      </c>
      <c r="C520" s="21" t="s">
        <v>569</v>
      </c>
      <c r="D520" s="22" t="str">
        <f t="array" ref="D520">IF(F520="n/a","—",IF(_xlfn.XLOOKUP(TRIM(SUBSTITUTE(A520,_xlfn.UNICHAR(160)," ")),TRIM(SUBSTITUTE('worker file'!$A$2:$A$406,_xlfn.UNICHAR(160)," ")),'worker file'!$L$2:$L$406,"")="US Biweekly",$I$3,$I$2))</f>
        <v>—</v>
      </c>
      <c r="E520" s="5" t="s">
        <v>570</v>
      </c>
      <c r="F520" s="5" t="s">
        <v>550</v>
      </c>
    </row>
    <row r="521" spans="1:6" ht="16" x14ac:dyDescent="0.2">
      <c r="A521" s="5" t="s">
        <v>434</v>
      </c>
      <c r="B521" s="5" t="s">
        <v>566</v>
      </c>
      <c r="C521" s="24">
        <v>33</v>
      </c>
      <c r="D521" s="22">
        <f t="array" ref="D521">IF(F521="n/a","—",IF(_xlfn.XLOOKUP(TRIM(SUBSTITUTE(A521,_xlfn.UNICHAR(160)," ")),TRIM(SUBSTITUTE('worker file'!$A$2:$A$406,_xlfn.UNICHAR(160)," ")),'worker file'!$L$2:$L$406,"")="US Biweekly",$I$3,$I$2))</f>
        <v>46295</v>
      </c>
      <c r="E521" s="5" t="s">
        <v>571</v>
      </c>
      <c r="F521" s="5" t="s">
        <v>554</v>
      </c>
    </row>
    <row r="522" spans="1:6" ht="16" x14ac:dyDescent="0.2">
      <c r="A522" s="5" t="s">
        <v>435</v>
      </c>
      <c r="B522" s="5" t="s">
        <v>568</v>
      </c>
      <c r="C522" s="21" t="s">
        <v>569</v>
      </c>
      <c r="D522" s="22" t="str">
        <f t="array" ref="D522">IF(F522="n/a","—",IF(_xlfn.XLOOKUP(TRIM(SUBSTITUTE(A522,_xlfn.UNICHAR(160)," ")),TRIM(SUBSTITUTE('worker file'!$A$2:$A$406,_xlfn.UNICHAR(160)," ")),'worker file'!$L$2:$L$406,"")="US Biweekly",$I$3,$I$2))</f>
        <v>—</v>
      </c>
      <c r="E522" s="5" t="s">
        <v>570</v>
      </c>
      <c r="F522" s="5" t="s">
        <v>550</v>
      </c>
    </row>
    <row r="523" spans="1:6" ht="16" x14ac:dyDescent="0.2">
      <c r="A523" s="5" t="s">
        <v>435</v>
      </c>
      <c r="B523" s="5" t="s">
        <v>566</v>
      </c>
      <c r="C523" s="24">
        <v>28.25</v>
      </c>
      <c r="D523" s="22">
        <f t="array" ref="D523">IF(F523="n/a","—",IF(_xlfn.XLOOKUP(TRIM(SUBSTITUTE(A523,_xlfn.UNICHAR(160)," ")),TRIM(SUBSTITUTE('worker file'!$A$2:$A$406,_xlfn.UNICHAR(160)," ")),'worker file'!$L$2:$L$406,"")="US Biweekly",$I$3,$I$2))</f>
        <v>46295</v>
      </c>
      <c r="E523" s="5" t="s">
        <v>571</v>
      </c>
      <c r="F523" s="5" t="s">
        <v>554</v>
      </c>
    </row>
    <row r="524" spans="1:6" ht="16" x14ac:dyDescent="0.2">
      <c r="A524" s="5" t="s">
        <v>436</v>
      </c>
      <c r="B524" s="5" t="s">
        <v>568</v>
      </c>
      <c r="C524" s="21" t="s">
        <v>569</v>
      </c>
      <c r="D524" s="22" t="str">
        <f t="array" ref="D524">IF(F524="n/a","—",IF(_xlfn.XLOOKUP(TRIM(SUBSTITUTE(A524,_xlfn.UNICHAR(160)," ")),TRIM(SUBSTITUTE('worker file'!$A$2:$A$406,_xlfn.UNICHAR(160)," ")),'worker file'!$L$2:$L$406,"")="US Biweekly",$I$3,$I$2))</f>
        <v>—</v>
      </c>
      <c r="E524" s="5" t="s">
        <v>570</v>
      </c>
      <c r="F524" s="5" t="s">
        <v>550</v>
      </c>
    </row>
    <row r="525" spans="1:6" ht="16" x14ac:dyDescent="0.2">
      <c r="A525" s="5" t="s">
        <v>436</v>
      </c>
      <c r="B525" s="5" t="s">
        <v>566</v>
      </c>
      <c r="C525" s="24">
        <v>26.75</v>
      </c>
      <c r="D525" s="22">
        <f t="array" ref="D525">IF(F525="n/a","—",IF(_xlfn.XLOOKUP(TRIM(SUBSTITUTE(A525,_xlfn.UNICHAR(160)," ")),TRIM(SUBSTITUTE('worker file'!$A$2:$A$406,_xlfn.UNICHAR(160)," ")),'worker file'!$L$2:$L$406,"")="US Biweekly",$I$3,$I$2))</f>
        <v>46295</v>
      </c>
      <c r="E525" s="5" t="s">
        <v>571</v>
      </c>
      <c r="F525" s="5" t="s">
        <v>554</v>
      </c>
    </row>
    <row r="526" spans="1:6" ht="16" x14ac:dyDescent="0.2">
      <c r="A526" s="5" t="s">
        <v>437</v>
      </c>
      <c r="B526" s="5" t="s">
        <v>573</v>
      </c>
      <c r="C526" s="24">
        <v>6.25</v>
      </c>
      <c r="D526" s="22">
        <f t="array" ref="D526">IF(F526="n/a","—",IF(_xlfn.XLOOKUP(TRIM(SUBSTITUTE(A526,_xlfn.UNICHAR(160)," ")),TRIM(SUBSTITUTE('worker file'!$A$2:$A$406,_xlfn.UNICHAR(160)," ")),'worker file'!$L$2:$L$406,"")="US Biweekly",$I$3,$I$2))</f>
        <v>46298</v>
      </c>
      <c r="E526" s="5" t="s">
        <v>574</v>
      </c>
      <c r="F526" s="5" t="s">
        <v>554</v>
      </c>
    </row>
    <row r="527" spans="1:6" ht="16" x14ac:dyDescent="0.2">
      <c r="A527" s="5" t="s">
        <v>437</v>
      </c>
      <c r="B527" s="5" t="s">
        <v>575</v>
      </c>
      <c r="C527" s="24">
        <v>4</v>
      </c>
      <c r="D527" s="22">
        <f t="array" ref="D527">IF(F527="n/a","—",IF(_xlfn.XLOOKUP(TRIM(SUBSTITUTE(A527,_xlfn.UNICHAR(160)," ")),TRIM(SUBSTITUTE('worker file'!$A$2:$A$406,_xlfn.UNICHAR(160)," ")),'worker file'!$L$2:$L$406,"")="US Biweekly",$I$3,$I$2))</f>
        <v>46298</v>
      </c>
      <c r="E527" s="5" t="s">
        <v>576</v>
      </c>
      <c r="F527" s="5" t="s">
        <v>554</v>
      </c>
    </row>
    <row r="528" spans="1:6" ht="16" x14ac:dyDescent="0.2">
      <c r="A528" s="5" t="s">
        <v>438</v>
      </c>
      <c r="B528" s="5" t="s">
        <v>568</v>
      </c>
      <c r="C528" s="21" t="s">
        <v>569</v>
      </c>
      <c r="D528" s="22" t="str">
        <f t="array" ref="D528">IF(F528="n/a","—",IF(_xlfn.XLOOKUP(TRIM(SUBSTITUTE(A528,_xlfn.UNICHAR(160)," ")),TRIM(SUBSTITUTE('worker file'!$A$2:$A$406,_xlfn.UNICHAR(160)," ")),'worker file'!$L$2:$L$406,"")="US Biweekly",$I$3,$I$2))</f>
        <v>—</v>
      </c>
      <c r="E528" s="5" t="s">
        <v>570</v>
      </c>
      <c r="F528" s="5" t="s">
        <v>550</v>
      </c>
    </row>
    <row r="529" spans="1:6" ht="16" x14ac:dyDescent="0.2">
      <c r="A529" s="5" t="s">
        <v>438</v>
      </c>
      <c r="B529" s="5" t="s">
        <v>566</v>
      </c>
      <c r="C529" s="24">
        <v>20.5</v>
      </c>
      <c r="D529" s="22">
        <f t="array" ref="D529">IF(F529="n/a","—",IF(_xlfn.XLOOKUP(TRIM(SUBSTITUTE(A529,_xlfn.UNICHAR(160)," ")),TRIM(SUBSTITUTE('worker file'!$A$2:$A$406,_xlfn.UNICHAR(160)," ")),'worker file'!$L$2:$L$406,"")="US Biweekly",$I$3,$I$2))</f>
        <v>46295</v>
      </c>
      <c r="E529" s="5" t="s">
        <v>571</v>
      </c>
      <c r="F529" s="5" t="s">
        <v>554</v>
      </c>
    </row>
    <row r="530" spans="1:6" ht="16" x14ac:dyDescent="0.2">
      <c r="A530" s="5" t="s">
        <v>439</v>
      </c>
      <c r="B530" s="5" t="s">
        <v>584</v>
      </c>
      <c r="C530" s="25">
        <v>5</v>
      </c>
      <c r="D530" s="22">
        <f t="array" ref="D530">IF(F530="n/a","—",IF(_xlfn.XLOOKUP(TRIM(SUBSTITUTE(A530,_xlfn.UNICHAR(160)," ")),TRIM(SUBSTITUTE('worker file'!$A$2:$A$406,_xlfn.UNICHAR(160)," ")),'worker file'!$L$2:$L$406,"")="US Biweekly",$I$3,$I$2))</f>
        <v>46295</v>
      </c>
      <c r="E530" s="5" t="s">
        <v>585</v>
      </c>
      <c r="F530" s="5" t="s">
        <v>559</v>
      </c>
    </row>
    <row r="531" spans="1:6" ht="16" x14ac:dyDescent="0.2">
      <c r="A531" s="5" t="s">
        <v>439</v>
      </c>
      <c r="B531" s="5" t="s">
        <v>586</v>
      </c>
      <c r="C531" s="25">
        <v>3</v>
      </c>
      <c r="D531" s="22">
        <f t="array" ref="D531">IF(F531="n/a","—",IF(_xlfn.XLOOKUP(TRIM(SUBSTITUTE(A531,_xlfn.UNICHAR(160)," ")),TRIM(SUBSTITUTE('worker file'!$A$2:$A$406,_xlfn.UNICHAR(160)," ")),'worker file'!$L$2:$L$406,"")="US Biweekly",$I$3,$I$2))</f>
        <v>46295</v>
      </c>
      <c r="E531" s="5" t="s">
        <v>587</v>
      </c>
      <c r="F531" s="5" t="s">
        <v>559</v>
      </c>
    </row>
    <row r="532" spans="1:6" ht="16" x14ac:dyDescent="0.2">
      <c r="A532" s="5" t="s">
        <v>440</v>
      </c>
      <c r="B532" s="5" t="s">
        <v>568</v>
      </c>
      <c r="C532" s="21" t="s">
        <v>569</v>
      </c>
      <c r="D532" s="22" t="str">
        <f t="array" ref="D532">IF(F532="n/a","—",IF(_xlfn.XLOOKUP(TRIM(SUBSTITUTE(A532,_xlfn.UNICHAR(160)," ")),TRIM(SUBSTITUTE('worker file'!$A$2:$A$406,_xlfn.UNICHAR(160)," ")),'worker file'!$L$2:$L$406,"")="US Biweekly",$I$3,$I$2))</f>
        <v>—</v>
      </c>
      <c r="E532" s="5" t="s">
        <v>570</v>
      </c>
      <c r="F532" s="5" t="s">
        <v>550</v>
      </c>
    </row>
    <row r="533" spans="1:6" ht="16" x14ac:dyDescent="0.2">
      <c r="A533" s="5" t="s">
        <v>441</v>
      </c>
      <c r="B533" s="5" t="s">
        <v>568</v>
      </c>
      <c r="C533" s="21" t="s">
        <v>569</v>
      </c>
      <c r="D533" s="22" t="str">
        <f t="array" ref="D533">IF(F533="n/a","—",IF(_xlfn.XLOOKUP(TRIM(SUBSTITUTE(A533,_xlfn.UNICHAR(160)," ")),TRIM(SUBSTITUTE('worker file'!$A$2:$A$406,_xlfn.UNICHAR(160)," ")),'worker file'!$L$2:$L$406,"")="US Biweekly",$I$3,$I$2))</f>
        <v>—</v>
      </c>
      <c r="E533" s="5" t="s">
        <v>570</v>
      </c>
      <c r="F533" s="5" t="s">
        <v>550</v>
      </c>
    </row>
    <row r="534" spans="1:6" ht="16" x14ac:dyDescent="0.2">
      <c r="A534" s="5" t="s">
        <v>442</v>
      </c>
      <c r="B534" s="5" t="s">
        <v>568</v>
      </c>
      <c r="C534" s="21" t="s">
        <v>569</v>
      </c>
      <c r="D534" s="22" t="str">
        <f t="array" ref="D534">IF(F534="n/a","—",IF(_xlfn.XLOOKUP(TRIM(SUBSTITUTE(A534,_xlfn.UNICHAR(160)," ")),TRIM(SUBSTITUTE('worker file'!$A$2:$A$406,_xlfn.UNICHAR(160)," ")),'worker file'!$L$2:$L$406,"")="US Biweekly",$I$3,$I$2))</f>
        <v>—</v>
      </c>
      <c r="E534" s="5" t="s">
        <v>570</v>
      </c>
      <c r="F534" s="5" t="s">
        <v>550</v>
      </c>
    </row>
    <row r="535" spans="1:6" ht="16" x14ac:dyDescent="0.2">
      <c r="A535" s="5" t="s">
        <v>442</v>
      </c>
      <c r="B535" s="5" t="s">
        <v>566</v>
      </c>
      <c r="C535" s="24">
        <v>26.25</v>
      </c>
      <c r="D535" s="22">
        <f t="array" ref="D535">IF(F535="n/a","—",IF(_xlfn.XLOOKUP(TRIM(SUBSTITUTE(A535,_xlfn.UNICHAR(160)," ")),TRIM(SUBSTITUTE('worker file'!$A$2:$A$406,_xlfn.UNICHAR(160)," ")),'worker file'!$L$2:$L$406,"")="US Biweekly",$I$3,$I$2))</f>
        <v>46295</v>
      </c>
      <c r="E535" s="5" t="s">
        <v>571</v>
      </c>
      <c r="F535" s="5" t="s">
        <v>554</v>
      </c>
    </row>
    <row r="536" spans="1:6" ht="16" x14ac:dyDescent="0.2">
      <c r="A536" s="5" t="s">
        <v>443</v>
      </c>
      <c r="B536" s="5" t="s">
        <v>568</v>
      </c>
      <c r="C536" s="21" t="s">
        <v>569</v>
      </c>
      <c r="D536" s="22" t="str">
        <f t="array" ref="D536">IF(F536="n/a","—",IF(_xlfn.XLOOKUP(TRIM(SUBSTITUTE(A536,_xlfn.UNICHAR(160)," ")),TRIM(SUBSTITUTE('worker file'!$A$2:$A$406,_xlfn.UNICHAR(160)," ")),'worker file'!$L$2:$L$406,"")="US Biweekly",$I$3,$I$2))</f>
        <v>—</v>
      </c>
      <c r="E536" s="5" t="s">
        <v>570</v>
      </c>
      <c r="F536" s="5" t="s">
        <v>550</v>
      </c>
    </row>
    <row r="537" spans="1:6" ht="16" x14ac:dyDescent="0.2">
      <c r="A537" s="5" t="s">
        <v>444</v>
      </c>
      <c r="B537" s="5" t="s">
        <v>568</v>
      </c>
      <c r="C537" s="21" t="s">
        <v>569</v>
      </c>
      <c r="D537" s="22" t="str">
        <f t="array" ref="D537">IF(F537="n/a","—",IF(_xlfn.XLOOKUP(TRIM(SUBSTITUTE(A537,_xlfn.UNICHAR(160)," ")),TRIM(SUBSTITUTE('worker file'!$A$2:$A$406,_xlfn.UNICHAR(160)," ")),'worker file'!$L$2:$L$406,"")="US Biweekly",$I$3,$I$2))</f>
        <v>—</v>
      </c>
      <c r="E537" s="5" t="s">
        <v>570</v>
      </c>
      <c r="F537" s="5" t="s">
        <v>550</v>
      </c>
    </row>
    <row r="538" spans="1:6" ht="16" x14ac:dyDescent="0.2">
      <c r="A538" s="5" t="s">
        <v>444</v>
      </c>
      <c r="B538" s="5" t="s">
        <v>566</v>
      </c>
      <c r="C538" s="24">
        <v>24</v>
      </c>
      <c r="D538" s="22">
        <f t="array" ref="D538">IF(F538="n/a","—",IF(_xlfn.XLOOKUP(TRIM(SUBSTITUTE(A538,_xlfn.UNICHAR(160)," ")),TRIM(SUBSTITUTE('worker file'!$A$2:$A$406,_xlfn.UNICHAR(160)," ")),'worker file'!$L$2:$L$406,"")="US Biweekly",$I$3,$I$2))</f>
        <v>46295</v>
      </c>
      <c r="E538" s="5" t="s">
        <v>571</v>
      </c>
      <c r="F538" s="5" t="s">
        <v>554</v>
      </c>
    </row>
    <row r="539" spans="1:6" ht="16" x14ac:dyDescent="0.2">
      <c r="A539" s="5" t="s">
        <v>445</v>
      </c>
      <c r="B539" s="5" t="s">
        <v>568</v>
      </c>
      <c r="C539" s="21" t="s">
        <v>569</v>
      </c>
      <c r="D539" s="22" t="str">
        <f t="array" ref="D539">IF(F539="n/a","—",IF(_xlfn.XLOOKUP(TRIM(SUBSTITUTE(A539,_xlfn.UNICHAR(160)," ")),TRIM(SUBSTITUTE('worker file'!$A$2:$A$406,_xlfn.UNICHAR(160)," ")),'worker file'!$L$2:$L$406,"")="US Biweekly",$I$3,$I$2))</f>
        <v>—</v>
      </c>
      <c r="E539" s="5" t="s">
        <v>570</v>
      </c>
      <c r="F539" s="5" t="s">
        <v>550</v>
      </c>
    </row>
    <row r="540" spans="1:6" ht="16" x14ac:dyDescent="0.2">
      <c r="A540" s="5" t="s">
        <v>445</v>
      </c>
      <c r="B540" s="5" t="s">
        <v>566</v>
      </c>
      <c r="C540" s="24">
        <v>20</v>
      </c>
      <c r="D540" s="22">
        <f t="array" ref="D540">IF(F540="n/a","—",IF(_xlfn.XLOOKUP(TRIM(SUBSTITUTE(A540,_xlfn.UNICHAR(160)," ")),TRIM(SUBSTITUTE('worker file'!$A$2:$A$406,_xlfn.UNICHAR(160)," ")),'worker file'!$L$2:$L$406,"")="US Biweekly",$I$3,$I$2))</f>
        <v>46295</v>
      </c>
      <c r="E540" s="5" t="s">
        <v>571</v>
      </c>
      <c r="F540" s="5" t="s">
        <v>554</v>
      </c>
    </row>
    <row r="541" spans="1:6" ht="16" x14ac:dyDescent="0.2">
      <c r="A541" s="5" t="s">
        <v>446</v>
      </c>
      <c r="B541" s="5" t="s">
        <v>568</v>
      </c>
      <c r="C541" s="21" t="s">
        <v>569</v>
      </c>
      <c r="D541" s="22" t="str">
        <f t="array" ref="D541">IF(F541="n/a","—",IF(_xlfn.XLOOKUP(TRIM(SUBSTITUTE(A541,_xlfn.UNICHAR(160)," ")),TRIM(SUBSTITUTE('worker file'!$A$2:$A$406,_xlfn.UNICHAR(160)," ")),'worker file'!$L$2:$L$406,"")="US Biweekly",$I$3,$I$2))</f>
        <v>—</v>
      </c>
      <c r="E541" s="5" t="s">
        <v>570</v>
      </c>
      <c r="F541" s="5" t="s">
        <v>550</v>
      </c>
    </row>
    <row r="542" spans="1:6" ht="16" x14ac:dyDescent="0.2">
      <c r="A542" s="5" t="s">
        <v>447</v>
      </c>
      <c r="B542" s="5" t="s">
        <v>568</v>
      </c>
      <c r="C542" s="21" t="s">
        <v>569</v>
      </c>
      <c r="D542" s="22" t="str">
        <f t="array" ref="D542">IF(F542="n/a","—",IF(_xlfn.XLOOKUP(TRIM(SUBSTITUTE(A542,_xlfn.UNICHAR(160)," ")),TRIM(SUBSTITUTE('worker file'!$A$2:$A$406,_xlfn.UNICHAR(160)," ")),'worker file'!$L$2:$L$406,"")="US Biweekly",$I$3,$I$2))</f>
        <v>—</v>
      </c>
      <c r="E542" s="5" t="s">
        <v>570</v>
      </c>
      <c r="F542" s="5" t="s">
        <v>550</v>
      </c>
    </row>
    <row r="543" spans="1:6" ht="16" x14ac:dyDescent="0.2">
      <c r="A543" s="5" t="s">
        <v>447</v>
      </c>
      <c r="B543" s="5" t="s">
        <v>577</v>
      </c>
      <c r="C543" s="24">
        <v>10</v>
      </c>
      <c r="D543" s="22">
        <f t="array" ref="D543">IF(F543="n/a","—",IF(_xlfn.XLOOKUP(TRIM(SUBSTITUTE(A543,_xlfn.UNICHAR(160)," ")),TRIM(SUBSTITUTE('worker file'!$A$2:$A$406,_xlfn.UNICHAR(160)," ")),'worker file'!$L$2:$L$406,"")="US Biweekly",$I$3,$I$2))</f>
        <v>46295</v>
      </c>
      <c r="E543" s="5" t="s">
        <v>578</v>
      </c>
      <c r="F543" s="5" t="s">
        <v>554</v>
      </c>
    </row>
    <row r="544" spans="1:6" ht="16" x14ac:dyDescent="0.2">
      <c r="A544" s="5" t="s">
        <v>448</v>
      </c>
      <c r="B544" s="5" t="s">
        <v>568</v>
      </c>
      <c r="C544" s="21" t="s">
        <v>569</v>
      </c>
      <c r="D544" s="22" t="str">
        <f t="array" ref="D544">IF(F544="n/a","—",IF(_xlfn.XLOOKUP(TRIM(SUBSTITUTE(A544,_xlfn.UNICHAR(160)," ")),TRIM(SUBSTITUTE('worker file'!$A$2:$A$406,_xlfn.UNICHAR(160)," ")),'worker file'!$L$2:$L$406,"")="US Biweekly",$I$3,$I$2))</f>
        <v>—</v>
      </c>
      <c r="E544" s="5" t="s">
        <v>570</v>
      </c>
      <c r="F544" s="5" t="s">
        <v>550</v>
      </c>
    </row>
    <row r="545" spans="1:6" ht="16" x14ac:dyDescent="0.2">
      <c r="A545" s="5" t="s">
        <v>449</v>
      </c>
      <c r="B545" s="5" t="s">
        <v>573</v>
      </c>
      <c r="C545" s="24">
        <v>3</v>
      </c>
      <c r="D545" s="22">
        <f t="array" ref="D545">IF(F545="n/a","—",IF(_xlfn.XLOOKUP(TRIM(SUBSTITUTE(A545,_xlfn.UNICHAR(160)," ")),TRIM(SUBSTITUTE('worker file'!$A$2:$A$406,_xlfn.UNICHAR(160)," ")),'worker file'!$L$2:$L$406,"")="US Biweekly",$I$3,$I$2))</f>
        <v>46298</v>
      </c>
      <c r="E545" s="5" t="s">
        <v>574</v>
      </c>
      <c r="F545" s="5" t="s">
        <v>554</v>
      </c>
    </row>
    <row r="546" spans="1:6" ht="16" x14ac:dyDescent="0.2">
      <c r="A546" s="5" t="s">
        <v>449</v>
      </c>
      <c r="B546" s="5" t="s">
        <v>575</v>
      </c>
      <c r="C546" s="24">
        <v>9.75</v>
      </c>
      <c r="D546" s="22">
        <f t="array" ref="D546">IF(F546="n/a","—",IF(_xlfn.XLOOKUP(TRIM(SUBSTITUTE(A546,_xlfn.UNICHAR(160)," ")),TRIM(SUBSTITUTE('worker file'!$A$2:$A$406,_xlfn.UNICHAR(160)," ")),'worker file'!$L$2:$L$406,"")="US Biweekly",$I$3,$I$2))</f>
        <v>46298</v>
      </c>
      <c r="E546" s="5" t="s">
        <v>576</v>
      </c>
      <c r="F546" s="5" t="s">
        <v>554</v>
      </c>
    </row>
    <row r="547" spans="1:6" ht="16" x14ac:dyDescent="0.2">
      <c r="A547" s="5" t="s">
        <v>450</v>
      </c>
      <c r="B547" s="5" t="s">
        <v>588</v>
      </c>
      <c r="C547" s="25">
        <v>6.5</v>
      </c>
      <c r="D547" s="22">
        <f t="array" ref="D547">IF(F547="n/a","—",IF(_xlfn.XLOOKUP(TRIM(SUBSTITUTE(A547,_xlfn.UNICHAR(160)," ")),TRIM(SUBSTITUTE('worker file'!$A$2:$A$406,_xlfn.UNICHAR(160)," ")),'worker file'!$L$2:$L$406,"")="US Biweekly",$I$3,$I$2))</f>
        <v>46295</v>
      </c>
      <c r="E547" s="5" t="s">
        <v>589</v>
      </c>
      <c r="F547" s="5" t="s">
        <v>559</v>
      </c>
    </row>
    <row r="548" spans="1:6" ht="16" x14ac:dyDescent="0.2">
      <c r="A548" s="5" t="s">
        <v>451</v>
      </c>
      <c r="B548" s="5" t="s">
        <v>568</v>
      </c>
      <c r="C548" s="21" t="s">
        <v>569</v>
      </c>
      <c r="D548" s="22" t="str">
        <f t="array" ref="D548">IF(F548="n/a","—",IF(_xlfn.XLOOKUP(TRIM(SUBSTITUTE(A548,_xlfn.UNICHAR(160)," ")),TRIM(SUBSTITUTE('worker file'!$A$2:$A$406,_xlfn.UNICHAR(160)," ")),'worker file'!$L$2:$L$406,"")="US Biweekly",$I$3,$I$2))</f>
        <v>—</v>
      </c>
      <c r="E548" s="5" t="s">
        <v>570</v>
      </c>
      <c r="F548" s="5" t="s">
        <v>550</v>
      </c>
    </row>
    <row r="549" spans="1:6" ht="16" x14ac:dyDescent="0.2">
      <c r="A549" s="5" t="s">
        <v>451</v>
      </c>
      <c r="B549" s="5" t="s">
        <v>590</v>
      </c>
      <c r="C549" s="24">
        <v>5.25</v>
      </c>
      <c r="D549" s="22">
        <f t="array" ref="D549">IF(F549="n/a","—",IF(_xlfn.XLOOKUP(TRIM(SUBSTITUTE(A549,_xlfn.UNICHAR(160)," ")),TRIM(SUBSTITUTE('worker file'!$A$2:$A$406,_xlfn.UNICHAR(160)," ")),'worker file'!$L$2:$L$406,"")="US Biweekly",$I$3,$I$2))</f>
        <v>46295</v>
      </c>
      <c r="E549" s="5" t="s">
        <v>591</v>
      </c>
      <c r="F549" s="5" t="s">
        <v>554</v>
      </c>
    </row>
    <row r="550" spans="1:6" ht="16" x14ac:dyDescent="0.2">
      <c r="A550" s="5" t="s">
        <v>452</v>
      </c>
      <c r="B550" s="5" t="s">
        <v>573</v>
      </c>
      <c r="C550" s="24">
        <v>9.75</v>
      </c>
      <c r="D550" s="22">
        <f t="array" ref="D550">IF(F550="n/a","—",IF(_xlfn.XLOOKUP(TRIM(SUBSTITUTE(A550,_xlfn.UNICHAR(160)," ")),TRIM(SUBSTITUTE('worker file'!$A$2:$A$406,_xlfn.UNICHAR(160)," ")),'worker file'!$L$2:$L$406,"")="US Biweekly",$I$3,$I$2))</f>
        <v>46298</v>
      </c>
      <c r="E550" s="5" t="s">
        <v>574</v>
      </c>
      <c r="F550" s="5" t="s">
        <v>554</v>
      </c>
    </row>
    <row r="551" spans="1:6" ht="16" x14ac:dyDescent="0.2">
      <c r="A551" s="5" t="s">
        <v>452</v>
      </c>
      <c r="B551" s="5" t="s">
        <v>575</v>
      </c>
      <c r="C551" s="24">
        <v>1.25</v>
      </c>
      <c r="D551" s="22">
        <f t="array" ref="D551">IF(F551="n/a","—",IF(_xlfn.XLOOKUP(TRIM(SUBSTITUTE(A551,_xlfn.UNICHAR(160)," ")),TRIM(SUBSTITUTE('worker file'!$A$2:$A$406,_xlfn.UNICHAR(160)," ")),'worker file'!$L$2:$L$406,"")="US Biweekly",$I$3,$I$2))</f>
        <v>46298</v>
      </c>
      <c r="E551" s="5" t="s">
        <v>576</v>
      </c>
      <c r="F551" s="5" t="s">
        <v>554</v>
      </c>
    </row>
    <row r="552" spans="1:6" ht="16" x14ac:dyDescent="0.2">
      <c r="A552" s="5" t="s">
        <v>453</v>
      </c>
      <c r="B552" s="5" t="s">
        <v>568</v>
      </c>
      <c r="C552" s="21" t="s">
        <v>569</v>
      </c>
      <c r="D552" s="22" t="str">
        <f t="array" ref="D552">IF(F552="n/a","—",IF(_xlfn.XLOOKUP(TRIM(SUBSTITUTE(A552,_xlfn.UNICHAR(160)," ")),TRIM(SUBSTITUTE('worker file'!$A$2:$A$406,_xlfn.UNICHAR(160)," ")),'worker file'!$L$2:$L$406,"")="US Biweekly",$I$3,$I$2))</f>
        <v>—</v>
      </c>
      <c r="E552" s="5" t="s">
        <v>570</v>
      </c>
      <c r="F552" s="5" t="s">
        <v>550</v>
      </c>
    </row>
    <row r="553" spans="1:6" ht="16" x14ac:dyDescent="0.2">
      <c r="A553" s="5" t="s">
        <v>454</v>
      </c>
      <c r="B553" s="5" t="s">
        <v>568</v>
      </c>
      <c r="C553" s="21" t="s">
        <v>569</v>
      </c>
      <c r="D553" s="22" t="str">
        <f t="array" ref="D553">IF(F553="n/a","—",IF(_xlfn.XLOOKUP(TRIM(SUBSTITUTE(A553,_xlfn.UNICHAR(160)," ")),TRIM(SUBSTITUTE('worker file'!$A$2:$A$406,_xlfn.UNICHAR(160)," ")),'worker file'!$L$2:$L$406,"")="US Biweekly",$I$3,$I$2))</f>
        <v>—</v>
      </c>
      <c r="E553" s="5" t="s">
        <v>570</v>
      </c>
      <c r="F553" s="5" t="s">
        <v>550</v>
      </c>
    </row>
    <row r="554" spans="1:6" ht="16" x14ac:dyDescent="0.2">
      <c r="A554" s="5" t="s">
        <v>454</v>
      </c>
      <c r="B554" s="5" t="s">
        <v>566</v>
      </c>
      <c r="C554" s="24">
        <v>15.75</v>
      </c>
      <c r="D554" s="22">
        <f t="array" ref="D554">IF(F554="n/a","—",IF(_xlfn.XLOOKUP(TRIM(SUBSTITUTE(A554,_xlfn.UNICHAR(160)," ")),TRIM(SUBSTITUTE('worker file'!$A$2:$A$406,_xlfn.UNICHAR(160)," ")),'worker file'!$L$2:$L$406,"")="US Biweekly",$I$3,$I$2))</f>
        <v>46295</v>
      </c>
      <c r="E554" s="5" t="s">
        <v>571</v>
      </c>
      <c r="F554" s="5" t="s">
        <v>554</v>
      </c>
    </row>
    <row r="555" spans="1:6" ht="16" x14ac:dyDescent="0.2">
      <c r="A555" s="5" t="s">
        <v>455</v>
      </c>
      <c r="B555" s="5" t="s">
        <v>568</v>
      </c>
      <c r="C555" s="21" t="s">
        <v>569</v>
      </c>
      <c r="D555" s="22" t="str">
        <f t="array" ref="D555">IF(F555="n/a","—",IF(_xlfn.XLOOKUP(TRIM(SUBSTITUTE(A555,_xlfn.UNICHAR(160)," ")),TRIM(SUBSTITUTE('worker file'!$A$2:$A$406,_xlfn.UNICHAR(160)," ")),'worker file'!$L$2:$L$406,"")="US Biweekly",$I$3,$I$2))</f>
        <v>—</v>
      </c>
      <c r="E555" s="5" t="s">
        <v>570</v>
      </c>
      <c r="F555" s="5" t="s">
        <v>550</v>
      </c>
    </row>
    <row r="556" spans="1:6" ht="16" x14ac:dyDescent="0.2">
      <c r="A556" s="5" t="s">
        <v>455</v>
      </c>
      <c r="B556" s="5" t="s">
        <v>566</v>
      </c>
      <c r="C556" s="24">
        <v>9.25</v>
      </c>
      <c r="D556" s="22">
        <f t="array" ref="D556">IF(F556="n/a","—",IF(_xlfn.XLOOKUP(TRIM(SUBSTITUTE(A556,_xlfn.UNICHAR(160)," ")),TRIM(SUBSTITUTE('worker file'!$A$2:$A$406,_xlfn.UNICHAR(160)," ")),'worker file'!$L$2:$L$406,"")="US Biweekly",$I$3,$I$2))</f>
        <v>46295</v>
      </c>
      <c r="E556" s="5" t="s">
        <v>571</v>
      </c>
      <c r="F556" s="5" t="s">
        <v>554</v>
      </c>
    </row>
    <row r="557" spans="1:6" ht="16" x14ac:dyDescent="0.2">
      <c r="A557" s="5" t="s">
        <v>456</v>
      </c>
      <c r="B557" s="5" t="s">
        <v>568</v>
      </c>
      <c r="C557" s="21" t="s">
        <v>569</v>
      </c>
      <c r="D557" s="22" t="str">
        <f t="array" ref="D557">IF(F557="n/a","—",IF(_xlfn.XLOOKUP(TRIM(SUBSTITUTE(A557,_xlfn.UNICHAR(160)," ")),TRIM(SUBSTITUTE('worker file'!$A$2:$A$406,_xlfn.UNICHAR(160)," ")),'worker file'!$L$2:$L$406,"")="US Biweekly",$I$3,$I$2))</f>
        <v>—</v>
      </c>
      <c r="E557" s="5" t="s">
        <v>570</v>
      </c>
      <c r="F557" s="5" t="s">
        <v>550</v>
      </c>
    </row>
    <row r="558" spans="1:6" ht="16" x14ac:dyDescent="0.2">
      <c r="A558" s="5" t="s">
        <v>456</v>
      </c>
      <c r="B558" s="5" t="s">
        <v>566</v>
      </c>
      <c r="C558" s="24">
        <v>14.75</v>
      </c>
      <c r="D558" s="22">
        <f t="array" ref="D558">IF(F558="n/a","—",IF(_xlfn.XLOOKUP(TRIM(SUBSTITUTE(A558,_xlfn.UNICHAR(160)," ")),TRIM(SUBSTITUTE('worker file'!$A$2:$A$406,_xlfn.UNICHAR(160)," ")),'worker file'!$L$2:$L$406,"")="US Biweekly",$I$3,$I$2))</f>
        <v>46295</v>
      </c>
      <c r="E558" s="5" t="s">
        <v>571</v>
      </c>
      <c r="F558" s="5" t="s">
        <v>554</v>
      </c>
    </row>
    <row r="559" spans="1:6" ht="16" x14ac:dyDescent="0.2">
      <c r="A559" s="5" t="s">
        <v>457</v>
      </c>
      <c r="B559" s="5" t="s">
        <v>568</v>
      </c>
      <c r="C559" s="21" t="s">
        <v>569</v>
      </c>
      <c r="D559" s="22" t="str">
        <f t="array" ref="D559">IF(F559="n/a","—",IF(_xlfn.XLOOKUP(TRIM(SUBSTITUTE(A559,_xlfn.UNICHAR(160)," ")),TRIM(SUBSTITUTE('worker file'!$A$2:$A$406,_xlfn.UNICHAR(160)," ")),'worker file'!$L$2:$L$406,"")="US Biweekly",$I$3,$I$2))</f>
        <v>—</v>
      </c>
      <c r="E559" s="5" t="s">
        <v>570</v>
      </c>
      <c r="F559" s="5" t="s">
        <v>550</v>
      </c>
    </row>
    <row r="560" spans="1:6" ht="16" x14ac:dyDescent="0.2">
      <c r="A560" s="5" t="s">
        <v>457</v>
      </c>
      <c r="B560" s="5" t="s">
        <v>566</v>
      </c>
      <c r="C560" s="24">
        <v>9.75</v>
      </c>
      <c r="D560" s="22">
        <f t="array" ref="D560">IF(F560="n/a","—",IF(_xlfn.XLOOKUP(TRIM(SUBSTITUTE(A560,_xlfn.UNICHAR(160)," ")),TRIM(SUBSTITUTE('worker file'!$A$2:$A$406,_xlfn.UNICHAR(160)," ")),'worker file'!$L$2:$L$406,"")="US Biweekly",$I$3,$I$2))</f>
        <v>46295</v>
      </c>
      <c r="E560" s="5" t="s">
        <v>571</v>
      </c>
      <c r="F560" s="5" t="s">
        <v>554</v>
      </c>
    </row>
    <row r="561" spans="1:6" ht="16" x14ac:dyDescent="0.2">
      <c r="A561" s="5" t="s">
        <v>458</v>
      </c>
      <c r="B561" s="5" t="s">
        <v>568</v>
      </c>
      <c r="C561" s="21" t="s">
        <v>569</v>
      </c>
      <c r="D561" s="22" t="str">
        <f t="array" ref="D561">IF(F561="n/a","—",IF(_xlfn.XLOOKUP(TRIM(SUBSTITUTE(A561,_xlfn.UNICHAR(160)," ")),TRIM(SUBSTITUTE('worker file'!$A$2:$A$406,_xlfn.UNICHAR(160)," ")),'worker file'!$L$2:$L$406,"")="US Biweekly",$I$3,$I$2))</f>
        <v>—</v>
      </c>
      <c r="E561" s="5" t="s">
        <v>570</v>
      </c>
      <c r="F561" s="5" t="s">
        <v>550</v>
      </c>
    </row>
    <row r="562" spans="1:6" ht="16" x14ac:dyDescent="0.2">
      <c r="A562" s="5" t="s">
        <v>458</v>
      </c>
      <c r="B562" s="5" t="s">
        <v>590</v>
      </c>
      <c r="C562" s="24">
        <v>6.25</v>
      </c>
      <c r="D562" s="22">
        <f t="array" ref="D562">IF(F562="n/a","—",IF(_xlfn.XLOOKUP(TRIM(SUBSTITUTE(A562,_xlfn.UNICHAR(160)," ")),TRIM(SUBSTITUTE('worker file'!$A$2:$A$406,_xlfn.UNICHAR(160)," ")),'worker file'!$L$2:$L$406,"")="US Biweekly",$I$3,$I$2))</f>
        <v>46295</v>
      </c>
      <c r="E562" s="5" t="s">
        <v>591</v>
      </c>
      <c r="F562" s="5" t="s">
        <v>554</v>
      </c>
    </row>
    <row r="563" spans="1:6" ht="16" x14ac:dyDescent="0.2">
      <c r="A563" s="5" t="s">
        <v>459</v>
      </c>
      <c r="B563" s="5" t="s">
        <v>588</v>
      </c>
      <c r="C563" s="25">
        <v>2</v>
      </c>
      <c r="D563" s="22">
        <f t="array" ref="D563">IF(F563="n/a","—",IF(_xlfn.XLOOKUP(TRIM(SUBSTITUTE(A563,_xlfn.UNICHAR(160)," ")),TRIM(SUBSTITUTE('worker file'!$A$2:$A$406,_xlfn.UNICHAR(160)," ")),'worker file'!$L$2:$L$406,"")="US Biweekly",$I$3,$I$2))</f>
        <v>46295</v>
      </c>
      <c r="E563" s="5" t="s">
        <v>589</v>
      </c>
      <c r="F563" s="5" t="s">
        <v>559</v>
      </c>
    </row>
    <row r="564" spans="1:6" ht="16" x14ac:dyDescent="0.2">
      <c r="A564" s="5" t="s">
        <v>460</v>
      </c>
      <c r="B564" s="5" t="s">
        <v>584</v>
      </c>
      <c r="C564" s="25">
        <v>3.5</v>
      </c>
      <c r="D564" s="22">
        <f t="array" ref="D564">IF(F564="n/a","—",IF(_xlfn.XLOOKUP(TRIM(SUBSTITUTE(A564,_xlfn.UNICHAR(160)," ")),TRIM(SUBSTITUTE('worker file'!$A$2:$A$406,_xlfn.UNICHAR(160)," ")),'worker file'!$L$2:$L$406,"")="US Biweekly",$I$3,$I$2))</f>
        <v>46295</v>
      </c>
      <c r="E564" s="5" t="s">
        <v>585</v>
      </c>
      <c r="F564" s="5" t="s">
        <v>559</v>
      </c>
    </row>
    <row r="565" spans="1:6" ht="16" x14ac:dyDescent="0.2">
      <c r="A565" s="5" t="s">
        <v>460</v>
      </c>
      <c r="B565" s="5" t="s">
        <v>586</v>
      </c>
      <c r="C565" s="25">
        <v>0.5</v>
      </c>
      <c r="D565" s="22">
        <f t="array" ref="D565">IF(F565="n/a","—",IF(_xlfn.XLOOKUP(TRIM(SUBSTITUTE(A565,_xlfn.UNICHAR(160)," ")),TRIM(SUBSTITUTE('worker file'!$A$2:$A$406,_xlfn.UNICHAR(160)," ")),'worker file'!$L$2:$L$406,"")="US Biweekly",$I$3,$I$2))</f>
        <v>46295</v>
      </c>
      <c r="E565" s="5" t="s">
        <v>587</v>
      </c>
      <c r="F565" s="5" t="s">
        <v>559</v>
      </c>
    </row>
    <row r="566" spans="1:6" ht="16" x14ac:dyDescent="0.2">
      <c r="A566" s="5" t="s">
        <v>461</v>
      </c>
      <c r="B566" s="5" t="s">
        <v>568</v>
      </c>
      <c r="C566" s="21" t="s">
        <v>569</v>
      </c>
      <c r="D566" s="22" t="str">
        <f t="array" ref="D566">IF(F566="n/a","—",IF(_xlfn.XLOOKUP(TRIM(SUBSTITUTE(A566,_xlfn.UNICHAR(160)," ")),TRIM(SUBSTITUTE('worker file'!$A$2:$A$406,_xlfn.UNICHAR(160)," ")),'worker file'!$L$2:$L$406,"")="US Biweekly",$I$3,$I$2))</f>
        <v>—</v>
      </c>
      <c r="E566" s="5" t="s">
        <v>570</v>
      </c>
      <c r="F566" s="5" t="s">
        <v>550</v>
      </c>
    </row>
    <row r="567" spans="1:6" ht="16" x14ac:dyDescent="0.2">
      <c r="A567" s="5" t="s">
        <v>461</v>
      </c>
      <c r="B567" s="5" t="s">
        <v>582</v>
      </c>
      <c r="C567" s="24">
        <v>5.25</v>
      </c>
      <c r="D567" s="22">
        <f t="array" ref="D567">IF(F567="n/a","—",IF(_xlfn.XLOOKUP(TRIM(SUBSTITUTE(A567,_xlfn.UNICHAR(160)," ")),TRIM(SUBSTITUTE('worker file'!$A$2:$A$406,_xlfn.UNICHAR(160)," ")),'worker file'!$L$2:$L$406,"")="US Biweekly",$I$3,$I$2))</f>
        <v>46295</v>
      </c>
      <c r="E567" s="5" t="s">
        <v>583</v>
      </c>
      <c r="F567" s="5" t="s">
        <v>554</v>
      </c>
    </row>
    <row r="568" spans="1:6" ht="16" x14ac:dyDescent="0.2">
      <c r="A568" s="5" t="s">
        <v>462</v>
      </c>
      <c r="B568" s="5" t="s">
        <v>568</v>
      </c>
      <c r="C568" s="21" t="s">
        <v>569</v>
      </c>
      <c r="D568" s="22" t="str">
        <f t="array" ref="D568">IF(F568="n/a","—",IF(_xlfn.XLOOKUP(TRIM(SUBSTITUTE(A568,_xlfn.UNICHAR(160)," ")),TRIM(SUBSTITUTE('worker file'!$A$2:$A$406,_xlfn.UNICHAR(160)," ")),'worker file'!$L$2:$L$406,"")="US Biweekly",$I$3,$I$2))</f>
        <v>—</v>
      </c>
      <c r="E568" s="5" t="s">
        <v>570</v>
      </c>
      <c r="F568" s="5" t="s">
        <v>550</v>
      </c>
    </row>
    <row r="569" spans="1:6" ht="16" x14ac:dyDescent="0.2">
      <c r="A569" s="5" t="s">
        <v>462</v>
      </c>
      <c r="B569" s="5" t="s">
        <v>566</v>
      </c>
      <c r="C569" s="24">
        <v>5.75</v>
      </c>
      <c r="D569" s="22">
        <f t="array" ref="D569">IF(F569="n/a","—",IF(_xlfn.XLOOKUP(TRIM(SUBSTITUTE(A569,_xlfn.UNICHAR(160)," ")),TRIM(SUBSTITUTE('worker file'!$A$2:$A$406,_xlfn.UNICHAR(160)," ")),'worker file'!$L$2:$L$406,"")="US Biweekly",$I$3,$I$2))</f>
        <v>46295</v>
      </c>
      <c r="E569" s="5" t="s">
        <v>571</v>
      </c>
      <c r="F569" s="5" t="s">
        <v>554</v>
      </c>
    </row>
    <row r="570" spans="1:6" ht="16" x14ac:dyDescent="0.2">
      <c r="A570" s="5" t="s">
        <v>463</v>
      </c>
      <c r="B570" s="5" t="s">
        <v>573</v>
      </c>
      <c r="C570" s="24">
        <v>4</v>
      </c>
      <c r="D570" s="22">
        <f t="array" ref="D570">IF(F570="n/a","—",IF(_xlfn.XLOOKUP(TRIM(SUBSTITUTE(A570,_xlfn.UNICHAR(160)," ")),TRIM(SUBSTITUTE('worker file'!$A$2:$A$406,_xlfn.UNICHAR(160)," ")),'worker file'!$L$2:$L$406,"")="US Biweekly",$I$3,$I$2))</f>
        <v>46298</v>
      </c>
      <c r="E570" s="5" t="s">
        <v>574</v>
      </c>
      <c r="F570" s="5" t="s">
        <v>554</v>
      </c>
    </row>
    <row r="571" spans="1:6" ht="16" x14ac:dyDescent="0.2">
      <c r="A571" s="5" t="s">
        <v>463</v>
      </c>
      <c r="B571" s="5" t="s">
        <v>575</v>
      </c>
      <c r="C571" s="24">
        <v>3.5</v>
      </c>
      <c r="D571" s="22">
        <f t="array" ref="D571">IF(F571="n/a","—",IF(_xlfn.XLOOKUP(TRIM(SUBSTITUTE(A571,_xlfn.UNICHAR(160)," ")),TRIM(SUBSTITUTE('worker file'!$A$2:$A$406,_xlfn.UNICHAR(160)," ")),'worker file'!$L$2:$L$406,"")="US Biweekly",$I$3,$I$2))</f>
        <v>46298</v>
      </c>
      <c r="E571" s="5" t="s">
        <v>576</v>
      </c>
      <c r="F571" s="5" t="s">
        <v>554</v>
      </c>
    </row>
    <row r="572" spans="1:6" ht="16" x14ac:dyDescent="0.2">
      <c r="A572" s="5" t="s">
        <v>464</v>
      </c>
      <c r="B572" s="5" t="s">
        <v>568</v>
      </c>
      <c r="C572" s="21" t="s">
        <v>569</v>
      </c>
      <c r="D572" s="22" t="str">
        <f t="array" ref="D572">IF(F572="n/a","—",IF(_xlfn.XLOOKUP(TRIM(SUBSTITUTE(A572,_xlfn.UNICHAR(160)," ")),TRIM(SUBSTITUTE('worker file'!$A$2:$A$406,_xlfn.UNICHAR(160)," ")),'worker file'!$L$2:$L$406,"")="US Biweekly",$I$3,$I$2))</f>
        <v>—</v>
      </c>
      <c r="E572" s="5" t="s">
        <v>570</v>
      </c>
      <c r="F572" s="5" t="s">
        <v>550</v>
      </c>
    </row>
    <row r="573" spans="1:6" ht="16" x14ac:dyDescent="0.2">
      <c r="A573" s="5" t="s">
        <v>464</v>
      </c>
      <c r="B573" s="5" t="s">
        <v>566</v>
      </c>
      <c r="C573" s="24">
        <v>4.75</v>
      </c>
      <c r="D573" s="22">
        <f t="array" ref="D573">IF(F573="n/a","—",IF(_xlfn.XLOOKUP(TRIM(SUBSTITUTE(A573,_xlfn.UNICHAR(160)," ")),TRIM(SUBSTITUTE('worker file'!$A$2:$A$406,_xlfn.UNICHAR(160)," ")),'worker file'!$L$2:$L$406,"")="US Biweekly",$I$3,$I$2))</f>
        <v>46295</v>
      </c>
      <c r="E573" s="5" t="s">
        <v>571</v>
      </c>
      <c r="F573" s="5" t="s">
        <v>554</v>
      </c>
    </row>
    <row r="574" spans="1:6" ht="16" x14ac:dyDescent="0.2">
      <c r="A574" s="5" t="s">
        <v>465</v>
      </c>
      <c r="B574" s="5" t="s">
        <v>568</v>
      </c>
      <c r="C574" s="21" t="s">
        <v>569</v>
      </c>
      <c r="D574" s="22" t="str">
        <f t="array" ref="D574">IF(F574="n/a","—",IF(_xlfn.XLOOKUP(TRIM(SUBSTITUTE(A574,_xlfn.UNICHAR(160)," ")),TRIM(SUBSTITUTE('worker file'!$A$2:$A$406,_xlfn.UNICHAR(160)," ")),'worker file'!$L$2:$L$406,"")="US Biweekly",$I$3,$I$2))</f>
        <v>—</v>
      </c>
      <c r="E574" s="5" t="s">
        <v>570</v>
      </c>
      <c r="F574" s="5" t="s">
        <v>550</v>
      </c>
    </row>
    <row r="575" spans="1:6" ht="16" x14ac:dyDescent="0.2">
      <c r="A575" s="5" t="s">
        <v>465</v>
      </c>
      <c r="B575" s="5" t="s">
        <v>566</v>
      </c>
      <c r="C575" s="24">
        <v>7</v>
      </c>
      <c r="D575" s="22">
        <f t="array" ref="D575">IF(F575="n/a","—",IF(_xlfn.XLOOKUP(TRIM(SUBSTITUTE(A575,_xlfn.UNICHAR(160)," ")),TRIM(SUBSTITUTE('worker file'!$A$2:$A$406,_xlfn.UNICHAR(160)," ")),'worker file'!$L$2:$L$406,"")="US Biweekly",$I$3,$I$2))</f>
        <v>46295</v>
      </c>
      <c r="E575" s="5" t="s">
        <v>571</v>
      </c>
      <c r="F575" s="5" t="s">
        <v>554</v>
      </c>
    </row>
    <row r="576" spans="1:6" ht="16" x14ac:dyDescent="0.2">
      <c r="A576" s="5" t="s">
        <v>466</v>
      </c>
      <c r="B576" s="5" t="s">
        <v>568</v>
      </c>
      <c r="C576" s="21" t="s">
        <v>569</v>
      </c>
      <c r="D576" s="22" t="str">
        <f t="array" ref="D576">IF(F576="n/a","—",IF(_xlfn.XLOOKUP(TRIM(SUBSTITUTE(A576,_xlfn.UNICHAR(160)," ")),TRIM(SUBSTITUTE('worker file'!$A$2:$A$406,_xlfn.UNICHAR(160)," ")),'worker file'!$L$2:$L$406,"")="US Biweekly",$I$3,$I$2))</f>
        <v>—</v>
      </c>
      <c r="E576" s="5" t="s">
        <v>570</v>
      </c>
      <c r="F576" s="5" t="s">
        <v>550</v>
      </c>
    </row>
    <row r="577" spans="1:6" ht="16" x14ac:dyDescent="0.2">
      <c r="A577" s="5" t="s">
        <v>467</v>
      </c>
      <c r="B577" s="5" t="s">
        <v>588</v>
      </c>
      <c r="C577" s="25">
        <v>1</v>
      </c>
      <c r="D577" s="22">
        <f t="array" ref="D577">IF(F577="n/a","—",IF(_xlfn.XLOOKUP(TRIM(SUBSTITUTE(A577,_xlfn.UNICHAR(160)," ")),TRIM(SUBSTITUTE('worker file'!$A$2:$A$406,_xlfn.UNICHAR(160)," ")),'worker file'!$L$2:$L$406,"")="US Biweekly",$I$3,$I$2))</f>
        <v>46295</v>
      </c>
      <c r="E577" s="5" t="s">
        <v>589</v>
      </c>
      <c r="F577" s="5" t="s">
        <v>559</v>
      </c>
    </row>
    <row r="578" spans="1:6" ht="16" x14ac:dyDescent="0.2">
      <c r="A578" s="5" t="s">
        <v>468</v>
      </c>
      <c r="B578" s="5" t="s">
        <v>584</v>
      </c>
      <c r="C578" s="25">
        <v>1</v>
      </c>
      <c r="D578" s="22">
        <f t="array" ref="D578">IF(F578="n/a","—",IF(_xlfn.XLOOKUP(TRIM(SUBSTITUTE(A578,_xlfn.UNICHAR(160)," ")),TRIM(SUBSTITUTE('worker file'!$A$2:$A$406,_xlfn.UNICHAR(160)," ")),'worker file'!$L$2:$L$406,"")="US Biweekly",$I$3,$I$2))</f>
        <v>46295</v>
      </c>
      <c r="E578" s="5" t="s">
        <v>585</v>
      </c>
      <c r="F578" s="5" t="s">
        <v>559</v>
      </c>
    </row>
    <row r="579" spans="1:6" ht="16" x14ac:dyDescent="0.2">
      <c r="A579" s="5" t="s">
        <v>468</v>
      </c>
      <c r="B579" s="5" t="s">
        <v>586</v>
      </c>
      <c r="C579" s="25">
        <v>0</v>
      </c>
      <c r="D579" s="22">
        <f t="array" ref="D579">IF(F579="n/a","—",IF(_xlfn.XLOOKUP(TRIM(SUBSTITUTE(A579,_xlfn.UNICHAR(160)," ")),TRIM(SUBSTITUTE('worker file'!$A$2:$A$406,_xlfn.UNICHAR(160)," ")),'worker file'!$L$2:$L$406,"")="US Biweekly",$I$3,$I$2))</f>
        <v>46295</v>
      </c>
      <c r="E579" s="5" t="s">
        <v>587</v>
      </c>
      <c r="F579" s="5" t="s">
        <v>559</v>
      </c>
    </row>
    <row r="580" spans="1:6" ht="16" x14ac:dyDescent="0.2">
      <c r="A580" s="5" t="s">
        <v>469</v>
      </c>
      <c r="B580" s="5" t="s">
        <v>584</v>
      </c>
      <c r="C580" s="25">
        <v>0.5</v>
      </c>
      <c r="D580" s="22">
        <f t="array" ref="D580">IF(F580="n/a","—",IF(_xlfn.XLOOKUP(TRIM(SUBSTITUTE(A580,_xlfn.UNICHAR(160)," ")),TRIM(SUBSTITUTE('worker file'!$A$2:$A$406,_xlfn.UNICHAR(160)," ")),'worker file'!$L$2:$L$406,"")="US Biweekly",$I$3,$I$2))</f>
        <v>46295</v>
      </c>
      <c r="E580" s="5" t="s">
        <v>585</v>
      </c>
      <c r="F580" s="5" t="s">
        <v>559</v>
      </c>
    </row>
    <row r="581" spans="1:6" ht="16" x14ac:dyDescent="0.2">
      <c r="A581" s="5" t="s">
        <v>469</v>
      </c>
      <c r="B581" s="5" t="s">
        <v>586</v>
      </c>
      <c r="C581" s="25">
        <v>0.5</v>
      </c>
      <c r="D581" s="22">
        <f t="array" ref="D581">IF(F581="n/a","—",IF(_xlfn.XLOOKUP(TRIM(SUBSTITUTE(A581,_xlfn.UNICHAR(160)," ")),TRIM(SUBSTITUTE('worker file'!$A$2:$A$406,_xlfn.UNICHAR(160)," ")),'worker file'!$L$2:$L$406,"")="US Biweekly",$I$3,$I$2))</f>
        <v>46295</v>
      </c>
      <c r="E581" s="5" t="s">
        <v>587</v>
      </c>
      <c r="F581" s="5" t="s">
        <v>559</v>
      </c>
    </row>
    <row r="582" spans="1:6" ht="16" x14ac:dyDescent="0.2">
      <c r="A582" s="5" t="s">
        <v>470</v>
      </c>
      <c r="B582" s="5" t="s">
        <v>588</v>
      </c>
      <c r="C582" s="25">
        <v>0.5</v>
      </c>
      <c r="D582" s="22">
        <f t="array" ref="D582">IF(F582="n/a","—",IF(_xlfn.XLOOKUP(TRIM(SUBSTITUTE(A582,_xlfn.UNICHAR(160)," ")),TRIM(SUBSTITUTE('worker file'!$A$2:$A$406,_xlfn.UNICHAR(160)," ")),'worker file'!$L$2:$L$406,"")="US Biweekly",$I$3,$I$2))</f>
        <v>46295</v>
      </c>
      <c r="E582" s="5" t="s">
        <v>589</v>
      </c>
      <c r="F582" s="5" t="s">
        <v>559</v>
      </c>
    </row>
    <row r="583" spans="1:6" ht="16" x14ac:dyDescent="0.2">
      <c r="A583" s="5" t="s">
        <v>471</v>
      </c>
      <c r="B583" s="5" t="s">
        <v>588</v>
      </c>
      <c r="C583" s="25">
        <v>0</v>
      </c>
      <c r="D583" s="22">
        <f t="array" ref="D583">IF(F583="n/a","—",IF(_xlfn.XLOOKUP(TRIM(SUBSTITUTE(A583,_xlfn.UNICHAR(160)," ")),TRIM(SUBSTITUTE('worker file'!$A$2:$A$406,_xlfn.UNICHAR(160)," ")),'worker file'!$L$2:$L$406,"")="US Biweekly",$I$3,$I$2))</f>
        <v>46295</v>
      </c>
      <c r="E583" s="5" t="s">
        <v>598</v>
      </c>
      <c r="F583" s="5" t="s">
        <v>559</v>
      </c>
    </row>
    <row r="584" spans="1:6" ht="16" x14ac:dyDescent="0.2">
      <c r="A584" s="5" t="s">
        <v>472</v>
      </c>
      <c r="B584" s="5" t="s">
        <v>568</v>
      </c>
      <c r="C584" s="21" t="s">
        <v>569</v>
      </c>
      <c r="D584" s="22" t="str">
        <f t="array" ref="D584">IF(F584="n/a","—",IF(_xlfn.XLOOKUP(TRIM(SUBSTITUTE(A584,_xlfn.UNICHAR(160)," ")),TRIM(SUBSTITUTE('worker file'!$A$2:$A$406,_xlfn.UNICHAR(160)," ")),'worker file'!$L$2:$L$406,"")="US Biweekly",$I$3,$I$2))</f>
        <v>—</v>
      </c>
      <c r="E584" s="5" t="s">
        <v>597</v>
      </c>
      <c r="F584" s="5" t="s">
        <v>550</v>
      </c>
    </row>
    <row r="585" spans="1:6" ht="16" x14ac:dyDescent="0.2">
      <c r="A585" s="5" t="s">
        <v>473</v>
      </c>
      <c r="B585" s="5" t="s">
        <v>568</v>
      </c>
      <c r="C585" s="21" t="s">
        <v>569</v>
      </c>
      <c r="D585" s="22" t="str">
        <f t="array" ref="D585">IF(F585="n/a","—",IF(_xlfn.XLOOKUP(TRIM(SUBSTITUTE(A585,_xlfn.UNICHAR(160)," ")),TRIM(SUBSTITUTE('worker file'!$A$2:$A$406,_xlfn.UNICHAR(160)," ")),'worker file'!$L$2:$L$406,"")="US Biweekly",$I$3,$I$2))</f>
        <v>—</v>
      </c>
      <c r="E585" s="5" t="s">
        <v>597</v>
      </c>
      <c r="F585" s="5" t="s">
        <v>550</v>
      </c>
    </row>
    <row r="586" spans="1:6" ht="16" x14ac:dyDescent="0.2">
      <c r="A586" s="5" t="s">
        <v>474</v>
      </c>
      <c r="B586" s="5" t="s">
        <v>568</v>
      </c>
      <c r="C586" s="21" t="s">
        <v>569</v>
      </c>
      <c r="D586" s="22" t="str">
        <f t="array" ref="D586">IF(F586="n/a","—",IF(_xlfn.XLOOKUP(TRIM(SUBSTITUTE(A586,_xlfn.UNICHAR(160)," ")),TRIM(SUBSTITUTE('worker file'!$A$2:$A$406,_xlfn.UNICHAR(160)," ")),'worker file'!$L$2:$L$406,"")="US Biweekly",$I$3,$I$2))</f>
        <v>—</v>
      </c>
      <c r="E586" s="5" t="s">
        <v>597</v>
      </c>
      <c r="F586" s="5" t="s">
        <v>550</v>
      </c>
    </row>
    <row r="587" spans="1:6" ht="16" x14ac:dyDescent="0.2">
      <c r="A587" s="5" t="s">
        <v>475</v>
      </c>
      <c r="B587" s="5" t="s">
        <v>568</v>
      </c>
      <c r="C587" s="21" t="s">
        <v>569</v>
      </c>
      <c r="D587" s="22" t="str">
        <f t="array" ref="D587">IF(F587="n/a","—",IF(_xlfn.XLOOKUP(TRIM(SUBSTITUTE(A587,_xlfn.UNICHAR(160)," ")),TRIM(SUBSTITUTE('worker file'!$A$2:$A$406,_xlfn.UNICHAR(160)," ")),'worker file'!$L$2:$L$406,"")="US Biweekly",$I$3,$I$2))</f>
        <v>—</v>
      </c>
      <c r="E587" s="5" t="s">
        <v>597</v>
      </c>
      <c r="F587" s="5" t="s">
        <v>550</v>
      </c>
    </row>
    <row r="588" spans="1:6" ht="16" x14ac:dyDescent="0.2">
      <c r="A588" s="5" t="s">
        <v>476</v>
      </c>
      <c r="B588" s="5" t="s">
        <v>573</v>
      </c>
      <c r="C588" s="24">
        <v>0</v>
      </c>
      <c r="D588" s="22">
        <f t="array" ref="D588">IF(F588="n/a","—",IF(_xlfn.XLOOKUP(TRIM(SUBSTITUTE(A588,_xlfn.UNICHAR(160)," ")),TRIM(SUBSTITUTE('worker file'!$A$2:$A$406,_xlfn.UNICHAR(160)," ")),'worker file'!$L$2:$L$406,"")="US Biweekly",$I$3,$I$2))</f>
        <v>46298</v>
      </c>
      <c r="E588" s="5" t="s">
        <v>598</v>
      </c>
      <c r="F588" s="5" t="s">
        <v>554</v>
      </c>
    </row>
    <row r="589" spans="1:6" ht="16" x14ac:dyDescent="0.2">
      <c r="A589" s="5" t="s">
        <v>476</v>
      </c>
      <c r="B589" s="5" t="s">
        <v>575</v>
      </c>
      <c r="C589" s="24">
        <v>0</v>
      </c>
      <c r="D589" s="22">
        <f t="array" ref="D589">IF(F589="n/a","—",IF(_xlfn.XLOOKUP(TRIM(SUBSTITUTE(A589,_xlfn.UNICHAR(160)," ")),TRIM(SUBSTITUTE('worker file'!$A$2:$A$406,_xlfn.UNICHAR(160)," ")),'worker file'!$L$2:$L$406,"")="US Biweekly",$I$3,$I$2))</f>
        <v>46298</v>
      </c>
      <c r="E589" s="5" t="s">
        <v>598</v>
      </c>
      <c r="F589" s="5" t="s">
        <v>554</v>
      </c>
    </row>
    <row r="590" spans="1:6" ht="16" x14ac:dyDescent="0.2">
      <c r="A590" s="5" t="s">
        <v>477</v>
      </c>
      <c r="B590" s="5" t="s">
        <v>568</v>
      </c>
      <c r="C590" s="21" t="s">
        <v>569</v>
      </c>
      <c r="D590" s="22" t="str">
        <f t="array" ref="D590">IF(F590="n/a","—",IF(_xlfn.XLOOKUP(TRIM(SUBSTITUTE(A590,_xlfn.UNICHAR(160)," ")),TRIM(SUBSTITUTE('worker file'!$A$2:$A$406,_xlfn.UNICHAR(160)," ")),'worker file'!$L$2:$L$406,"")="US Biweekly",$I$3,$I$2))</f>
        <v>—</v>
      </c>
      <c r="E590" s="5" t="s">
        <v>597</v>
      </c>
      <c r="F590" s="5" t="s">
        <v>550</v>
      </c>
    </row>
    <row r="591" spans="1:6" ht="16" x14ac:dyDescent="0.2">
      <c r="A591" s="5" t="s">
        <v>478</v>
      </c>
      <c r="B591" s="5" t="s">
        <v>573</v>
      </c>
      <c r="C591" s="24">
        <v>0</v>
      </c>
      <c r="D591" s="22">
        <f t="array" ref="D591">IF(F591="n/a","—",IF(_xlfn.XLOOKUP(TRIM(SUBSTITUTE(A591,_xlfn.UNICHAR(160)," ")),TRIM(SUBSTITUTE('worker file'!$A$2:$A$406,_xlfn.UNICHAR(160)," ")),'worker file'!$L$2:$L$406,"")="US Biweekly",$I$3,$I$2))</f>
        <v>46298</v>
      </c>
      <c r="E591" s="5" t="s">
        <v>598</v>
      </c>
      <c r="F591" s="5" t="s">
        <v>554</v>
      </c>
    </row>
    <row r="592" spans="1:6" ht="16" x14ac:dyDescent="0.2">
      <c r="A592" s="5" t="s">
        <v>478</v>
      </c>
      <c r="B592" s="5" t="s">
        <v>575</v>
      </c>
      <c r="C592" s="24">
        <v>0</v>
      </c>
      <c r="D592" s="22">
        <f t="array" ref="D592">IF(F592="n/a","—",IF(_xlfn.XLOOKUP(TRIM(SUBSTITUTE(A592,_xlfn.UNICHAR(160)," ")),TRIM(SUBSTITUTE('worker file'!$A$2:$A$406,_xlfn.UNICHAR(160)," ")),'worker file'!$L$2:$L$406,"")="US Biweekly",$I$3,$I$2))</f>
        <v>46298</v>
      </c>
      <c r="E592" s="5" t="s">
        <v>598</v>
      </c>
      <c r="F592" s="5" t="s">
        <v>554</v>
      </c>
    </row>
    <row r="593" spans="1:6" ht="16" x14ac:dyDescent="0.2">
      <c r="A593" s="5" t="s">
        <v>479</v>
      </c>
      <c r="B593" s="5" t="s">
        <v>568</v>
      </c>
      <c r="C593" s="24" t="s">
        <v>569</v>
      </c>
      <c r="D593" s="22" t="str">
        <f t="array" ref="D593">IF(F593="n/a","—",IF(_xlfn.XLOOKUP(TRIM(SUBSTITUTE(A593,_xlfn.UNICHAR(160)," ")),TRIM(SUBSTITUTE('worker file'!$A$2:$A$406,_xlfn.UNICHAR(160)," ")),'worker file'!$L$2:$L$406,"")="US Biweekly",$I$3,$I$2))</f>
        <v>—</v>
      </c>
      <c r="E593" s="5" t="s">
        <v>597</v>
      </c>
      <c r="F593" s="5" t="s">
        <v>550</v>
      </c>
    </row>
    <row r="594" spans="1:6" ht="16" x14ac:dyDescent="0.2">
      <c r="A594" s="5" t="s">
        <v>480</v>
      </c>
      <c r="B594" s="5" t="s">
        <v>600</v>
      </c>
      <c r="C594" s="25">
        <v>8.5</v>
      </c>
      <c r="D594" s="22">
        <f t="array" ref="D594">IF(F594="n/a","—",IF(_xlfn.XLOOKUP(TRIM(SUBSTITUTE(A594,_xlfn.UNICHAR(160)," ")),TRIM(SUBSTITUTE('worker file'!$A$2:$A$406,_xlfn.UNICHAR(160)," ")),'worker file'!$L$2:$L$406,"")="US Biweekly",$I$3,$I$2))</f>
        <v>46295</v>
      </c>
      <c r="E594" s="5" t="s">
        <v>561</v>
      </c>
      <c r="F594" s="5" t="s">
        <v>559</v>
      </c>
    </row>
    <row r="595" spans="1:6" ht="16" x14ac:dyDescent="0.2">
      <c r="A595" s="5" t="s">
        <v>480</v>
      </c>
      <c r="B595" s="5" t="s">
        <v>601</v>
      </c>
      <c r="C595" s="25">
        <v>6</v>
      </c>
      <c r="D595" s="22">
        <f t="array" ref="D595">IF(F595="n/a","—",IF(_xlfn.XLOOKUP(TRIM(SUBSTITUTE(A595,_xlfn.UNICHAR(160)," ")),TRIM(SUBSTITUTE('worker file'!$A$2:$A$406,_xlfn.UNICHAR(160)," ")),'worker file'!$L$2:$L$406,"")="US Biweekly",$I$3,$I$2))</f>
        <v>46295</v>
      </c>
      <c r="E595" s="5" t="s">
        <v>602</v>
      </c>
      <c r="F595" s="5" t="s">
        <v>559</v>
      </c>
    </row>
    <row r="596" spans="1:6" ht="16" x14ac:dyDescent="0.2">
      <c r="A596" s="5" t="s">
        <v>482</v>
      </c>
      <c r="B596" s="5" t="s">
        <v>600</v>
      </c>
      <c r="C596" s="25">
        <v>11</v>
      </c>
      <c r="D596" s="22">
        <f t="array" ref="D596">IF(F596="n/a","—",IF(_xlfn.XLOOKUP(TRIM(SUBSTITUTE(A596,_xlfn.UNICHAR(160)," ")),TRIM(SUBSTITUTE('worker file'!$A$2:$A$406,_xlfn.UNICHAR(160)," ")),'worker file'!$L$2:$L$406,"")="US Biweekly",$I$3,$I$2))</f>
        <v>46295</v>
      </c>
      <c r="E596" s="5" t="s">
        <v>561</v>
      </c>
      <c r="F596" s="5" t="s">
        <v>559</v>
      </c>
    </row>
    <row r="597" spans="1:6" ht="16" x14ac:dyDescent="0.2">
      <c r="A597" s="5" t="s">
        <v>482</v>
      </c>
      <c r="B597" s="5" t="s">
        <v>601</v>
      </c>
      <c r="C597" s="25">
        <v>7.5</v>
      </c>
      <c r="D597" s="22">
        <f t="array" ref="D597">IF(F597="n/a","—",IF(_xlfn.XLOOKUP(TRIM(SUBSTITUTE(A597,_xlfn.UNICHAR(160)," ")),TRIM(SUBSTITUTE('worker file'!$A$2:$A$406,_xlfn.UNICHAR(160)," ")),'worker file'!$L$2:$L$406,"")="US Biweekly",$I$3,$I$2))</f>
        <v>46295</v>
      </c>
      <c r="E597" s="5" t="s">
        <v>602</v>
      </c>
      <c r="F597" s="5" t="s">
        <v>559</v>
      </c>
    </row>
    <row r="598" spans="1:6" ht="16" x14ac:dyDescent="0.2">
      <c r="A598" s="5" t="s">
        <v>483</v>
      </c>
      <c r="B598" s="5" t="s">
        <v>600</v>
      </c>
      <c r="C598" s="25">
        <v>12.5</v>
      </c>
      <c r="D598" s="22">
        <f t="array" ref="D598">IF(F598="n/a","—",IF(_xlfn.XLOOKUP(TRIM(SUBSTITUTE(A598,_xlfn.UNICHAR(160)," ")),TRIM(SUBSTITUTE('worker file'!$A$2:$A$406,_xlfn.UNICHAR(160)," ")),'worker file'!$L$2:$L$406,"")="US Biweekly",$I$3,$I$2))</f>
        <v>46295</v>
      </c>
      <c r="E598" s="5" t="s">
        <v>603</v>
      </c>
      <c r="F598" s="5" t="s">
        <v>559</v>
      </c>
    </row>
    <row r="599" spans="1:6" ht="16" x14ac:dyDescent="0.2">
      <c r="A599" s="5" t="s">
        <v>483</v>
      </c>
      <c r="B599" s="5" t="s">
        <v>601</v>
      </c>
      <c r="C599" s="25">
        <v>8</v>
      </c>
      <c r="D599" s="22">
        <f t="array" ref="D599">IF(F599="n/a","—",IF(_xlfn.XLOOKUP(TRIM(SUBSTITUTE(A599,_xlfn.UNICHAR(160)," ")),TRIM(SUBSTITUTE('worker file'!$A$2:$A$406,_xlfn.UNICHAR(160)," ")),'worker file'!$L$2:$L$406,"")="US Biweekly",$I$3,$I$2))</f>
        <v>46295</v>
      </c>
      <c r="E599" s="5" t="s">
        <v>604</v>
      </c>
      <c r="F599" s="5" t="s">
        <v>559</v>
      </c>
    </row>
    <row r="600" spans="1:6" ht="16" x14ac:dyDescent="0.2">
      <c r="A600" s="5" t="s">
        <v>486</v>
      </c>
      <c r="B600" s="5" t="s">
        <v>600</v>
      </c>
      <c r="C600" s="25">
        <v>6</v>
      </c>
      <c r="D600" s="22">
        <f t="array" ref="D600">IF(F600="n/a","—",IF(_xlfn.XLOOKUP(TRIM(SUBSTITUTE(A600,_xlfn.UNICHAR(160)," ")),TRIM(SUBSTITUTE('worker file'!$A$2:$A$406,_xlfn.UNICHAR(160)," ")),'worker file'!$L$2:$L$406,"")="US Biweekly",$I$3,$I$2))</f>
        <v>46295</v>
      </c>
      <c r="E600" s="5" t="s">
        <v>603</v>
      </c>
      <c r="F600" s="5" t="s">
        <v>559</v>
      </c>
    </row>
    <row r="601" spans="1:6" ht="16" x14ac:dyDescent="0.2">
      <c r="A601" s="5" t="s">
        <v>486</v>
      </c>
      <c r="B601" s="5" t="s">
        <v>601</v>
      </c>
      <c r="C601" s="25">
        <v>5</v>
      </c>
      <c r="D601" s="22">
        <f t="array" ref="D601">IF(F601="n/a","—",IF(_xlfn.XLOOKUP(TRIM(SUBSTITUTE(A601,_xlfn.UNICHAR(160)," ")),TRIM(SUBSTITUTE('worker file'!$A$2:$A$406,_xlfn.UNICHAR(160)," ")),'worker file'!$L$2:$L$406,"")="US Biweekly",$I$3,$I$2))</f>
        <v>46295</v>
      </c>
      <c r="E601" s="5" t="s">
        <v>604</v>
      </c>
      <c r="F601" s="5" t="s">
        <v>559</v>
      </c>
    </row>
    <row r="602" spans="1:6" ht="16" x14ac:dyDescent="0.2">
      <c r="A602" s="5" t="s">
        <v>487</v>
      </c>
      <c r="B602" s="5" t="s">
        <v>600</v>
      </c>
      <c r="C602" s="25">
        <v>7.5</v>
      </c>
      <c r="D602" s="22">
        <f t="array" ref="D602">IF(F602="n/a","—",IF(_xlfn.XLOOKUP(TRIM(SUBSTITUTE(A602,_xlfn.UNICHAR(160)," ")),TRIM(SUBSTITUTE('worker file'!$A$2:$A$406,_xlfn.UNICHAR(160)," ")),'worker file'!$L$2:$L$406,"")="US Biweekly",$I$3,$I$2))</f>
        <v>46295</v>
      </c>
      <c r="E602" s="5" t="s">
        <v>605</v>
      </c>
      <c r="F602" s="5" t="s">
        <v>559</v>
      </c>
    </row>
    <row r="603" spans="1:6" ht="16" x14ac:dyDescent="0.2">
      <c r="A603" s="5" t="s">
        <v>487</v>
      </c>
      <c r="B603" s="5" t="s">
        <v>601</v>
      </c>
      <c r="C603" s="25">
        <v>6.5</v>
      </c>
      <c r="D603" s="22">
        <f t="array" ref="D603">IF(F603="n/a","—",IF(_xlfn.XLOOKUP(TRIM(SUBSTITUTE(A603,_xlfn.UNICHAR(160)," ")),TRIM(SUBSTITUTE('worker file'!$A$2:$A$406,_xlfn.UNICHAR(160)," ")),'worker file'!$L$2:$L$406,"")="US Biweekly",$I$3,$I$2))</f>
        <v>46295</v>
      </c>
      <c r="E603" s="5" t="s">
        <v>606</v>
      </c>
      <c r="F603" s="5" t="s">
        <v>559</v>
      </c>
    </row>
    <row r="604" spans="1:6" ht="16" x14ac:dyDescent="0.2">
      <c r="A604" s="5" t="s">
        <v>490</v>
      </c>
      <c r="B604" s="5" t="s">
        <v>600</v>
      </c>
      <c r="C604" s="25">
        <v>13</v>
      </c>
      <c r="D604" s="22">
        <f t="array" ref="D604">IF(F604="n/a","—",IF(_xlfn.XLOOKUP(TRIM(SUBSTITUTE(A604,_xlfn.UNICHAR(160)," ")),TRIM(SUBSTITUTE('worker file'!$A$2:$A$406,_xlfn.UNICHAR(160)," ")),'worker file'!$L$2:$L$406,"")="US Biweekly",$I$3,$I$2))</f>
        <v>46295</v>
      </c>
      <c r="E604" s="5" t="s">
        <v>561</v>
      </c>
      <c r="F604" s="5" t="s">
        <v>559</v>
      </c>
    </row>
    <row r="605" spans="1:6" ht="16" x14ac:dyDescent="0.2">
      <c r="A605" s="5" t="s">
        <v>490</v>
      </c>
      <c r="B605" s="5" t="s">
        <v>601</v>
      </c>
      <c r="C605" s="25">
        <v>9</v>
      </c>
      <c r="D605" s="22">
        <f t="array" ref="D605">IF(F605="n/a","—",IF(_xlfn.XLOOKUP(TRIM(SUBSTITUTE(A605,_xlfn.UNICHAR(160)," ")),TRIM(SUBSTITUTE('worker file'!$A$2:$A$406,_xlfn.UNICHAR(160)," ")),'worker file'!$L$2:$L$406,"")="US Biweekly",$I$3,$I$2))</f>
        <v>46295</v>
      </c>
      <c r="E605" s="5" t="s">
        <v>602</v>
      </c>
      <c r="F605" s="5" t="s">
        <v>559</v>
      </c>
    </row>
    <row r="606" spans="1:6" ht="16" x14ac:dyDescent="0.2">
      <c r="A606" s="5" t="s">
        <v>491</v>
      </c>
      <c r="B606" s="5" t="s">
        <v>600</v>
      </c>
      <c r="C606" s="25">
        <v>4.5</v>
      </c>
      <c r="D606" s="22">
        <f t="array" ref="D606">IF(F606="n/a","—",IF(_xlfn.XLOOKUP(TRIM(SUBSTITUTE(A606,_xlfn.UNICHAR(160)," ")),TRIM(SUBSTITUTE('worker file'!$A$2:$A$406,_xlfn.UNICHAR(160)," ")),'worker file'!$L$2:$L$406,"")="US Biweekly",$I$3,$I$2))</f>
        <v>46295</v>
      </c>
      <c r="E606" s="5" t="s">
        <v>561</v>
      </c>
      <c r="F606" s="5" t="s">
        <v>559</v>
      </c>
    </row>
    <row r="607" spans="1:6" ht="16" x14ac:dyDescent="0.2">
      <c r="A607" s="5" t="s">
        <v>491</v>
      </c>
      <c r="B607" s="5" t="s">
        <v>601</v>
      </c>
      <c r="C607" s="25">
        <v>3.5</v>
      </c>
      <c r="D607" s="22">
        <f t="array" ref="D607">IF(F607="n/a","—",IF(_xlfn.XLOOKUP(TRIM(SUBSTITUTE(A607,_xlfn.UNICHAR(160)," ")),TRIM(SUBSTITUTE('worker file'!$A$2:$A$406,_xlfn.UNICHAR(160)," ")),'worker file'!$L$2:$L$406,"")="US Biweekly",$I$3,$I$2))</f>
        <v>46295</v>
      </c>
      <c r="E607" s="5" t="s">
        <v>602</v>
      </c>
      <c r="F607" s="5" t="s">
        <v>559</v>
      </c>
    </row>
    <row r="608" spans="1:6" ht="16" x14ac:dyDescent="0.2">
      <c r="A608" s="5" t="s">
        <v>493</v>
      </c>
      <c r="B608" s="5" t="s">
        <v>600</v>
      </c>
      <c r="C608" s="25">
        <v>0</v>
      </c>
      <c r="D608" s="22">
        <f t="array" ref="D608">IF(F608="n/a","—",IF(_xlfn.XLOOKUP(TRIM(SUBSTITUTE(A608,_xlfn.UNICHAR(160)," ")),TRIM(SUBSTITUTE('worker file'!$A$2:$A$406,_xlfn.UNICHAR(160)," ")),'worker file'!$L$2:$L$406,"")="US Biweekly",$I$3,$I$2))</f>
        <v>46295</v>
      </c>
      <c r="E608" s="5" t="s">
        <v>598</v>
      </c>
      <c r="F608" s="5" t="s">
        <v>559</v>
      </c>
    </row>
    <row r="609" spans="1:6" ht="16" x14ac:dyDescent="0.2">
      <c r="A609" s="5" t="s">
        <v>493</v>
      </c>
      <c r="B609" s="5" t="s">
        <v>601</v>
      </c>
      <c r="C609" s="25">
        <v>0</v>
      </c>
      <c r="D609" s="22">
        <f t="array" ref="D609">IF(F609="n/a","—",IF(_xlfn.XLOOKUP(TRIM(SUBSTITUTE(A609,_xlfn.UNICHAR(160)," ")),TRIM(SUBSTITUTE('worker file'!$A$2:$A$406,_xlfn.UNICHAR(160)," ")),'worker file'!$L$2:$L$406,"")="US Biweekly",$I$3,$I$2))</f>
        <v>46295</v>
      </c>
      <c r="E609" s="5" t="s">
        <v>598</v>
      </c>
      <c r="F609" s="5" t="s">
        <v>559</v>
      </c>
    </row>
    <row r="610" spans="1:6" ht="16" x14ac:dyDescent="0.2">
      <c r="A610" s="5" t="s">
        <v>494</v>
      </c>
      <c r="B610" s="5" t="s">
        <v>600</v>
      </c>
      <c r="C610" s="25">
        <v>10</v>
      </c>
      <c r="D610" s="22">
        <f t="array" ref="D610">IF(F610="n/a","—",IF(_xlfn.XLOOKUP(TRIM(SUBSTITUTE(A610,_xlfn.UNICHAR(160)," ")),TRIM(SUBSTITUTE('worker file'!$A$2:$A$406,_xlfn.UNICHAR(160)," ")),'worker file'!$L$2:$L$406,"")="US Biweekly",$I$3,$I$2))</f>
        <v>46295</v>
      </c>
      <c r="E610" s="5" t="s">
        <v>561</v>
      </c>
      <c r="F610" s="5" t="s">
        <v>559</v>
      </c>
    </row>
    <row r="611" spans="1:6" ht="16" x14ac:dyDescent="0.2">
      <c r="A611" s="5" t="s">
        <v>494</v>
      </c>
      <c r="B611" s="5" t="s">
        <v>601</v>
      </c>
      <c r="C611" s="25">
        <v>7</v>
      </c>
      <c r="D611" s="22">
        <f t="array" ref="D611">IF(F611="n/a","—",IF(_xlfn.XLOOKUP(TRIM(SUBSTITUTE(A611,_xlfn.UNICHAR(160)," ")),TRIM(SUBSTITUTE('worker file'!$A$2:$A$406,_xlfn.UNICHAR(160)," ")),'worker file'!$L$2:$L$406,"")="US Biweekly",$I$3,$I$2))</f>
        <v>46295</v>
      </c>
      <c r="E611" s="5" t="s">
        <v>602</v>
      </c>
      <c r="F611" s="5" t="s">
        <v>559</v>
      </c>
    </row>
    <row r="612" spans="1:6" ht="16" x14ac:dyDescent="0.2">
      <c r="A612" s="5" t="s">
        <v>495</v>
      </c>
      <c r="B612" s="5" t="s">
        <v>600</v>
      </c>
      <c r="C612" s="25">
        <v>14</v>
      </c>
      <c r="D612" s="22">
        <f t="array" ref="D612">IF(F612="n/a","—",IF(_xlfn.XLOOKUP(TRIM(SUBSTITUTE(A612,_xlfn.UNICHAR(160)," ")),TRIM(SUBSTITUTE('worker file'!$A$2:$A$406,_xlfn.UNICHAR(160)," ")),'worker file'!$L$2:$L$406,"")="US Biweekly",$I$3,$I$2))</f>
        <v>46295</v>
      </c>
      <c r="E612" s="5" t="s">
        <v>603</v>
      </c>
      <c r="F612" s="5" t="s">
        <v>559</v>
      </c>
    </row>
    <row r="613" spans="1:6" ht="16" x14ac:dyDescent="0.2">
      <c r="A613" s="5" t="s">
        <v>495</v>
      </c>
      <c r="B613" s="5" t="s">
        <v>601</v>
      </c>
      <c r="C613" s="25">
        <v>8.5</v>
      </c>
      <c r="D613" s="22">
        <f t="array" ref="D613">IF(F613="n/a","—",IF(_xlfn.XLOOKUP(TRIM(SUBSTITUTE(A613,_xlfn.UNICHAR(160)," ")),TRIM(SUBSTITUTE('worker file'!$A$2:$A$406,_xlfn.UNICHAR(160)," ")),'worker file'!$L$2:$L$406,"")="US Biweekly",$I$3,$I$2))</f>
        <v>46295</v>
      </c>
      <c r="E613" s="5" t="s">
        <v>604</v>
      </c>
      <c r="F613" s="5" t="s">
        <v>559</v>
      </c>
    </row>
    <row r="614" spans="1:6" ht="16" x14ac:dyDescent="0.2">
      <c r="A614" s="5" t="s">
        <v>496</v>
      </c>
      <c r="B614" s="5" t="s">
        <v>600</v>
      </c>
      <c r="C614" s="25">
        <v>5.5</v>
      </c>
      <c r="D614" s="22">
        <f t="array" ref="D614">IF(F614="n/a","—",IF(_xlfn.XLOOKUP(TRIM(SUBSTITUTE(A614,_xlfn.UNICHAR(160)," ")),TRIM(SUBSTITUTE('worker file'!$A$2:$A$406,_xlfn.UNICHAR(160)," ")),'worker file'!$L$2:$L$406,"")="US Biweekly",$I$3,$I$2))</f>
        <v>46295</v>
      </c>
      <c r="E614" s="5" t="s">
        <v>603</v>
      </c>
      <c r="F614" s="5" t="s">
        <v>559</v>
      </c>
    </row>
    <row r="615" spans="1:6" ht="16" x14ac:dyDescent="0.2">
      <c r="A615" s="5" t="s">
        <v>496</v>
      </c>
      <c r="B615" s="5" t="s">
        <v>601</v>
      </c>
      <c r="C615" s="25">
        <v>4</v>
      </c>
      <c r="D615" s="22">
        <f t="array" ref="D615">IF(F615="n/a","—",IF(_xlfn.XLOOKUP(TRIM(SUBSTITUTE(A615,_xlfn.UNICHAR(160)," ")),TRIM(SUBSTITUTE('worker file'!$A$2:$A$406,_xlfn.UNICHAR(160)," ")),'worker file'!$L$2:$L$406,"")="US Biweekly",$I$3,$I$2))</f>
        <v>46295</v>
      </c>
      <c r="E615" s="5" t="s">
        <v>604</v>
      </c>
      <c r="F615" s="5" t="s">
        <v>559</v>
      </c>
    </row>
    <row r="616" spans="1:6" ht="16" x14ac:dyDescent="0.2">
      <c r="A616" s="5" t="s">
        <v>497</v>
      </c>
      <c r="B616" s="5" t="s">
        <v>600</v>
      </c>
      <c r="C616" s="25">
        <v>9.5</v>
      </c>
      <c r="D616" s="22">
        <f t="array" ref="D616">IF(F616="n/a","—",IF(_xlfn.XLOOKUP(TRIM(SUBSTITUTE(A616,_xlfn.UNICHAR(160)," ")),TRIM(SUBSTITUTE('worker file'!$A$2:$A$406,_xlfn.UNICHAR(160)," ")),'worker file'!$L$2:$L$406,"")="US Biweekly",$I$3,$I$2))</f>
        <v>46295</v>
      </c>
      <c r="E616" s="5" t="s">
        <v>605</v>
      </c>
      <c r="F616" s="5" t="s">
        <v>559</v>
      </c>
    </row>
    <row r="617" spans="1:6" ht="16" x14ac:dyDescent="0.2">
      <c r="A617" s="5" t="s">
        <v>497</v>
      </c>
      <c r="B617" s="5" t="s">
        <v>601</v>
      </c>
      <c r="C617" s="25">
        <v>10</v>
      </c>
      <c r="D617" s="22">
        <f t="array" ref="D617">IF(F617="n/a","—",IF(_xlfn.XLOOKUP(TRIM(SUBSTITUTE(A617,_xlfn.UNICHAR(160)," ")),TRIM(SUBSTITUTE('worker file'!$A$2:$A$406,_xlfn.UNICHAR(160)," ")),'worker file'!$L$2:$L$406,"")="US Biweekly",$I$3,$I$2))</f>
        <v>46295</v>
      </c>
      <c r="E617" s="5" t="s">
        <v>606</v>
      </c>
      <c r="F617" s="5" t="s">
        <v>559</v>
      </c>
    </row>
    <row r="618" spans="1:6" ht="16" x14ac:dyDescent="0.2">
      <c r="A618" s="5" t="s">
        <v>498</v>
      </c>
      <c r="B618" s="5" t="s">
        <v>600</v>
      </c>
      <c r="C618" s="25">
        <v>3</v>
      </c>
      <c r="D618" s="22">
        <f t="array" ref="D618">IF(F618="n/a","—",IF(_xlfn.XLOOKUP(TRIM(SUBSTITUTE(A618,_xlfn.UNICHAR(160)," ")),TRIM(SUBSTITUTE('worker file'!$A$2:$A$406,_xlfn.UNICHAR(160)," ")),'worker file'!$L$2:$L$406,"")="US Biweekly",$I$3,$I$2))</f>
        <v>46295</v>
      </c>
      <c r="E618" s="5" t="s">
        <v>561</v>
      </c>
      <c r="F618" s="5" t="s">
        <v>559</v>
      </c>
    </row>
    <row r="619" spans="1:6" ht="16" x14ac:dyDescent="0.2">
      <c r="A619" s="5" t="s">
        <v>498</v>
      </c>
      <c r="B619" s="5" t="s">
        <v>601</v>
      </c>
      <c r="C619" s="25">
        <v>2.5</v>
      </c>
      <c r="D619" s="22">
        <f t="array" ref="D619">IF(F619="n/a","—",IF(_xlfn.XLOOKUP(TRIM(SUBSTITUTE(A619,_xlfn.UNICHAR(160)," ")),TRIM(SUBSTITUTE('worker file'!$A$2:$A$406,_xlfn.UNICHAR(160)," ")),'worker file'!$L$2:$L$406,"")="US Biweekly",$I$3,$I$2))</f>
        <v>46295</v>
      </c>
      <c r="E619" s="5" t="s">
        <v>602</v>
      </c>
      <c r="F619" s="5" t="s">
        <v>559</v>
      </c>
    </row>
    <row r="620" spans="1:6" ht="16" x14ac:dyDescent="0.2">
      <c r="A620" s="5" t="s">
        <v>499</v>
      </c>
      <c r="B620" s="5" t="s">
        <v>600</v>
      </c>
      <c r="C620" s="25">
        <v>12</v>
      </c>
      <c r="D620" s="22">
        <f t="array" ref="D620">IF(F620="n/a","—",IF(_xlfn.XLOOKUP(TRIM(SUBSTITUTE(A620,_xlfn.UNICHAR(160)," ")),TRIM(SUBSTITUTE('worker file'!$A$2:$A$406,_xlfn.UNICHAR(160)," ")),'worker file'!$L$2:$L$406,"")="US Biweekly",$I$3,$I$2))</f>
        <v>46295</v>
      </c>
      <c r="E620" s="5" t="s">
        <v>561</v>
      </c>
      <c r="F620" s="5" t="s">
        <v>559</v>
      </c>
    </row>
    <row r="621" spans="1:6" ht="16" x14ac:dyDescent="0.2">
      <c r="A621" s="5" t="s">
        <v>499</v>
      </c>
      <c r="B621" s="5" t="s">
        <v>601</v>
      </c>
      <c r="C621" s="25">
        <v>9.5</v>
      </c>
      <c r="D621" s="22">
        <f t="array" ref="D621">IF(F621="n/a","—",IF(_xlfn.XLOOKUP(TRIM(SUBSTITUTE(A621,_xlfn.UNICHAR(160)," ")),TRIM(SUBSTITUTE('worker file'!$A$2:$A$406,_xlfn.UNICHAR(160)," ")),'worker file'!$L$2:$L$406,"")="US Biweekly",$I$3,$I$2))</f>
        <v>46295</v>
      </c>
      <c r="E621" s="5" t="s">
        <v>602</v>
      </c>
      <c r="F621" s="5" t="s">
        <v>559</v>
      </c>
    </row>
    <row r="622" spans="1:6" ht="16" x14ac:dyDescent="0.2">
      <c r="A622" s="5" t="s">
        <v>500</v>
      </c>
      <c r="B622" s="5" t="s">
        <v>600</v>
      </c>
      <c r="C622" s="25">
        <v>0</v>
      </c>
      <c r="D622" s="22">
        <f t="array" ref="D622">IF(F622="n/a","—",IF(_xlfn.XLOOKUP(TRIM(SUBSTITUTE(A622,_xlfn.UNICHAR(160)," ")),TRIM(SUBSTITUTE('worker file'!$A$2:$A$406,_xlfn.UNICHAR(160)," ")),'worker file'!$L$2:$L$406,"")="US Biweekly",$I$3,$I$2))</f>
        <v>46295</v>
      </c>
      <c r="E622" s="5" t="s">
        <v>598</v>
      </c>
      <c r="F622" s="5" t="s">
        <v>559</v>
      </c>
    </row>
    <row r="623" spans="1:6" ht="16" x14ac:dyDescent="0.2">
      <c r="A623" s="5" t="s">
        <v>500</v>
      </c>
      <c r="B623" s="5" t="s">
        <v>601</v>
      </c>
      <c r="C623" s="25">
        <v>0</v>
      </c>
      <c r="D623" s="22">
        <f t="array" ref="D623">IF(F623="n/a","—",IF(_xlfn.XLOOKUP(TRIM(SUBSTITUTE(A623,_xlfn.UNICHAR(160)," ")),TRIM(SUBSTITUTE('worker file'!$A$2:$A$406,_xlfn.UNICHAR(160)," ")),'worker file'!$L$2:$L$406,"")="US Biweekly",$I$3,$I$2))</f>
        <v>46295</v>
      </c>
      <c r="E623" s="5" t="s">
        <v>598</v>
      </c>
      <c r="F623" s="5" t="s">
        <v>559</v>
      </c>
    </row>
    <row r="624" spans="1:6" ht="16" x14ac:dyDescent="0.2">
      <c r="A624" s="5" t="s">
        <v>501</v>
      </c>
      <c r="B624" s="5" t="s">
        <v>600</v>
      </c>
      <c r="C624" s="25">
        <v>9</v>
      </c>
      <c r="D624" s="22">
        <f t="array" ref="D624">IF(F624="n/a","—",IF(_xlfn.XLOOKUP(TRIM(SUBSTITUTE(A624,_xlfn.UNICHAR(160)," ")),TRIM(SUBSTITUTE('worker file'!$A$2:$A$406,_xlfn.UNICHAR(160)," ")),'worker file'!$L$2:$L$406,"")="US Biweekly",$I$3,$I$2))</f>
        <v>46295</v>
      </c>
      <c r="E624" s="5" t="s">
        <v>561</v>
      </c>
      <c r="F624" s="5" t="s">
        <v>559</v>
      </c>
    </row>
    <row r="625" spans="1:6" ht="16" x14ac:dyDescent="0.2">
      <c r="A625" s="5" t="s">
        <v>501</v>
      </c>
      <c r="B625" s="5" t="s">
        <v>601</v>
      </c>
      <c r="C625" s="25">
        <v>6</v>
      </c>
      <c r="D625" s="22">
        <f t="array" ref="D625">IF(F625="n/a","—",IF(_xlfn.XLOOKUP(TRIM(SUBSTITUTE(A625,_xlfn.UNICHAR(160)," ")),TRIM(SUBSTITUTE('worker file'!$A$2:$A$406,_xlfn.UNICHAR(160)," ")),'worker file'!$L$2:$L$406,"")="US Biweekly",$I$3,$I$2))</f>
        <v>46295</v>
      </c>
      <c r="E625" s="5" t="s">
        <v>602</v>
      </c>
      <c r="F625" s="5" t="s">
        <v>559</v>
      </c>
    </row>
    <row r="626" spans="1:6" ht="16" x14ac:dyDescent="0.2">
      <c r="A626" s="5" t="s">
        <v>502</v>
      </c>
      <c r="B626" s="5" t="s">
        <v>600</v>
      </c>
      <c r="C626" s="25">
        <v>4</v>
      </c>
      <c r="D626" s="22">
        <f t="array" ref="D626">IF(F626="n/a","—",IF(_xlfn.XLOOKUP(TRIM(SUBSTITUTE(A626,_xlfn.UNICHAR(160)," ")),TRIM(SUBSTITUTE('worker file'!$A$2:$A$406,_xlfn.UNICHAR(160)," ")),'worker file'!$L$2:$L$406,"")="US Biweekly",$I$3,$I$2))</f>
        <v>46295</v>
      </c>
      <c r="E626" s="5" t="s">
        <v>561</v>
      </c>
      <c r="F626" s="5" t="s">
        <v>559</v>
      </c>
    </row>
    <row r="627" spans="1:6" ht="16" x14ac:dyDescent="0.2">
      <c r="A627" s="5" t="s">
        <v>502</v>
      </c>
      <c r="B627" s="5" t="s">
        <v>601</v>
      </c>
      <c r="C627" s="25">
        <v>3</v>
      </c>
      <c r="D627" s="22">
        <f t="array" ref="D627">IF(F627="n/a","—",IF(_xlfn.XLOOKUP(TRIM(SUBSTITUTE(A627,_xlfn.UNICHAR(160)," ")),TRIM(SUBSTITUTE('worker file'!$A$2:$A$406,_xlfn.UNICHAR(160)," ")),'worker file'!$L$2:$L$406,"")="US Biweekly",$I$3,$I$2))</f>
        <v>46295</v>
      </c>
      <c r="E627" s="5" t="s">
        <v>602</v>
      </c>
      <c r="F627" s="5" t="s">
        <v>559</v>
      </c>
    </row>
    <row r="628" spans="1:6" ht="16" x14ac:dyDescent="0.2">
      <c r="A628" s="5" t="s">
        <v>503</v>
      </c>
      <c r="B628" s="5" t="s">
        <v>600</v>
      </c>
      <c r="C628" s="25">
        <v>11.5</v>
      </c>
      <c r="D628" s="22">
        <f t="array" ref="D628">IF(F628="n/a","—",IF(_xlfn.XLOOKUP(TRIM(SUBSTITUTE(A628,_xlfn.UNICHAR(160)," ")),TRIM(SUBSTITUTE('worker file'!$A$2:$A$406,_xlfn.UNICHAR(160)," ")),'worker file'!$L$2:$L$406,"")="US Biweekly",$I$3,$I$2))</f>
        <v>46295</v>
      </c>
      <c r="E628" s="5" t="s">
        <v>605</v>
      </c>
      <c r="F628" s="5" t="s">
        <v>559</v>
      </c>
    </row>
    <row r="629" spans="1:6" ht="16" x14ac:dyDescent="0.2">
      <c r="A629" s="5" t="s">
        <v>503</v>
      </c>
      <c r="B629" s="5" t="s">
        <v>601</v>
      </c>
      <c r="C629" s="25">
        <v>7</v>
      </c>
      <c r="D629" s="22">
        <f t="array" ref="D629">IF(F629="n/a","—",IF(_xlfn.XLOOKUP(TRIM(SUBSTITUTE(A629,_xlfn.UNICHAR(160)," ")),TRIM(SUBSTITUTE('worker file'!$A$2:$A$406,_xlfn.UNICHAR(160)," ")),'worker file'!$L$2:$L$406,"")="US Biweekly",$I$3,$I$2))</f>
        <v>46295</v>
      </c>
      <c r="E629" s="5" t="s">
        <v>606</v>
      </c>
      <c r="F629" s="5" t="s">
        <v>559</v>
      </c>
    </row>
    <row r="630" spans="1:6" ht="16" x14ac:dyDescent="0.2">
      <c r="A630" s="5" t="s">
        <v>504</v>
      </c>
      <c r="B630" s="5" t="s">
        <v>600</v>
      </c>
      <c r="C630" s="25">
        <v>7</v>
      </c>
      <c r="D630" s="22">
        <f t="array" ref="D630">IF(F630="n/a","—",IF(_xlfn.XLOOKUP(TRIM(SUBSTITUTE(A630,_xlfn.UNICHAR(160)," ")),TRIM(SUBSTITUTE('worker file'!$A$2:$A$406,_xlfn.UNICHAR(160)," ")),'worker file'!$L$2:$L$406,"")="US Biweekly",$I$3,$I$2))</f>
        <v>46295</v>
      </c>
      <c r="E630" s="5" t="s">
        <v>603</v>
      </c>
      <c r="F630" s="5" t="s">
        <v>559</v>
      </c>
    </row>
    <row r="631" spans="1:6" ht="16" x14ac:dyDescent="0.2">
      <c r="A631" s="5" t="s">
        <v>504</v>
      </c>
      <c r="B631" s="5" t="s">
        <v>601</v>
      </c>
      <c r="C631" s="25">
        <v>5.5</v>
      </c>
      <c r="D631" s="22">
        <f t="array" ref="D631">IF(F631="n/a","—",IF(_xlfn.XLOOKUP(TRIM(SUBSTITUTE(A631,_xlfn.UNICHAR(160)," ")),TRIM(SUBSTITUTE('worker file'!$A$2:$A$406,_xlfn.UNICHAR(160)," ")),'worker file'!$L$2:$L$406,"")="US Biweekly",$I$3,$I$2))</f>
        <v>46295</v>
      </c>
      <c r="E631" s="5" t="s">
        <v>604</v>
      </c>
      <c r="F631" s="5" t="s">
        <v>559</v>
      </c>
    </row>
    <row r="632" spans="1:6" ht="16" x14ac:dyDescent="0.2">
      <c r="A632" s="5" t="s">
        <v>505</v>
      </c>
      <c r="B632" s="5" t="s">
        <v>600</v>
      </c>
      <c r="C632" s="25">
        <v>13.5</v>
      </c>
      <c r="D632" s="22">
        <f t="array" ref="D632">IF(F632="n/a","—",IF(_xlfn.XLOOKUP(TRIM(SUBSTITUTE(A632,_xlfn.UNICHAR(160)," ")),TRIM(SUBSTITUTE('worker file'!$A$2:$A$406,_xlfn.UNICHAR(160)," ")),'worker file'!$L$2:$L$406,"")="US Biweekly",$I$3,$I$2))</f>
        <v>46295</v>
      </c>
      <c r="E632" s="5" t="s">
        <v>561</v>
      </c>
      <c r="F632" s="5" t="s">
        <v>559</v>
      </c>
    </row>
    <row r="633" spans="1:6" ht="16" x14ac:dyDescent="0.2">
      <c r="A633" s="5" t="s">
        <v>505</v>
      </c>
      <c r="B633" s="5" t="s">
        <v>601</v>
      </c>
      <c r="C633" s="25">
        <v>8</v>
      </c>
      <c r="D633" s="22">
        <f t="array" ref="D633">IF(F633="n/a","—",IF(_xlfn.XLOOKUP(TRIM(SUBSTITUTE(A633,_xlfn.UNICHAR(160)," ")),TRIM(SUBSTITUTE('worker file'!$A$2:$A$406,_xlfn.UNICHAR(160)," ")),'worker file'!$L$2:$L$406,"")="US Biweekly",$I$3,$I$2))</f>
        <v>46295</v>
      </c>
      <c r="E633" s="5" t="s">
        <v>602</v>
      </c>
      <c r="F633" s="5" t="s">
        <v>559</v>
      </c>
    </row>
    <row r="634" spans="1:6" ht="16" x14ac:dyDescent="0.2">
      <c r="A634" s="5" t="s">
        <v>506</v>
      </c>
      <c r="B634" s="5" t="s">
        <v>600</v>
      </c>
      <c r="C634" s="25">
        <v>0</v>
      </c>
      <c r="D634" s="22">
        <f t="array" ref="D634">IF(F634="n/a","—",IF(_xlfn.XLOOKUP(TRIM(SUBSTITUTE(A634,_xlfn.UNICHAR(160)," ")),TRIM(SUBSTITUTE('worker file'!$A$2:$A$406,_xlfn.UNICHAR(160)," ")),'worker file'!$L$2:$L$406,"")="US Biweekly",$I$3,$I$2))</f>
        <v>46295</v>
      </c>
      <c r="E634" s="5" t="s">
        <v>598</v>
      </c>
      <c r="F634" s="5" t="s">
        <v>559</v>
      </c>
    </row>
    <row r="635" spans="1:6" ht="16" x14ac:dyDescent="0.2">
      <c r="A635" s="5" t="s">
        <v>506</v>
      </c>
      <c r="B635" s="5" t="s">
        <v>601</v>
      </c>
      <c r="C635" s="25">
        <v>0</v>
      </c>
      <c r="D635" s="22">
        <f t="array" ref="D635">IF(F635="n/a","—",IF(_xlfn.XLOOKUP(TRIM(SUBSTITUTE(A635,_xlfn.UNICHAR(160)," ")),TRIM(SUBSTITUTE('worker file'!$A$2:$A$406,_xlfn.UNICHAR(160)," ")),'worker file'!$L$2:$L$406,"")="US Biweekly",$I$3,$I$2))</f>
        <v>46295</v>
      </c>
      <c r="E635" s="5" t="s">
        <v>598</v>
      </c>
      <c r="F635" s="5" t="s">
        <v>559</v>
      </c>
    </row>
    <row r="636" spans="1:6" ht="16" x14ac:dyDescent="0.2">
      <c r="A636" s="5" t="s">
        <v>507</v>
      </c>
      <c r="B636" s="5" t="s">
        <v>600</v>
      </c>
      <c r="C636" s="25">
        <v>10.5</v>
      </c>
      <c r="D636" s="22">
        <f t="array" ref="D636">IF(F636="n/a","—",IF(_xlfn.XLOOKUP(TRIM(SUBSTITUTE(A636,_xlfn.UNICHAR(160)," ")),TRIM(SUBSTITUTE('worker file'!$A$2:$A$406,_xlfn.UNICHAR(160)," ")),'worker file'!$L$2:$L$406,"")="US Biweekly",$I$3,$I$2))</f>
        <v>46295</v>
      </c>
      <c r="E636" s="5" t="s">
        <v>561</v>
      </c>
      <c r="F636" s="5" t="s">
        <v>559</v>
      </c>
    </row>
    <row r="637" spans="1:6" ht="16" x14ac:dyDescent="0.2">
      <c r="A637" s="5" t="s">
        <v>507</v>
      </c>
      <c r="B637" s="5" t="s">
        <v>601</v>
      </c>
      <c r="C637" s="25">
        <v>7.5</v>
      </c>
      <c r="D637" s="22">
        <f t="array" ref="D637">IF(F637="n/a","—",IF(_xlfn.XLOOKUP(TRIM(SUBSTITUTE(A637,_xlfn.UNICHAR(160)," ")),TRIM(SUBSTITUTE('worker file'!$A$2:$A$406,_xlfn.UNICHAR(160)," ")),'worker file'!$L$2:$L$406,"")="US Biweekly",$I$3,$I$2))</f>
        <v>46295</v>
      </c>
      <c r="E637" s="5" t="s">
        <v>602</v>
      </c>
      <c r="F637" s="5" t="s">
        <v>559</v>
      </c>
    </row>
    <row r="638" spans="1:6" ht="16" x14ac:dyDescent="0.2">
      <c r="A638" s="5" t="s">
        <v>508</v>
      </c>
      <c r="B638" s="5" t="s">
        <v>600</v>
      </c>
      <c r="C638" s="25">
        <v>6.5</v>
      </c>
      <c r="D638" s="22">
        <f t="array" ref="D638">IF(F638="n/a","—",IF(_xlfn.XLOOKUP(TRIM(SUBSTITUTE(A638,_xlfn.UNICHAR(160)," ")),TRIM(SUBSTITUTE('worker file'!$A$2:$A$406,_xlfn.UNICHAR(160)," ")),'worker file'!$L$2:$L$406,"")="US Biweekly",$I$3,$I$2))</f>
        <v>46295</v>
      </c>
      <c r="E638" s="5" t="s">
        <v>561</v>
      </c>
      <c r="F638" s="5" t="s">
        <v>559</v>
      </c>
    </row>
    <row r="639" spans="1:6" ht="16" x14ac:dyDescent="0.2">
      <c r="A639" s="5" t="s">
        <v>508</v>
      </c>
      <c r="B639" s="5" t="s">
        <v>601</v>
      </c>
      <c r="C639" s="25">
        <v>5</v>
      </c>
      <c r="D639" s="22">
        <f t="array" ref="D639">IF(F639="n/a","—",IF(_xlfn.XLOOKUP(TRIM(SUBSTITUTE(A639,_xlfn.UNICHAR(160)," ")),TRIM(SUBSTITUTE('worker file'!$A$2:$A$406,_xlfn.UNICHAR(160)," ")),'worker file'!$L$2:$L$406,"")="US Biweekly",$I$3,$I$2))</f>
        <v>46295</v>
      </c>
      <c r="E639" s="5" t="s">
        <v>602</v>
      </c>
      <c r="F639" s="5" t="s">
        <v>559</v>
      </c>
    </row>
    <row r="640" spans="1:6" ht="16" x14ac:dyDescent="0.2">
      <c r="A640" s="5" t="s">
        <v>509</v>
      </c>
      <c r="B640" s="5" t="s">
        <v>600</v>
      </c>
      <c r="C640" s="25">
        <v>15</v>
      </c>
      <c r="D640" s="22">
        <f t="array" ref="D640">IF(F640="n/a","—",IF(_xlfn.XLOOKUP(TRIM(SUBSTITUTE(A640,_xlfn.UNICHAR(160)," ")),TRIM(SUBSTITUTE('worker file'!$A$2:$A$406,_xlfn.UNICHAR(160)," ")),'worker file'!$L$2:$L$406,"")="US Biweekly",$I$3,$I$2))</f>
        <v>46295</v>
      </c>
      <c r="E640" s="5" t="s">
        <v>603</v>
      </c>
      <c r="F640" s="5" t="s">
        <v>559</v>
      </c>
    </row>
    <row r="641" spans="1:6" ht="16" x14ac:dyDescent="0.2">
      <c r="A641" s="5" t="s">
        <v>509</v>
      </c>
      <c r="B641" s="5" t="s">
        <v>601</v>
      </c>
      <c r="C641" s="25">
        <v>9</v>
      </c>
      <c r="D641" s="22">
        <f t="array" ref="D641">IF(F641="n/a","—",IF(_xlfn.XLOOKUP(TRIM(SUBSTITUTE(A641,_xlfn.UNICHAR(160)," ")),TRIM(SUBSTITUTE('worker file'!$A$2:$A$406,_xlfn.UNICHAR(160)," ")),'worker file'!$L$2:$L$406,"")="US Biweekly",$I$3,$I$2))</f>
        <v>46295</v>
      </c>
      <c r="E641" s="5" t="s">
        <v>604</v>
      </c>
      <c r="F641" s="5" t="s">
        <v>559</v>
      </c>
    </row>
    <row r="642" spans="1:6" ht="16" x14ac:dyDescent="0.2">
      <c r="A642" s="5" t="s">
        <v>510</v>
      </c>
      <c r="B642" s="5" t="s">
        <v>600</v>
      </c>
      <c r="C642" s="25">
        <v>5</v>
      </c>
      <c r="D642" s="22">
        <f t="array" ref="D642">IF(F642="n/a","—",IF(_xlfn.XLOOKUP(TRIM(SUBSTITUTE(A642,_xlfn.UNICHAR(160)," ")),TRIM(SUBSTITUTE('worker file'!$A$2:$A$406,_xlfn.UNICHAR(160)," ")),'worker file'!$L$2:$L$406,"")="US Biweekly",$I$3,$I$2))</f>
        <v>46295</v>
      </c>
      <c r="E642" s="5" t="s">
        <v>605</v>
      </c>
      <c r="F642" s="5" t="s">
        <v>559</v>
      </c>
    </row>
    <row r="643" spans="1:6" ht="16" x14ac:dyDescent="0.2">
      <c r="A643" s="5" t="s">
        <v>510</v>
      </c>
      <c r="B643" s="5" t="s">
        <v>601</v>
      </c>
      <c r="C643" s="25">
        <v>4</v>
      </c>
      <c r="D643" s="22">
        <f t="array" ref="D643">IF(F643="n/a","—",IF(_xlfn.XLOOKUP(TRIM(SUBSTITUTE(A643,_xlfn.UNICHAR(160)," ")),TRIM(SUBSTITUTE('worker file'!$A$2:$A$406,_xlfn.UNICHAR(160)," ")),'worker file'!$L$2:$L$406,"")="US Biweekly",$I$3,$I$2))</f>
        <v>46295</v>
      </c>
      <c r="E643" s="5" t="s">
        <v>606</v>
      </c>
      <c r="F643" s="5" t="s">
        <v>559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23"/>
  <sheetViews>
    <sheetView topLeftCell="H626" zoomScaleNormal="100" workbookViewId="0">
      <selection activeCell="O35" sqref="O35"/>
    </sheetView>
  </sheetViews>
  <sheetFormatPr baseColWidth="10" defaultColWidth="10.5" defaultRowHeight="15" x14ac:dyDescent="0.2"/>
  <cols>
    <col min="1" max="1" width="15" customWidth="1"/>
    <col min="2" max="2" width="32.33203125" customWidth="1"/>
    <col min="3" max="3" width="13.33203125" customWidth="1"/>
    <col min="4" max="4" width="35.6640625" customWidth="1"/>
    <col min="5" max="5" width="16.33203125" customWidth="1"/>
    <col min="6" max="6" width="22.33203125" customWidth="1"/>
    <col min="7" max="7" width="35.6640625" customWidth="1"/>
    <col min="8" max="8" width="20.6640625" customWidth="1"/>
    <col min="9" max="9" width="9.83203125" customWidth="1"/>
    <col min="10" max="10" width="13" customWidth="1"/>
    <col min="11" max="11" width="8.5" customWidth="1"/>
    <col min="12" max="12" width="20.6640625" customWidth="1"/>
    <col min="13" max="13" width="14.6640625" customWidth="1"/>
    <col min="14" max="14" width="16" customWidth="1"/>
    <col min="15" max="15" width="48.5" customWidth="1"/>
  </cols>
  <sheetData>
    <row r="1" spans="1:15" ht="19" x14ac:dyDescent="0.25">
      <c r="A1" s="27" t="s">
        <v>607</v>
      </c>
    </row>
    <row r="2" spans="1:15" x14ac:dyDescent="0.2">
      <c r="A2" s="28" t="s">
        <v>608</v>
      </c>
    </row>
    <row r="3" spans="1:15" x14ac:dyDescent="0.2">
      <c r="F3" t="s">
        <v>609</v>
      </c>
    </row>
    <row r="4" spans="1:15" x14ac:dyDescent="0.2">
      <c r="A4" s="29" t="s">
        <v>610</v>
      </c>
      <c r="B4" s="29" t="s">
        <v>611</v>
      </c>
      <c r="C4" s="29" t="s">
        <v>612</v>
      </c>
      <c r="D4" s="29" t="s">
        <v>613</v>
      </c>
      <c r="E4" s="29" t="s">
        <v>614</v>
      </c>
      <c r="F4" s="29" t="s">
        <v>615</v>
      </c>
      <c r="G4" s="29" t="s">
        <v>616</v>
      </c>
      <c r="H4" s="29" t="s">
        <v>617</v>
      </c>
    </row>
    <row r="5" spans="1:15" x14ac:dyDescent="0.2">
      <c r="A5" t="s">
        <v>618</v>
      </c>
      <c r="B5" t="s">
        <v>619</v>
      </c>
      <c r="C5" t="s">
        <v>620</v>
      </c>
      <c r="D5" t="s">
        <v>621</v>
      </c>
      <c r="E5" t="s">
        <v>622</v>
      </c>
      <c r="F5" s="30" t="s">
        <v>623</v>
      </c>
      <c r="G5" t="s">
        <v>624</v>
      </c>
      <c r="H5" t="s">
        <v>625</v>
      </c>
    </row>
    <row r="6" spans="1:15" x14ac:dyDescent="0.2">
      <c r="A6" t="s">
        <v>626</v>
      </c>
      <c r="B6" t="s">
        <v>627</v>
      </c>
      <c r="C6" t="s">
        <v>628</v>
      </c>
      <c r="D6" t="s">
        <v>629</v>
      </c>
      <c r="E6" t="s">
        <v>630</v>
      </c>
      <c r="F6" s="31">
        <v>200</v>
      </c>
      <c r="G6" t="s">
        <v>631</v>
      </c>
      <c r="H6" t="s">
        <v>625</v>
      </c>
    </row>
    <row r="7" spans="1:15" x14ac:dyDescent="0.2">
      <c r="A7" t="s">
        <v>632</v>
      </c>
      <c r="B7" t="s">
        <v>633</v>
      </c>
      <c r="C7" t="s">
        <v>628</v>
      </c>
      <c r="D7" t="s">
        <v>629</v>
      </c>
      <c r="E7" t="s">
        <v>630</v>
      </c>
      <c r="F7" s="31">
        <v>44</v>
      </c>
      <c r="G7" t="s">
        <v>631</v>
      </c>
      <c r="H7" t="s">
        <v>625</v>
      </c>
    </row>
    <row r="8" spans="1:15" x14ac:dyDescent="0.2">
      <c r="A8" t="s">
        <v>634</v>
      </c>
      <c r="B8" t="s">
        <v>635</v>
      </c>
      <c r="C8" t="s">
        <v>628</v>
      </c>
      <c r="D8" t="s">
        <v>629</v>
      </c>
      <c r="E8" t="s">
        <v>630</v>
      </c>
      <c r="F8" s="31">
        <v>30</v>
      </c>
      <c r="G8" t="s">
        <v>631</v>
      </c>
      <c r="H8" t="s">
        <v>625</v>
      </c>
    </row>
    <row r="9" spans="1:15" x14ac:dyDescent="0.2">
      <c r="A9" s="32"/>
      <c r="B9" s="33" t="s">
        <v>636</v>
      </c>
      <c r="C9" s="33"/>
      <c r="D9" s="33"/>
      <c r="E9" s="33"/>
      <c r="F9" s="34">
        <f>SUM(F6:F8)</f>
        <v>274</v>
      </c>
      <c r="G9" s="32"/>
      <c r="H9" s="32"/>
    </row>
    <row r="11" spans="1:15" x14ac:dyDescent="0.2">
      <c r="A11" t="s">
        <v>637</v>
      </c>
      <c r="B11" t="s">
        <v>11</v>
      </c>
      <c r="C11" t="s">
        <v>3</v>
      </c>
      <c r="D11" t="s">
        <v>638</v>
      </c>
      <c r="E11" t="s">
        <v>639</v>
      </c>
      <c r="F11" t="s">
        <v>611</v>
      </c>
      <c r="G11" t="s">
        <v>613</v>
      </c>
      <c r="H11" t="s">
        <v>614</v>
      </c>
      <c r="I11" t="s">
        <v>640</v>
      </c>
      <c r="J11" t="s">
        <v>641</v>
      </c>
      <c r="K11" t="s">
        <v>616</v>
      </c>
      <c r="L11" t="s">
        <v>617</v>
      </c>
      <c r="M11" t="s">
        <v>642</v>
      </c>
      <c r="N11" t="s">
        <v>643</v>
      </c>
      <c r="O11" t="s">
        <v>24</v>
      </c>
    </row>
    <row r="12" spans="1:15" x14ac:dyDescent="0.2">
      <c r="A12" s="35" t="s">
        <v>176</v>
      </c>
      <c r="B12" s="36" t="str">
        <f t="array" ref="B12">_xlfn.XLOOKUP($A12,TRIM(SUBSTITUTE('worker file'!$A$2:$A$406,_xlfn.UNICHAR(160)," ")),'worker file'!$L$2:$L$406,"Not found")</f>
        <v>US Semi-monthly</v>
      </c>
      <c r="C12" s="36" t="str">
        <f t="array" ref="C12">_xlfn.XLOOKUP($A12,TRIM(SUBSTITUTE('worker file'!$A$2:$A$406,_xlfn.UNICHAR(160)," ")),'worker file'!$D$2:$D$406,"Not found")</f>
        <v>CA</v>
      </c>
      <c r="D12" s="36" t="str">
        <f t="array" ref="D12">_xlfn.XLOOKUP($A12,TRIM(SUBSTITUTE('worker file'!$A$2:$A$406,_xlfn.UNICHAR(160)," ")),'worker file'!$Q$2:$Q$406,"Not found")</f>
        <v>Active</v>
      </c>
      <c r="E12" s="35" t="s">
        <v>618</v>
      </c>
      <c r="F12" t="str">
        <f t="shared" ref="F12:F75" si="0">_xlfn.XLOOKUP($E12,$A$5:$A$8,$B$5:$B$8,"")</f>
        <v>401(k) Employee Deferral</v>
      </c>
      <c r="G12" t="str">
        <f t="shared" ref="G12:G75" si="1">_xlfn.XLOOKUP($E12,$A$5:$A$8,$D$5:$D$8,"")</f>
        <v>Pre-tax (exempt from FIT/SIT; subject to FICA)</v>
      </c>
      <c r="H12" t="str">
        <f t="shared" ref="H12:H75" si="2">_xlfn.XLOOKUP($E12,$A$5:$A$8,$E$5:$E$8,"")</f>
        <v>Percent</v>
      </c>
      <c r="I12" s="37">
        <v>0.03</v>
      </c>
      <c r="J12" s="38" t="str">
        <f t="shared" ref="J12:J75" si="3">IF($H12="Flat",_xlfn.XLOOKUP($E12,$A$5:$A$8,$F$5:$F$8,""),"")</f>
        <v/>
      </c>
      <c r="K12" t="str">
        <f t="shared" ref="K12:K75" si="4">_xlfn.XLOOKUP($E12,$A$5:$A$8,$G$5:$G$8,"")</f>
        <v>Gross pay</v>
      </c>
      <c r="L12" t="str">
        <f t="shared" ref="L12:L75" si="5">_xlfn.XLOOKUP($E12,$A$5:$A$8,$H$5:$H$8,"")</f>
        <v>Every pay period (ongoing)</v>
      </c>
      <c r="M12" s="39">
        <f t="array" ref="M12">MAX(_xlfn.XLOOKUP($A12,TRIM(SUBSTITUTE('worker file'!$A$2:$A$406,_xlfn.UNICHAR(160)," ")),'worker file'!$M$2:$M$406,0),_xlfn.XLOOKUP($B12,TRIM('pay group &amp; schedule'!$A$2:$A$6),'pay group &amp; schedule'!$D$2:$D$6,0))</f>
        <v>46311</v>
      </c>
      <c r="N12" s="39" t="str">
        <f t="array" ref="N12">_xlfn.LET(_xlpm.t,_xlfn.XLOOKUP($A12,TRIM(SUBSTITUTE('worker file'!$A$2:$A$406,_xlfn.UNICHAR(160)," ")),'worker file'!$N$2:$N$406,""),IF(N(_xlpm.t)=0,"",_xlpm.t))</f>
        <v/>
      </c>
    </row>
    <row r="13" spans="1:15" x14ac:dyDescent="0.2">
      <c r="A13" s="35" t="s">
        <v>176</v>
      </c>
      <c r="B13" s="36" t="str">
        <f t="array" ref="B13">_xlfn.XLOOKUP($A13,TRIM(SUBSTITUTE('worker file'!$A$2:$A$406,_xlfn.UNICHAR(160)," ")),'worker file'!$L$2:$L$406,"Not found")</f>
        <v>US Semi-monthly</v>
      </c>
      <c r="C13" s="36" t="str">
        <f t="array" ref="C13">_xlfn.XLOOKUP($A13,TRIM(SUBSTITUTE('worker file'!$A$2:$A$406,_xlfn.UNICHAR(160)," ")),'worker file'!$D$2:$D$406,"Not found")</f>
        <v>CA</v>
      </c>
      <c r="D13" s="36" t="str">
        <f t="array" ref="D13">_xlfn.XLOOKUP($A13,TRIM(SUBSTITUTE('worker file'!$A$2:$A$406,_xlfn.UNICHAR(160)," ")),'worker file'!$Q$2:$Q$406,"Not found")</f>
        <v>Active</v>
      </c>
      <c r="E13" s="35" t="s">
        <v>626</v>
      </c>
      <c r="F13" t="str">
        <f t="shared" si="0"/>
        <v>Medical (Health) – Employee</v>
      </c>
      <c r="G13" t="str">
        <f t="shared" si="1"/>
        <v>Pre-tax Section 125 (exempt from FIT/SIT/FICA)</v>
      </c>
      <c r="H13" t="str">
        <f t="shared" si="2"/>
        <v>Flat</v>
      </c>
      <c r="I13" s="40" t="str">
        <f t="shared" ref="I13:I18" si="6">IF($H13="Percent",_xlfn.XLOOKUP($E13,$A$5:$A$8,$F$5:$F$8,""),"")</f>
        <v/>
      </c>
      <c r="J13" s="38">
        <f t="shared" si="3"/>
        <v>200</v>
      </c>
      <c r="K13" t="str">
        <f t="shared" si="4"/>
        <v>Per pay period</v>
      </c>
      <c r="L13" t="str">
        <f t="shared" si="5"/>
        <v>Every pay period (ongoing)</v>
      </c>
      <c r="M13" s="39">
        <f t="array" ref="M13">MAX(_xlfn.XLOOKUP($A13,TRIM(SUBSTITUTE('worker file'!$A$2:$A$406,_xlfn.UNICHAR(160)," ")),'worker file'!$M$2:$M$406,0),_xlfn.XLOOKUP($B13,TRIM('pay group &amp; schedule'!$A$2:$A$6),'pay group &amp; schedule'!$D$2:$D$6,0))</f>
        <v>46311</v>
      </c>
      <c r="N13" s="39" t="str">
        <f t="array" ref="N13">_xlfn.LET(_xlpm.t,_xlfn.XLOOKUP($A13,TRIM(SUBSTITUTE('worker file'!$A$2:$A$406,_xlfn.UNICHAR(160)," ")),'worker file'!$N$2:$N$406,""),IF(N(_xlpm.t)=0,"",_xlpm.t))</f>
        <v/>
      </c>
    </row>
    <row r="14" spans="1:15" x14ac:dyDescent="0.2">
      <c r="A14" s="35" t="s">
        <v>176</v>
      </c>
      <c r="B14" s="36" t="str">
        <f t="array" ref="B14">_xlfn.XLOOKUP($A14,TRIM(SUBSTITUTE('worker file'!$A$2:$A$406,_xlfn.UNICHAR(160)," ")),'worker file'!$L$2:$L$406,"Not found")</f>
        <v>US Semi-monthly</v>
      </c>
      <c r="C14" s="36" t="str">
        <f t="array" ref="C14">_xlfn.XLOOKUP($A14,TRIM(SUBSTITUTE('worker file'!$A$2:$A$406,_xlfn.UNICHAR(160)," ")),'worker file'!$D$2:$D$406,"Not found")</f>
        <v>CA</v>
      </c>
      <c r="D14" s="36" t="str">
        <f t="array" ref="D14">_xlfn.XLOOKUP($A14,TRIM(SUBSTITUTE('worker file'!$A$2:$A$406,_xlfn.UNICHAR(160)," ")),'worker file'!$Q$2:$Q$406,"Not found")</f>
        <v>Active</v>
      </c>
      <c r="E14" s="35" t="s">
        <v>632</v>
      </c>
      <c r="F14" t="str">
        <f t="shared" si="0"/>
        <v>Dental – Employee</v>
      </c>
      <c r="G14" t="str">
        <f t="shared" si="1"/>
        <v>Pre-tax Section 125 (exempt from FIT/SIT/FICA)</v>
      </c>
      <c r="H14" t="str">
        <f t="shared" si="2"/>
        <v>Flat</v>
      </c>
      <c r="I14" s="40" t="str">
        <f t="shared" si="6"/>
        <v/>
      </c>
      <c r="J14" s="38">
        <f t="shared" si="3"/>
        <v>44</v>
      </c>
      <c r="K14" t="str">
        <f t="shared" si="4"/>
        <v>Per pay period</v>
      </c>
      <c r="L14" t="str">
        <f t="shared" si="5"/>
        <v>Every pay period (ongoing)</v>
      </c>
      <c r="M14" s="39">
        <f t="array" ref="M14">MAX(_xlfn.XLOOKUP($A14,TRIM(SUBSTITUTE('worker file'!$A$2:$A$406,_xlfn.UNICHAR(160)," ")),'worker file'!$M$2:$M$406,0),_xlfn.XLOOKUP($B14,TRIM('pay group &amp; schedule'!$A$2:$A$6),'pay group &amp; schedule'!$D$2:$D$6,0))</f>
        <v>46311</v>
      </c>
      <c r="N14" s="39" t="str">
        <f t="array" ref="N14">_xlfn.LET(_xlpm.t,_xlfn.XLOOKUP($A14,TRIM(SUBSTITUTE('worker file'!$A$2:$A$406,_xlfn.UNICHAR(160)," ")),'worker file'!$N$2:$N$406,""),IF(N(_xlpm.t)=0,"",_xlpm.t))</f>
        <v/>
      </c>
    </row>
    <row r="15" spans="1:15" x14ac:dyDescent="0.2">
      <c r="A15" s="35" t="s">
        <v>176</v>
      </c>
      <c r="B15" s="36" t="str">
        <f t="array" ref="B15">_xlfn.XLOOKUP($A15,TRIM(SUBSTITUTE('worker file'!$A$2:$A$406,_xlfn.UNICHAR(160)," ")),'worker file'!$L$2:$L$406,"Not found")</f>
        <v>US Semi-monthly</v>
      </c>
      <c r="C15" s="36" t="str">
        <f t="array" ref="C15">_xlfn.XLOOKUP($A15,TRIM(SUBSTITUTE('worker file'!$A$2:$A$406,_xlfn.UNICHAR(160)," ")),'worker file'!$D$2:$D$406,"Not found")</f>
        <v>CA</v>
      </c>
      <c r="D15" s="36" t="str">
        <f t="array" ref="D15">_xlfn.XLOOKUP($A15,TRIM(SUBSTITUTE('worker file'!$A$2:$A$406,_xlfn.UNICHAR(160)," ")),'worker file'!$Q$2:$Q$406,"Not found")</f>
        <v>Active</v>
      </c>
      <c r="E15" s="35" t="s">
        <v>634</v>
      </c>
      <c r="F15" t="str">
        <f t="shared" si="0"/>
        <v>Vision – Employee</v>
      </c>
      <c r="G15" t="str">
        <f t="shared" si="1"/>
        <v>Pre-tax Section 125 (exempt from FIT/SIT/FICA)</v>
      </c>
      <c r="H15" t="str">
        <f t="shared" si="2"/>
        <v>Flat</v>
      </c>
      <c r="I15" s="40" t="str">
        <f t="shared" si="6"/>
        <v/>
      </c>
      <c r="J15" s="38">
        <f t="shared" si="3"/>
        <v>30</v>
      </c>
      <c r="K15" t="str">
        <f t="shared" si="4"/>
        <v>Per pay period</v>
      </c>
      <c r="L15" t="str">
        <f t="shared" si="5"/>
        <v>Every pay period (ongoing)</v>
      </c>
      <c r="M15" s="39">
        <f t="array" ref="M15">MAX(_xlfn.XLOOKUP($A15,TRIM(SUBSTITUTE('worker file'!$A$2:$A$406,_xlfn.UNICHAR(160)," ")),'worker file'!$M$2:$M$406,0),_xlfn.XLOOKUP($B15,TRIM('pay group &amp; schedule'!$A$2:$A$6),'pay group &amp; schedule'!$D$2:$D$6,0))</f>
        <v>46311</v>
      </c>
      <c r="N15" s="39" t="str">
        <f t="array" ref="N15">_xlfn.LET(_xlpm.t,_xlfn.XLOOKUP($A15,TRIM(SUBSTITUTE('worker file'!$A$2:$A$406,_xlfn.UNICHAR(160)," ")),'worker file'!$N$2:$N$406,""),IF(N(_xlpm.t)=0,"",_xlpm.t))</f>
        <v/>
      </c>
    </row>
    <row r="16" spans="1:15" x14ac:dyDescent="0.2">
      <c r="A16" s="35" t="s">
        <v>572</v>
      </c>
      <c r="B16" s="36" t="str">
        <f t="array" ref="B16">_xlfn.XLOOKUP($A16,TRIM(SUBSTITUTE('worker file'!$A$2:$A$406,_xlfn.UNICHAR(160)," ")),'worker file'!$L$2:$L$406,"Not found")</f>
        <v>US Semi-monthly</v>
      </c>
      <c r="C16" s="36" t="str">
        <f t="array" ref="C16">_xlfn.XLOOKUP($A16,TRIM(SUBSTITUTE('worker file'!$A$2:$A$406,_xlfn.UNICHAR(160)," ")),'worker file'!$D$2:$D$406,"Not found")</f>
        <v>WA</v>
      </c>
      <c r="D16" s="36" t="str">
        <f t="array" ref="D16">_xlfn.XLOOKUP($A16,TRIM(SUBSTITUTE('worker file'!$A$2:$A$406,_xlfn.UNICHAR(160)," ")),'worker file'!$Q$2:$Q$406,"Not found")</f>
        <v>Termination pending</v>
      </c>
      <c r="E16" s="35" t="s">
        <v>626</v>
      </c>
      <c r="F16" t="str">
        <f t="shared" si="0"/>
        <v>Medical (Health) – Employee</v>
      </c>
      <c r="G16" t="str">
        <f t="shared" si="1"/>
        <v>Pre-tax Section 125 (exempt from FIT/SIT/FICA)</v>
      </c>
      <c r="H16" t="str">
        <f t="shared" si="2"/>
        <v>Flat</v>
      </c>
      <c r="I16" s="40" t="str">
        <f t="shared" si="6"/>
        <v/>
      </c>
      <c r="J16" s="38">
        <f t="shared" si="3"/>
        <v>200</v>
      </c>
      <c r="K16" t="str">
        <f t="shared" si="4"/>
        <v>Per pay period</v>
      </c>
      <c r="L16" t="str">
        <f t="shared" si="5"/>
        <v>Every pay period (ongoing)</v>
      </c>
      <c r="M16" s="39">
        <f t="array" ref="M16">MAX(_xlfn.XLOOKUP($A16,TRIM(SUBSTITUTE('worker file'!$A$2:$A$406,_xlfn.UNICHAR(160)," ")),'worker file'!$M$2:$M$406,0),_xlfn.XLOOKUP($B16,TRIM('pay group &amp; schedule'!$A$2:$A$6),'pay group &amp; schedule'!$D$2:$D$6,0))</f>
        <v>46311</v>
      </c>
      <c r="N16" s="39">
        <f t="array" ref="N16">_xlfn.LET(_xlpm.t,_xlfn.XLOOKUP($A16,TRIM(SUBSTITUTE('worker file'!$A$2:$A$406,_xlfn.UNICHAR(160)," ")),'worker file'!$N$2:$N$406,""),IF(N(_xlpm.t)=0,"",_xlpm.t))</f>
        <v>46326</v>
      </c>
      <c r="O16" t="s">
        <v>644</v>
      </c>
    </row>
    <row r="17" spans="1:15" x14ac:dyDescent="0.2">
      <c r="A17" s="35" t="s">
        <v>572</v>
      </c>
      <c r="B17" s="36" t="str">
        <f t="array" ref="B17">_xlfn.XLOOKUP($A17,TRIM(SUBSTITUTE('worker file'!$A$2:$A$406,_xlfn.UNICHAR(160)," ")),'worker file'!$L$2:$L$406,"Not found")</f>
        <v>US Semi-monthly</v>
      </c>
      <c r="C17" s="36" t="str">
        <f t="array" ref="C17">_xlfn.XLOOKUP($A17,TRIM(SUBSTITUTE('worker file'!$A$2:$A$406,_xlfn.UNICHAR(160)," ")),'worker file'!$D$2:$D$406,"Not found")</f>
        <v>WA</v>
      </c>
      <c r="D17" s="36" t="str">
        <f t="array" ref="D17">_xlfn.XLOOKUP($A17,TRIM(SUBSTITUTE('worker file'!$A$2:$A$406,_xlfn.UNICHAR(160)," ")),'worker file'!$Q$2:$Q$406,"Not found")</f>
        <v>Termination pending</v>
      </c>
      <c r="E17" s="35" t="s">
        <v>632</v>
      </c>
      <c r="F17" t="str">
        <f t="shared" si="0"/>
        <v>Dental – Employee</v>
      </c>
      <c r="G17" t="str">
        <f t="shared" si="1"/>
        <v>Pre-tax Section 125 (exempt from FIT/SIT/FICA)</v>
      </c>
      <c r="H17" t="str">
        <f t="shared" si="2"/>
        <v>Flat</v>
      </c>
      <c r="I17" s="40" t="str">
        <f t="shared" si="6"/>
        <v/>
      </c>
      <c r="J17" s="38">
        <f t="shared" si="3"/>
        <v>44</v>
      </c>
      <c r="K17" t="str">
        <f t="shared" si="4"/>
        <v>Per pay period</v>
      </c>
      <c r="L17" t="str">
        <f t="shared" si="5"/>
        <v>Every pay period (ongoing)</v>
      </c>
      <c r="M17" s="39">
        <f t="array" ref="M17">MAX(_xlfn.XLOOKUP($A17,TRIM(SUBSTITUTE('worker file'!$A$2:$A$406,_xlfn.UNICHAR(160)," ")),'worker file'!$M$2:$M$406,0),_xlfn.XLOOKUP($B17,TRIM('pay group &amp; schedule'!$A$2:$A$6),'pay group &amp; schedule'!$D$2:$D$6,0))</f>
        <v>46311</v>
      </c>
      <c r="N17" s="39">
        <f t="array" ref="N17">_xlfn.LET(_xlpm.t,_xlfn.XLOOKUP($A17,TRIM(SUBSTITUTE('worker file'!$A$2:$A$406,_xlfn.UNICHAR(160)," ")),'worker file'!$N$2:$N$406,""),IF(N(_xlpm.t)=0,"",_xlpm.t))</f>
        <v>46326</v>
      </c>
      <c r="O17" t="s">
        <v>644</v>
      </c>
    </row>
    <row r="18" spans="1:15" x14ac:dyDescent="0.2">
      <c r="A18" s="35" t="s">
        <v>572</v>
      </c>
      <c r="B18" s="36" t="str">
        <f t="array" ref="B18">_xlfn.XLOOKUP($A18,TRIM(SUBSTITUTE('worker file'!$A$2:$A$406,_xlfn.UNICHAR(160)," ")),'worker file'!$L$2:$L$406,"Not found")</f>
        <v>US Semi-monthly</v>
      </c>
      <c r="C18" s="36" t="str">
        <f t="array" ref="C18">_xlfn.XLOOKUP($A18,TRIM(SUBSTITUTE('worker file'!$A$2:$A$406,_xlfn.UNICHAR(160)," ")),'worker file'!$D$2:$D$406,"Not found")</f>
        <v>WA</v>
      </c>
      <c r="D18" s="36" t="str">
        <f t="array" ref="D18">_xlfn.XLOOKUP($A18,TRIM(SUBSTITUTE('worker file'!$A$2:$A$406,_xlfn.UNICHAR(160)," ")),'worker file'!$Q$2:$Q$406,"Not found")</f>
        <v>Termination pending</v>
      </c>
      <c r="E18" s="35" t="s">
        <v>634</v>
      </c>
      <c r="F18" t="str">
        <f t="shared" si="0"/>
        <v>Vision – Employee</v>
      </c>
      <c r="G18" t="str">
        <f t="shared" si="1"/>
        <v>Pre-tax Section 125 (exempt from FIT/SIT/FICA)</v>
      </c>
      <c r="H18" t="str">
        <f t="shared" si="2"/>
        <v>Flat</v>
      </c>
      <c r="I18" s="40" t="str">
        <f t="shared" si="6"/>
        <v/>
      </c>
      <c r="J18" s="38">
        <f t="shared" si="3"/>
        <v>30</v>
      </c>
      <c r="K18" t="str">
        <f t="shared" si="4"/>
        <v>Per pay period</v>
      </c>
      <c r="L18" t="str">
        <f t="shared" si="5"/>
        <v>Every pay period (ongoing)</v>
      </c>
      <c r="M18" s="39">
        <f t="array" ref="M18">MAX(_xlfn.XLOOKUP($A18,TRIM(SUBSTITUTE('worker file'!$A$2:$A$406,_xlfn.UNICHAR(160)," ")),'worker file'!$M$2:$M$406,0),_xlfn.XLOOKUP($B18,TRIM('pay group &amp; schedule'!$A$2:$A$6),'pay group &amp; schedule'!$D$2:$D$6,0))</f>
        <v>46311</v>
      </c>
      <c r="N18" s="39">
        <f t="array" ref="N18">_xlfn.LET(_xlpm.t,_xlfn.XLOOKUP($A18,TRIM(SUBSTITUTE('worker file'!$A$2:$A$406,_xlfn.UNICHAR(160)," ")),'worker file'!$N$2:$N$406,""),IF(N(_xlpm.t)=0,"",_xlpm.t))</f>
        <v>46326</v>
      </c>
      <c r="O18" t="s">
        <v>644</v>
      </c>
    </row>
    <row r="19" spans="1:15" x14ac:dyDescent="0.2">
      <c r="A19" s="35" t="s">
        <v>645</v>
      </c>
      <c r="B19" s="36" t="str">
        <f t="array" ref="B19">_xlfn.XLOOKUP($A19,TRIM(SUBSTITUTE('worker file'!$A$2:$A$406,_xlfn.UNICHAR(160)," ")),'worker file'!$L$2:$L$406,"Not found")</f>
        <v>US Biweekly</v>
      </c>
      <c r="C19" s="36" t="str">
        <f t="array" ref="C19">_xlfn.XLOOKUP($A19,TRIM(SUBSTITUTE('worker file'!$A$2:$A$406,_xlfn.UNICHAR(160)," ")),'worker file'!$D$2:$D$406,"Not found")</f>
        <v>CA</v>
      </c>
      <c r="D19" s="36" t="str">
        <f t="array" ref="D19">_xlfn.XLOOKUP($A19,TRIM(SUBSTITUTE('worker file'!$A$2:$A$406,_xlfn.UNICHAR(160)," ")),'worker file'!$Q$2:$Q$406,"Not found")</f>
        <v>Active</v>
      </c>
      <c r="E19" s="35" t="s">
        <v>618</v>
      </c>
      <c r="F19" t="str">
        <f t="shared" si="0"/>
        <v>401(k) Employee Deferral</v>
      </c>
      <c r="G19" t="str">
        <f t="shared" si="1"/>
        <v>Pre-tax (exempt from FIT/SIT; subject to FICA)</v>
      </c>
      <c r="H19" t="str">
        <f t="shared" si="2"/>
        <v>Percent</v>
      </c>
      <c r="I19" s="37">
        <v>0.05</v>
      </c>
      <c r="J19" s="38" t="str">
        <f t="shared" si="3"/>
        <v/>
      </c>
      <c r="K19" t="str">
        <f t="shared" si="4"/>
        <v>Gross pay</v>
      </c>
      <c r="L19" t="str">
        <f t="shared" si="5"/>
        <v>Every pay period (ongoing)</v>
      </c>
      <c r="M19" s="39">
        <f t="array" ref="M19">MAX(_xlfn.XLOOKUP($A19,TRIM(SUBSTITUTE('worker file'!$A$2:$A$406,_xlfn.UNICHAR(160)," ")),'worker file'!$M$2:$M$406,0),_xlfn.XLOOKUP($B19,TRIM('pay group &amp; schedule'!$A$2:$A$6),'pay group &amp; schedule'!$D$2:$D$6,0))</f>
        <v>46299</v>
      </c>
      <c r="N19" s="39" t="str">
        <f t="array" ref="N19">_xlfn.LET(_xlpm.t,_xlfn.XLOOKUP($A19,TRIM(SUBSTITUTE('worker file'!$A$2:$A$406,_xlfn.UNICHAR(160)," ")),'worker file'!$N$2:$N$406,""),IF(N(_xlpm.t)=0,"",_xlpm.t))</f>
        <v/>
      </c>
    </row>
    <row r="20" spans="1:15" x14ac:dyDescent="0.2">
      <c r="A20" s="35" t="s">
        <v>645</v>
      </c>
      <c r="B20" s="36" t="str">
        <f t="array" ref="B20">_xlfn.XLOOKUP($A20,TRIM(SUBSTITUTE('worker file'!$A$2:$A$406,_xlfn.UNICHAR(160)," ")),'worker file'!$L$2:$L$406,"Not found")</f>
        <v>US Biweekly</v>
      </c>
      <c r="C20" s="36" t="str">
        <f t="array" ref="C20">_xlfn.XLOOKUP($A20,TRIM(SUBSTITUTE('worker file'!$A$2:$A$406,_xlfn.UNICHAR(160)," ")),'worker file'!$D$2:$D$406,"Not found")</f>
        <v>CA</v>
      </c>
      <c r="D20" s="36" t="str">
        <f t="array" ref="D20">_xlfn.XLOOKUP($A20,TRIM(SUBSTITUTE('worker file'!$A$2:$A$406,_xlfn.UNICHAR(160)," ")),'worker file'!$Q$2:$Q$406,"Not found")</f>
        <v>Active</v>
      </c>
      <c r="E20" s="35" t="s">
        <v>626</v>
      </c>
      <c r="F20" t="str">
        <f t="shared" si="0"/>
        <v>Medical (Health) – Employee</v>
      </c>
      <c r="G20" t="str">
        <f t="shared" si="1"/>
        <v>Pre-tax Section 125 (exempt from FIT/SIT/FICA)</v>
      </c>
      <c r="H20" t="str">
        <f t="shared" si="2"/>
        <v>Flat</v>
      </c>
      <c r="I20" s="40" t="str">
        <f>IF($H20="Percent",_xlfn.XLOOKUP($E20,$A$5:$A$8,$F$5:$F$8,""),"")</f>
        <v/>
      </c>
      <c r="J20" s="38">
        <f t="shared" si="3"/>
        <v>200</v>
      </c>
      <c r="K20" t="str">
        <f t="shared" si="4"/>
        <v>Per pay period</v>
      </c>
      <c r="L20" t="str">
        <f t="shared" si="5"/>
        <v>Every pay period (ongoing)</v>
      </c>
      <c r="M20" s="39">
        <f t="array" ref="M20">MAX(_xlfn.XLOOKUP($A20,TRIM(SUBSTITUTE('worker file'!$A$2:$A$406,_xlfn.UNICHAR(160)," ")),'worker file'!$M$2:$M$406,0),_xlfn.XLOOKUP($B20,TRIM('pay group &amp; schedule'!$A$2:$A$6),'pay group &amp; schedule'!$D$2:$D$6,0))</f>
        <v>46299</v>
      </c>
      <c r="N20" s="39" t="str">
        <f t="array" ref="N20">_xlfn.LET(_xlpm.t,_xlfn.XLOOKUP($A20,TRIM(SUBSTITUTE('worker file'!$A$2:$A$406,_xlfn.UNICHAR(160)," ")),'worker file'!$N$2:$N$406,""),IF(N(_xlpm.t)=0,"",_xlpm.t))</f>
        <v/>
      </c>
    </row>
    <row r="21" spans="1:15" x14ac:dyDescent="0.2">
      <c r="A21" s="35" t="s">
        <v>645</v>
      </c>
      <c r="B21" s="36" t="str">
        <f t="array" ref="B21">_xlfn.XLOOKUP($A21,TRIM(SUBSTITUTE('worker file'!$A$2:$A$406,_xlfn.UNICHAR(160)," ")),'worker file'!$L$2:$L$406,"Not found")</f>
        <v>US Biweekly</v>
      </c>
      <c r="C21" s="36" t="str">
        <f t="array" ref="C21">_xlfn.XLOOKUP($A21,TRIM(SUBSTITUTE('worker file'!$A$2:$A$406,_xlfn.UNICHAR(160)," ")),'worker file'!$D$2:$D$406,"Not found")</f>
        <v>CA</v>
      </c>
      <c r="D21" s="36" t="str">
        <f t="array" ref="D21">_xlfn.XLOOKUP($A21,TRIM(SUBSTITUTE('worker file'!$A$2:$A$406,_xlfn.UNICHAR(160)," ")),'worker file'!$Q$2:$Q$406,"Not found")</f>
        <v>Active</v>
      </c>
      <c r="E21" s="35" t="s">
        <v>632</v>
      </c>
      <c r="F21" t="str">
        <f t="shared" si="0"/>
        <v>Dental – Employee</v>
      </c>
      <c r="G21" t="str">
        <f t="shared" si="1"/>
        <v>Pre-tax Section 125 (exempt from FIT/SIT/FICA)</v>
      </c>
      <c r="H21" t="str">
        <f t="shared" si="2"/>
        <v>Flat</v>
      </c>
      <c r="I21" s="40" t="str">
        <f>IF($H21="Percent",_xlfn.XLOOKUP($E21,$A$5:$A$8,$F$5:$F$8,""),"")</f>
        <v/>
      </c>
      <c r="J21" s="38">
        <f t="shared" si="3"/>
        <v>44</v>
      </c>
      <c r="K21" t="str">
        <f t="shared" si="4"/>
        <v>Per pay period</v>
      </c>
      <c r="L21" t="str">
        <f t="shared" si="5"/>
        <v>Every pay period (ongoing)</v>
      </c>
      <c r="M21" s="39">
        <f t="array" ref="M21">MAX(_xlfn.XLOOKUP($A21,TRIM(SUBSTITUTE('worker file'!$A$2:$A$406,_xlfn.UNICHAR(160)," ")),'worker file'!$M$2:$M$406,0),_xlfn.XLOOKUP($B21,TRIM('pay group &amp; schedule'!$A$2:$A$6),'pay group &amp; schedule'!$D$2:$D$6,0))</f>
        <v>46299</v>
      </c>
      <c r="N21" s="39" t="str">
        <f t="array" ref="N21">_xlfn.LET(_xlpm.t,_xlfn.XLOOKUP($A21,TRIM(SUBSTITUTE('worker file'!$A$2:$A$406,_xlfn.UNICHAR(160)," ")),'worker file'!$N$2:$N$406,""),IF(N(_xlpm.t)=0,"",_xlpm.t))</f>
        <v/>
      </c>
    </row>
    <row r="22" spans="1:15" x14ac:dyDescent="0.2">
      <c r="A22" s="35" t="s">
        <v>645</v>
      </c>
      <c r="B22" s="36" t="str">
        <f t="array" ref="B22">_xlfn.XLOOKUP($A22,TRIM(SUBSTITUTE('worker file'!$A$2:$A$406,_xlfn.UNICHAR(160)," ")),'worker file'!$L$2:$L$406,"Not found")</f>
        <v>US Biweekly</v>
      </c>
      <c r="C22" s="36" t="str">
        <f t="array" ref="C22">_xlfn.XLOOKUP($A22,TRIM(SUBSTITUTE('worker file'!$A$2:$A$406,_xlfn.UNICHAR(160)," ")),'worker file'!$D$2:$D$406,"Not found")</f>
        <v>CA</v>
      </c>
      <c r="D22" s="36" t="str">
        <f t="array" ref="D22">_xlfn.XLOOKUP($A22,TRIM(SUBSTITUTE('worker file'!$A$2:$A$406,_xlfn.UNICHAR(160)," ")),'worker file'!$Q$2:$Q$406,"Not found")</f>
        <v>Active</v>
      </c>
      <c r="E22" s="35" t="s">
        <v>634</v>
      </c>
      <c r="F22" t="str">
        <f t="shared" si="0"/>
        <v>Vision – Employee</v>
      </c>
      <c r="G22" t="str">
        <f t="shared" si="1"/>
        <v>Pre-tax Section 125 (exempt from FIT/SIT/FICA)</v>
      </c>
      <c r="H22" t="str">
        <f t="shared" si="2"/>
        <v>Flat</v>
      </c>
      <c r="I22" s="40" t="str">
        <f>IF($H22="Percent",_xlfn.XLOOKUP($E22,$A$5:$A$8,$F$5:$F$8,""),"")</f>
        <v/>
      </c>
      <c r="J22" s="38">
        <f t="shared" si="3"/>
        <v>30</v>
      </c>
      <c r="K22" t="str">
        <f t="shared" si="4"/>
        <v>Per pay period</v>
      </c>
      <c r="L22" t="str">
        <f t="shared" si="5"/>
        <v>Every pay period (ongoing)</v>
      </c>
      <c r="M22" s="39">
        <f t="array" ref="M22">MAX(_xlfn.XLOOKUP($A22,TRIM(SUBSTITUTE('worker file'!$A$2:$A$406,_xlfn.UNICHAR(160)," ")),'worker file'!$M$2:$M$406,0),_xlfn.XLOOKUP($B22,TRIM('pay group &amp; schedule'!$A$2:$A$6),'pay group &amp; schedule'!$D$2:$D$6,0))</f>
        <v>46299</v>
      </c>
      <c r="N22" s="39" t="str">
        <f t="array" ref="N22">_xlfn.LET(_xlpm.t,_xlfn.XLOOKUP($A22,TRIM(SUBSTITUTE('worker file'!$A$2:$A$406,_xlfn.UNICHAR(160)," ")),'worker file'!$N$2:$N$406,""),IF(N(_xlpm.t)=0,"",_xlpm.t))</f>
        <v/>
      </c>
    </row>
    <row r="23" spans="1:15" x14ac:dyDescent="0.2">
      <c r="A23" s="35" t="s">
        <v>579</v>
      </c>
      <c r="B23" s="36" t="str">
        <f t="array" ref="B23">_xlfn.XLOOKUP($A23,TRIM(SUBSTITUTE('worker file'!$A$2:$A$406,_xlfn.UNICHAR(160)," ")),'worker file'!$L$2:$L$406,"Not found")</f>
        <v>US Biweekly</v>
      </c>
      <c r="C23" s="36" t="str">
        <f t="array" ref="C23">_xlfn.XLOOKUP($A23,TRIM(SUBSTITUTE('worker file'!$A$2:$A$406,_xlfn.UNICHAR(160)," ")),'worker file'!$D$2:$D$406,"Not found")</f>
        <v>TX</v>
      </c>
      <c r="D23" s="36" t="str">
        <f t="array" ref="D23">_xlfn.XLOOKUP($A23,TRIM(SUBSTITUTE('worker file'!$A$2:$A$406,_xlfn.UNICHAR(160)," ")),'worker file'!$Q$2:$Q$406,"Not found")</f>
        <v>Active</v>
      </c>
      <c r="E23" s="35" t="s">
        <v>618</v>
      </c>
      <c r="F23" t="str">
        <f t="shared" si="0"/>
        <v>401(k) Employee Deferral</v>
      </c>
      <c r="G23" t="str">
        <f t="shared" si="1"/>
        <v>Pre-tax (exempt from FIT/SIT; subject to FICA)</v>
      </c>
      <c r="H23" t="str">
        <f t="shared" si="2"/>
        <v>Percent</v>
      </c>
      <c r="I23" s="37">
        <v>0.02</v>
      </c>
      <c r="J23" s="38" t="str">
        <f t="shared" si="3"/>
        <v/>
      </c>
      <c r="K23" t="str">
        <f t="shared" si="4"/>
        <v>Gross pay</v>
      </c>
      <c r="L23" t="str">
        <f t="shared" si="5"/>
        <v>Every pay period (ongoing)</v>
      </c>
      <c r="M23" s="39">
        <f t="array" ref="M23">MAX(_xlfn.XLOOKUP($A23,TRIM(SUBSTITUTE('worker file'!$A$2:$A$406,_xlfn.UNICHAR(160)," ")),'worker file'!$M$2:$M$406,0),_xlfn.XLOOKUP($B23,TRIM('pay group &amp; schedule'!$A$2:$A$6),'pay group &amp; schedule'!$D$2:$D$6,0))</f>
        <v>46299</v>
      </c>
      <c r="N23" s="39" t="str">
        <f t="array" ref="N23">_xlfn.LET(_xlpm.t,_xlfn.XLOOKUP($A23,TRIM(SUBSTITUTE('worker file'!$A$2:$A$406,_xlfn.UNICHAR(160)," ")),'worker file'!$N$2:$N$406,""),IF(N(_xlpm.t)=0,"",_xlpm.t))</f>
        <v/>
      </c>
    </row>
    <row r="24" spans="1:15" x14ac:dyDescent="0.2">
      <c r="A24" s="35" t="s">
        <v>579</v>
      </c>
      <c r="B24" s="36" t="str">
        <f t="array" ref="B24">_xlfn.XLOOKUP($A24,TRIM(SUBSTITUTE('worker file'!$A$2:$A$406,_xlfn.UNICHAR(160)," ")),'worker file'!$L$2:$L$406,"Not found")</f>
        <v>US Biweekly</v>
      </c>
      <c r="C24" s="36" t="str">
        <f t="array" ref="C24">_xlfn.XLOOKUP($A24,TRIM(SUBSTITUTE('worker file'!$A$2:$A$406,_xlfn.UNICHAR(160)," ")),'worker file'!$D$2:$D$406,"Not found")</f>
        <v>TX</v>
      </c>
      <c r="D24" s="36" t="str">
        <f t="array" ref="D24">_xlfn.XLOOKUP($A24,TRIM(SUBSTITUTE('worker file'!$A$2:$A$406,_xlfn.UNICHAR(160)," ")),'worker file'!$Q$2:$Q$406,"Not found")</f>
        <v>Active</v>
      </c>
      <c r="E24" s="35" t="s">
        <v>626</v>
      </c>
      <c r="F24" t="str">
        <f t="shared" si="0"/>
        <v>Medical (Health) – Employee</v>
      </c>
      <c r="G24" t="str">
        <f t="shared" si="1"/>
        <v>Pre-tax Section 125 (exempt from FIT/SIT/FICA)</v>
      </c>
      <c r="H24" t="str">
        <f t="shared" si="2"/>
        <v>Flat</v>
      </c>
      <c r="I24" s="40" t="str">
        <f>IF($H24="Percent",_xlfn.XLOOKUP($E24,$A$5:$A$8,$F$5:$F$8,""),"")</f>
        <v/>
      </c>
      <c r="J24" s="38">
        <f t="shared" si="3"/>
        <v>200</v>
      </c>
      <c r="K24" t="str">
        <f t="shared" si="4"/>
        <v>Per pay period</v>
      </c>
      <c r="L24" t="str">
        <f t="shared" si="5"/>
        <v>Every pay period (ongoing)</v>
      </c>
      <c r="M24" s="39">
        <f t="array" ref="M24">MAX(_xlfn.XLOOKUP($A24,TRIM(SUBSTITUTE('worker file'!$A$2:$A$406,_xlfn.UNICHAR(160)," ")),'worker file'!$M$2:$M$406,0),_xlfn.XLOOKUP($B24,TRIM('pay group &amp; schedule'!$A$2:$A$6),'pay group &amp; schedule'!$D$2:$D$6,0))</f>
        <v>46299</v>
      </c>
      <c r="N24" s="39" t="str">
        <f t="array" ref="N24">_xlfn.LET(_xlpm.t,_xlfn.XLOOKUP($A24,TRIM(SUBSTITUTE('worker file'!$A$2:$A$406,_xlfn.UNICHAR(160)," ")),'worker file'!$N$2:$N$406,""),IF(N(_xlpm.t)=0,"",_xlpm.t))</f>
        <v/>
      </c>
    </row>
    <row r="25" spans="1:15" x14ac:dyDescent="0.2">
      <c r="A25" s="35" t="s">
        <v>579</v>
      </c>
      <c r="B25" s="36" t="str">
        <f t="array" ref="B25">_xlfn.XLOOKUP($A25,TRIM(SUBSTITUTE('worker file'!$A$2:$A$406,_xlfn.UNICHAR(160)," ")),'worker file'!$L$2:$L$406,"Not found")</f>
        <v>US Biweekly</v>
      </c>
      <c r="C25" s="36" t="str">
        <f t="array" ref="C25">_xlfn.XLOOKUP($A25,TRIM(SUBSTITUTE('worker file'!$A$2:$A$406,_xlfn.UNICHAR(160)," ")),'worker file'!$D$2:$D$406,"Not found")</f>
        <v>TX</v>
      </c>
      <c r="D25" s="36" t="str">
        <f t="array" ref="D25">_xlfn.XLOOKUP($A25,TRIM(SUBSTITUTE('worker file'!$A$2:$A$406,_xlfn.UNICHAR(160)," ")),'worker file'!$Q$2:$Q$406,"Not found")</f>
        <v>Active</v>
      </c>
      <c r="E25" s="35" t="s">
        <v>632</v>
      </c>
      <c r="F25" t="str">
        <f t="shared" si="0"/>
        <v>Dental – Employee</v>
      </c>
      <c r="G25" t="str">
        <f t="shared" si="1"/>
        <v>Pre-tax Section 125 (exempt from FIT/SIT/FICA)</v>
      </c>
      <c r="H25" t="str">
        <f t="shared" si="2"/>
        <v>Flat</v>
      </c>
      <c r="I25" s="40" t="str">
        <f>IF($H25="Percent",_xlfn.XLOOKUP($E25,$A$5:$A$8,$F$5:$F$8,""),"")</f>
        <v/>
      </c>
      <c r="J25" s="38">
        <f t="shared" si="3"/>
        <v>44</v>
      </c>
      <c r="K25" t="str">
        <f t="shared" si="4"/>
        <v>Per pay period</v>
      </c>
      <c r="L25" t="str">
        <f t="shared" si="5"/>
        <v>Every pay period (ongoing)</v>
      </c>
      <c r="M25" s="39">
        <f t="array" ref="M25">MAX(_xlfn.XLOOKUP($A25,TRIM(SUBSTITUTE('worker file'!$A$2:$A$406,_xlfn.UNICHAR(160)," ")),'worker file'!$M$2:$M$406,0),_xlfn.XLOOKUP($B25,TRIM('pay group &amp; schedule'!$A$2:$A$6),'pay group &amp; schedule'!$D$2:$D$6,0))</f>
        <v>46299</v>
      </c>
      <c r="N25" s="39" t="str">
        <f t="array" ref="N25">_xlfn.LET(_xlpm.t,_xlfn.XLOOKUP($A25,TRIM(SUBSTITUTE('worker file'!$A$2:$A$406,_xlfn.UNICHAR(160)," ")),'worker file'!$N$2:$N$406,""),IF(N(_xlpm.t)=0,"",_xlpm.t))</f>
        <v/>
      </c>
    </row>
    <row r="26" spans="1:15" x14ac:dyDescent="0.2">
      <c r="A26" s="35" t="s">
        <v>579</v>
      </c>
      <c r="B26" s="36" t="str">
        <f t="array" ref="B26">_xlfn.XLOOKUP($A26,TRIM(SUBSTITUTE('worker file'!$A$2:$A$406,_xlfn.UNICHAR(160)," ")),'worker file'!$L$2:$L$406,"Not found")</f>
        <v>US Biweekly</v>
      </c>
      <c r="C26" s="36" t="str">
        <f t="array" ref="C26">_xlfn.XLOOKUP($A26,TRIM(SUBSTITUTE('worker file'!$A$2:$A$406,_xlfn.UNICHAR(160)," ")),'worker file'!$D$2:$D$406,"Not found")</f>
        <v>TX</v>
      </c>
      <c r="D26" s="36" t="str">
        <f t="array" ref="D26">_xlfn.XLOOKUP($A26,TRIM(SUBSTITUTE('worker file'!$A$2:$A$406,_xlfn.UNICHAR(160)," ")),'worker file'!$Q$2:$Q$406,"Not found")</f>
        <v>Active</v>
      </c>
      <c r="E26" s="35" t="s">
        <v>634</v>
      </c>
      <c r="F26" t="str">
        <f t="shared" si="0"/>
        <v>Vision – Employee</v>
      </c>
      <c r="G26" t="str">
        <f t="shared" si="1"/>
        <v>Pre-tax Section 125 (exempt from FIT/SIT/FICA)</v>
      </c>
      <c r="H26" t="str">
        <f t="shared" si="2"/>
        <v>Flat</v>
      </c>
      <c r="I26" s="40" t="str">
        <f>IF($H26="Percent",_xlfn.XLOOKUP($E26,$A$5:$A$8,$F$5:$F$8,""),"")</f>
        <v/>
      </c>
      <c r="J26" s="38">
        <f t="shared" si="3"/>
        <v>30</v>
      </c>
      <c r="K26" t="str">
        <f t="shared" si="4"/>
        <v>Per pay period</v>
      </c>
      <c r="L26" t="str">
        <f t="shared" si="5"/>
        <v>Every pay period (ongoing)</v>
      </c>
      <c r="M26" s="39">
        <f t="array" ref="M26">MAX(_xlfn.XLOOKUP($A26,TRIM(SUBSTITUTE('worker file'!$A$2:$A$406,_xlfn.UNICHAR(160)," ")),'worker file'!$M$2:$M$406,0),_xlfn.XLOOKUP($B26,TRIM('pay group &amp; schedule'!$A$2:$A$6),'pay group &amp; schedule'!$D$2:$D$6,0))</f>
        <v>46299</v>
      </c>
      <c r="N26" s="39" t="str">
        <f t="array" ref="N26">_xlfn.LET(_xlpm.t,_xlfn.XLOOKUP($A26,TRIM(SUBSTITUTE('worker file'!$A$2:$A$406,_xlfn.UNICHAR(160)," ")),'worker file'!$N$2:$N$406,""),IF(N(_xlpm.t)=0,"",_xlpm.t))</f>
        <v/>
      </c>
    </row>
    <row r="27" spans="1:15" x14ac:dyDescent="0.2">
      <c r="A27" s="35" t="s">
        <v>565</v>
      </c>
      <c r="B27" s="36" t="str">
        <f t="array" ref="B27">_xlfn.XLOOKUP($A27,TRIM(SUBSTITUTE('worker file'!$A$2:$A$406,_xlfn.UNICHAR(160)," ")),'worker file'!$L$2:$L$406,"Not found")</f>
        <v>US Biweekly</v>
      </c>
      <c r="C27" s="36" t="str">
        <f t="array" ref="C27">_xlfn.XLOOKUP($A27,TRIM(SUBSTITUTE('worker file'!$A$2:$A$406,_xlfn.UNICHAR(160)," ")),'worker file'!$D$2:$D$406,"Not found")</f>
        <v>CA</v>
      </c>
      <c r="D27" s="36" t="str">
        <f t="array" ref="D27">_xlfn.XLOOKUP($A27,TRIM(SUBSTITUTE('worker file'!$A$2:$A$406,_xlfn.UNICHAR(160)," ")),'worker file'!$Q$2:$Q$406,"Not found")</f>
        <v>Termination pending</v>
      </c>
      <c r="E27" s="35" t="s">
        <v>618</v>
      </c>
      <c r="F27" t="str">
        <f t="shared" si="0"/>
        <v>401(k) Employee Deferral</v>
      </c>
      <c r="G27" t="str">
        <f t="shared" si="1"/>
        <v>Pre-tax (exempt from FIT/SIT; subject to FICA)</v>
      </c>
      <c r="H27" t="str">
        <f t="shared" si="2"/>
        <v>Percent</v>
      </c>
      <c r="I27" s="37">
        <v>7.0000000000000007E-2</v>
      </c>
      <c r="J27" s="38" t="str">
        <f t="shared" si="3"/>
        <v/>
      </c>
      <c r="K27" t="str">
        <f t="shared" si="4"/>
        <v>Gross pay</v>
      </c>
      <c r="L27" t="str">
        <f t="shared" si="5"/>
        <v>Every pay period (ongoing)</v>
      </c>
      <c r="M27" s="39">
        <f t="array" ref="M27">MAX(_xlfn.XLOOKUP($A27,TRIM(SUBSTITUTE('worker file'!$A$2:$A$406,_xlfn.UNICHAR(160)," ")),'worker file'!$M$2:$M$406,0),_xlfn.XLOOKUP($B27,TRIM('pay group &amp; schedule'!$A$2:$A$6),'pay group &amp; schedule'!$D$2:$D$6,0))</f>
        <v>46299</v>
      </c>
      <c r="N27" s="39">
        <f t="array" ref="N27">_xlfn.LET(_xlpm.t,_xlfn.XLOOKUP($A27,TRIM(SUBSTITUTE('worker file'!$A$2:$A$406,_xlfn.UNICHAR(160)," ")),'worker file'!$N$2:$N$406,""),IF(N(_xlpm.t)=0,"",_xlpm.t))</f>
        <v>46312</v>
      </c>
      <c r="O27" t="s">
        <v>644</v>
      </c>
    </row>
    <row r="28" spans="1:15" x14ac:dyDescent="0.2">
      <c r="A28" s="35" t="s">
        <v>565</v>
      </c>
      <c r="B28" s="36" t="str">
        <f t="array" ref="B28">_xlfn.XLOOKUP($A28,TRIM(SUBSTITUTE('worker file'!$A$2:$A$406,_xlfn.UNICHAR(160)," ")),'worker file'!$L$2:$L$406,"Not found")</f>
        <v>US Biweekly</v>
      </c>
      <c r="C28" s="36" t="str">
        <f t="array" ref="C28">_xlfn.XLOOKUP($A28,TRIM(SUBSTITUTE('worker file'!$A$2:$A$406,_xlfn.UNICHAR(160)," ")),'worker file'!$D$2:$D$406,"Not found")</f>
        <v>CA</v>
      </c>
      <c r="D28" s="36" t="str">
        <f t="array" ref="D28">_xlfn.XLOOKUP($A28,TRIM(SUBSTITUTE('worker file'!$A$2:$A$406,_xlfn.UNICHAR(160)," ")),'worker file'!$Q$2:$Q$406,"Not found")</f>
        <v>Termination pending</v>
      </c>
      <c r="E28" s="35" t="s">
        <v>626</v>
      </c>
      <c r="F28" t="str">
        <f t="shared" si="0"/>
        <v>Medical (Health) – Employee</v>
      </c>
      <c r="G28" t="str">
        <f t="shared" si="1"/>
        <v>Pre-tax Section 125 (exempt from FIT/SIT/FICA)</v>
      </c>
      <c r="H28" t="str">
        <f t="shared" si="2"/>
        <v>Flat</v>
      </c>
      <c r="I28" s="40" t="str">
        <f>IF($H28="Percent",_xlfn.XLOOKUP($E28,$A$5:$A$8,$F$5:$F$8,""),"")</f>
        <v/>
      </c>
      <c r="J28" s="38">
        <f t="shared" si="3"/>
        <v>200</v>
      </c>
      <c r="K28" t="str">
        <f t="shared" si="4"/>
        <v>Per pay period</v>
      </c>
      <c r="L28" t="str">
        <f t="shared" si="5"/>
        <v>Every pay period (ongoing)</v>
      </c>
      <c r="M28" s="39">
        <f t="array" ref="M28">MAX(_xlfn.XLOOKUP($A28,TRIM(SUBSTITUTE('worker file'!$A$2:$A$406,_xlfn.UNICHAR(160)," ")),'worker file'!$M$2:$M$406,0),_xlfn.XLOOKUP($B28,TRIM('pay group &amp; schedule'!$A$2:$A$6),'pay group &amp; schedule'!$D$2:$D$6,0))</f>
        <v>46299</v>
      </c>
      <c r="N28" s="39">
        <f t="array" ref="N28">_xlfn.LET(_xlpm.t,_xlfn.XLOOKUP($A28,TRIM(SUBSTITUTE('worker file'!$A$2:$A$406,_xlfn.UNICHAR(160)," ")),'worker file'!$N$2:$N$406,""),IF(N(_xlpm.t)=0,"",_xlpm.t))</f>
        <v>46312</v>
      </c>
      <c r="O28" t="s">
        <v>644</v>
      </c>
    </row>
    <row r="29" spans="1:15" x14ac:dyDescent="0.2">
      <c r="A29" s="35" t="s">
        <v>565</v>
      </c>
      <c r="B29" s="36" t="str">
        <f t="array" ref="B29">_xlfn.XLOOKUP($A29,TRIM(SUBSTITUTE('worker file'!$A$2:$A$406,_xlfn.UNICHAR(160)," ")),'worker file'!$L$2:$L$406,"Not found")</f>
        <v>US Biweekly</v>
      </c>
      <c r="C29" s="36" t="str">
        <f t="array" ref="C29">_xlfn.XLOOKUP($A29,TRIM(SUBSTITUTE('worker file'!$A$2:$A$406,_xlfn.UNICHAR(160)," ")),'worker file'!$D$2:$D$406,"Not found")</f>
        <v>CA</v>
      </c>
      <c r="D29" s="36" t="str">
        <f t="array" ref="D29">_xlfn.XLOOKUP($A29,TRIM(SUBSTITUTE('worker file'!$A$2:$A$406,_xlfn.UNICHAR(160)," ")),'worker file'!$Q$2:$Q$406,"Not found")</f>
        <v>Termination pending</v>
      </c>
      <c r="E29" s="35" t="s">
        <v>632</v>
      </c>
      <c r="F29" t="str">
        <f t="shared" si="0"/>
        <v>Dental – Employee</v>
      </c>
      <c r="G29" t="str">
        <f t="shared" si="1"/>
        <v>Pre-tax Section 125 (exempt from FIT/SIT/FICA)</v>
      </c>
      <c r="H29" t="str">
        <f t="shared" si="2"/>
        <v>Flat</v>
      </c>
      <c r="I29" s="40" t="str">
        <f>IF($H29="Percent",_xlfn.XLOOKUP($E29,$A$5:$A$8,$F$5:$F$8,""),"")</f>
        <v/>
      </c>
      <c r="J29" s="38">
        <f t="shared" si="3"/>
        <v>44</v>
      </c>
      <c r="K29" t="str">
        <f t="shared" si="4"/>
        <v>Per pay period</v>
      </c>
      <c r="L29" t="str">
        <f t="shared" si="5"/>
        <v>Every pay period (ongoing)</v>
      </c>
      <c r="M29" s="39">
        <f t="array" ref="M29">MAX(_xlfn.XLOOKUP($A29,TRIM(SUBSTITUTE('worker file'!$A$2:$A$406,_xlfn.UNICHAR(160)," ")),'worker file'!$M$2:$M$406,0),_xlfn.XLOOKUP($B29,TRIM('pay group &amp; schedule'!$A$2:$A$6),'pay group &amp; schedule'!$D$2:$D$6,0))</f>
        <v>46299</v>
      </c>
      <c r="N29" s="39">
        <f t="array" ref="N29">_xlfn.LET(_xlpm.t,_xlfn.XLOOKUP($A29,TRIM(SUBSTITUTE('worker file'!$A$2:$A$406,_xlfn.UNICHAR(160)," ")),'worker file'!$N$2:$N$406,""),IF(N(_xlpm.t)=0,"",_xlpm.t))</f>
        <v>46312</v>
      </c>
      <c r="O29" t="s">
        <v>644</v>
      </c>
    </row>
    <row r="30" spans="1:15" x14ac:dyDescent="0.2">
      <c r="A30" s="35" t="s">
        <v>565</v>
      </c>
      <c r="B30" s="36" t="str">
        <f t="array" ref="B30">_xlfn.XLOOKUP($A30,TRIM(SUBSTITUTE('worker file'!$A$2:$A$406,_xlfn.UNICHAR(160)," ")),'worker file'!$L$2:$L$406,"Not found")</f>
        <v>US Biweekly</v>
      </c>
      <c r="C30" s="36" t="str">
        <f t="array" ref="C30">_xlfn.XLOOKUP($A30,TRIM(SUBSTITUTE('worker file'!$A$2:$A$406,_xlfn.UNICHAR(160)," ")),'worker file'!$D$2:$D$406,"Not found")</f>
        <v>CA</v>
      </c>
      <c r="D30" s="36" t="str">
        <f t="array" ref="D30">_xlfn.XLOOKUP($A30,TRIM(SUBSTITUTE('worker file'!$A$2:$A$406,_xlfn.UNICHAR(160)," ")),'worker file'!$Q$2:$Q$406,"Not found")</f>
        <v>Termination pending</v>
      </c>
      <c r="E30" s="35" t="s">
        <v>634</v>
      </c>
      <c r="F30" t="str">
        <f t="shared" si="0"/>
        <v>Vision – Employee</v>
      </c>
      <c r="G30" t="str">
        <f t="shared" si="1"/>
        <v>Pre-tax Section 125 (exempt from FIT/SIT/FICA)</v>
      </c>
      <c r="H30" t="str">
        <f t="shared" si="2"/>
        <v>Flat</v>
      </c>
      <c r="I30" s="40" t="str">
        <f>IF($H30="Percent",_xlfn.XLOOKUP($E30,$A$5:$A$8,$F$5:$F$8,""),"")</f>
        <v/>
      </c>
      <c r="J30" s="38">
        <f t="shared" si="3"/>
        <v>30</v>
      </c>
      <c r="K30" t="str">
        <f t="shared" si="4"/>
        <v>Per pay period</v>
      </c>
      <c r="L30" t="str">
        <f t="shared" si="5"/>
        <v>Every pay period (ongoing)</v>
      </c>
      <c r="M30" s="39">
        <f t="array" ref="M30">MAX(_xlfn.XLOOKUP($A30,TRIM(SUBSTITUTE('worker file'!$A$2:$A$406,_xlfn.UNICHAR(160)," ")),'worker file'!$M$2:$M$406,0),_xlfn.XLOOKUP($B30,TRIM('pay group &amp; schedule'!$A$2:$A$6),'pay group &amp; schedule'!$D$2:$D$6,0))</f>
        <v>46299</v>
      </c>
      <c r="N30" s="39">
        <f t="array" ref="N30">_xlfn.LET(_xlpm.t,_xlfn.XLOOKUP($A30,TRIM(SUBSTITUTE('worker file'!$A$2:$A$406,_xlfn.UNICHAR(160)," ")),'worker file'!$N$2:$N$406,""),IF(N(_xlpm.t)=0,"",_xlpm.t))</f>
        <v>46312</v>
      </c>
      <c r="O30" t="s">
        <v>644</v>
      </c>
    </row>
    <row r="31" spans="1:15" x14ac:dyDescent="0.2">
      <c r="A31" s="35" t="s">
        <v>594</v>
      </c>
      <c r="B31" s="36" t="str">
        <f t="array" ref="B31">_xlfn.XLOOKUP($A31,TRIM(SUBSTITUTE('worker file'!$A$2:$A$406,_xlfn.UNICHAR(160)," ")),'worker file'!$L$2:$L$406,"Not found")</f>
        <v>US Semi-monthly</v>
      </c>
      <c r="C31" s="36" t="str">
        <f t="array" ref="C31">_xlfn.XLOOKUP($A31,TRIM(SUBSTITUTE('worker file'!$A$2:$A$406,_xlfn.UNICHAR(160)," ")),'worker file'!$D$2:$D$406,"Not found")</f>
        <v>NY</v>
      </c>
      <c r="D31" s="36" t="str">
        <f t="array" ref="D31">_xlfn.XLOOKUP($A31,TRIM(SUBSTITUTE('worker file'!$A$2:$A$406,_xlfn.UNICHAR(160)," ")),'worker file'!$Q$2:$Q$406,"Not found")</f>
        <v>On Leave(unpaid)</v>
      </c>
      <c r="E31" s="35" t="s">
        <v>618</v>
      </c>
      <c r="F31" t="str">
        <f t="shared" si="0"/>
        <v>401(k) Employee Deferral</v>
      </c>
      <c r="G31" t="str">
        <f t="shared" si="1"/>
        <v>Pre-tax (exempt from FIT/SIT; subject to FICA)</v>
      </c>
      <c r="H31" t="str">
        <f t="shared" si="2"/>
        <v>Percent</v>
      </c>
      <c r="I31" s="37">
        <v>0.04</v>
      </c>
      <c r="J31" s="38" t="str">
        <f t="shared" si="3"/>
        <v/>
      </c>
      <c r="K31" t="str">
        <f t="shared" si="4"/>
        <v>Gross pay</v>
      </c>
      <c r="L31" t="str">
        <f t="shared" si="5"/>
        <v>Every pay period (ongoing)</v>
      </c>
      <c r="M31" s="39">
        <f t="array" ref="M31">MAX(_xlfn.XLOOKUP($A31,TRIM(SUBSTITUTE('worker file'!$A$2:$A$406,_xlfn.UNICHAR(160)," ")),'worker file'!$M$2:$M$406,0),_xlfn.XLOOKUP($B31,TRIM('pay group &amp; schedule'!$A$2:$A$6),'pay group &amp; schedule'!$D$2:$D$6,0))</f>
        <v>46311</v>
      </c>
      <c r="N31" s="39" t="str">
        <f t="array" ref="N31">_xlfn.LET(_xlpm.t,_xlfn.XLOOKUP($A31,TRIM(SUBSTITUTE('worker file'!$A$2:$A$406,_xlfn.UNICHAR(160)," ")),'worker file'!$N$2:$N$406,""),IF(N(_xlpm.t)=0,"",_xlpm.t))</f>
        <v/>
      </c>
      <c r="O31" t="s">
        <v>646</v>
      </c>
    </row>
    <row r="32" spans="1:15" x14ac:dyDescent="0.2">
      <c r="A32" s="35" t="s">
        <v>594</v>
      </c>
      <c r="B32" s="36" t="str">
        <f t="array" ref="B32">_xlfn.XLOOKUP($A32,TRIM(SUBSTITUTE('worker file'!$A$2:$A$406,_xlfn.UNICHAR(160)," ")),'worker file'!$L$2:$L$406,"Not found")</f>
        <v>US Semi-monthly</v>
      </c>
      <c r="C32" s="36" t="str">
        <f t="array" ref="C32">_xlfn.XLOOKUP($A32,TRIM(SUBSTITUTE('worker file'!$A$2:$A$406,_xlfn.UNICHAR(160)," ")),'worker file'!$D$2:$D$406,"Not found")</f>
        <v>NY</v>
      </c>
      <c r="D32" s="36" t="str">
        <f t="array" ref="D32">_xlfn.XLOOKUP($A32,TRIM(SUBSTITUTE('worker file'!$A$2:$A$406,_xlfn.UNICHAR(160)," ")),'worker file'!$Q$2:$Q$406,"Not found")</f>
        <v>On Leave(unpaid)</v>
      </c>
      <c r="E32" s="35" t="s">
        <v>626</v>
      </c>
      <c r="F32" t="str">
        <f t="shared" si="0"/>
        <v>Medical (Health) – Employee</v>
      </c>
      <c r="G32" t="str">
        <f t="shared" si="1"/>
        <v>Pre-tax Section 125 (exempt from FIT/SIT/FICA)</v>
      </c>
      <c r="H32" t="str">
        <f t="shared" si="2"/>
        <v>Flat</v>
      </c>
      <c r="I32" s="40" t="str">
        <f>IF($H32="Percent",_xlfn.XLOOKUP($E32,$A$5:$A$8,$F$5:$F$8,""),"")</f>
        <v/>
      </c>
      <c r="J32" s="38">
        <f t="shared" si="3"/>
        <v>200</v>
      </c>
      <c r="K32" t="str">
        <f t="shared" si="4"/>
        <v>Per pay period</v>
      </c>
      <c r="L32" t="str">
        <f t="shared" si="5"/>
        <v>Every pay period (ongoing)</v>
      </c>
      <c r="M32" s="39">
        <f t="array" ref="M32">MAX(_xlfn.XLOOKUP($A32,TRIM(SUBSTITUTE('worker file'!$A$2:$A$406,_xlfn.UNICHAR(160)," ")),'worker file'!$M$2:$M$406,0),_xlfn.XLOOKUP($B32,TRIM('pay group &amp; schedule'!$A$2:$A$6),'pay group &amp; schedule'!$D$2:$D$6,0))</f>
        <v>46311</v>
      </c>
      <c r="N32" s="39" t="str">
        <f t="array" ref="N32">_xlfn.LET(_xlpm.t,_xlfn.XLOOKUP($A32,TRIM(SUBSTITUTE('worker file'!$A$2:$A$406,_xlfn.UNICHAR(160)," ")),'worker file'!$N$2:$N$406,""),IF(N(_xlpm.t)=0,"",_xlpm.t))</f>
        <v/>
      </c>
      <c r="O32" t="s">
        <v>646</v>
      </c>
    </row>
    <row r="33" spans="1:15" x14ac:dyDescent="0.2">
      <c r="A33" s="35" t="s">
        <v>594</v>
      </c>
      <c r="B33" s="36" t="str">
        <f t="array" ref="B33">_xlfn.XLOOKUP($A33,TRIM(SUBSTITUTE('worker file'!$A$2:$A$406,_xlfn.UNICHAR(160)," ")),'worker file'!$L$2:$L$406,"Not found")</f>
        <v>US Semi-monthly</v>
      </c>
      <c r="C33" s="36" t="str">
        <f t="array" ref="C33">_xlfn.XLOOKUP($A33,TRIM(SUBSTITUTE('worker file'!$A$2:$A$406,_xlfn.UNICHAR(160)," ")),'worker file'!$D$2:$D$406,"Not found")</f>
        <v>NY</v>
      </c>
      <c r="D33" s="36" t="str">
        <f t="array" ref="D33">_xlfn.XLOOKUP($A33,TRIM(SUBSTITUTE('worker file'!$A$2:$A$406,_xlfn.UNICHAR(160)," ")),'worker file'!$Q$2:$Q$406,"Not found")</f>
        <v>On Leave(unpaid)</v>
      </c>
      <c r="E33" s="35" t="s">
        <v>632</v>
      </c>
      <c r="F33" t="str">
        <f t="shared" si="0"/>
        <v>Dental – Employee</v>
      </c>
      <c r="G33" t="str">
        <f t="shared" si="1"/>
        <v>Pre-tax Section 125 (exempt from FIT/SIT/FICA)</v>
      </c>
      <c r="H33" t="str">
        <f t="shared" si="2"/>
        <v>Flat</v>
      </c>
      <c r="I33" s="40" t="str">
        <f>IF($H33="Percent",_xlfn.XLOOKUP($E33,$A$5:$A$8,$F$5:$F$8,""),"")</f>
        <v/>
      </c>
      <c r="J33" s="38">
        <f t="shared" si="3"/>
        <v>44</v>
      </c>
      <c r="K33" t="str">
        <f t="shared" si="4"/>
        <v>Per pay period</v>
      </c>
      <c r="L33" t="str">
        <f t="shared" si="5"/>
        <v>Every pay period (ongoing)</v>
      </c>
      <c r="M33" s="39">
        <f t="array" ref="M33">MAX(_xlfn.XLOOKUP($A33,TRIM(SUBSTITUTE('worker file'!$A$2:$A$406,_xlfn.UNICHAR(160)," ")),'worker file'!$M$2:$M$406,0),_xlfn.XLOOKUP($B33,TRIM('pay group &amp; schedule'!$A$2:$A$6),'pay group &amp; schedule'!$D$2:$D$6,0))</f>
        <v>46311</v>
      </c>
      <c r="N33" s="39" t="str">
        <f t="array" ref="N33">_xlfn.LET(_xlpm.t,_xlfn.XLOOKUP($A33,TRIM(SUBSTITUTE('worker file'!$A$2:$A$406,_xlfn.UNICHAR(160)," ")),'worker file'!$N$2:$N$406,""),IF(N(_xlpm.t)=0,"",_xlpm.t))</f>
        <v/>
      </c>
      <c r="O33" t="s">
        <v>646</v>
      </c>
    </row>
    <row r="34" spans="1:15" x14ac:dyDescent="0.2">
      <c r="A34" s="35" t="s">
        <v>594</v>
      </c>
      <c r="B34" s="36" t="str">
        <f t="array" ref="B34">_xlfn.XLOOKUP($A34,TRIM(SUBSTITUTE('worker file'!$A$2:$A$406,_xlfn.UNICHAR(160)," ")),'worker file'!$L$2:$L$406,"Not found")</f>
        <v>US Semi-monthly</v>
      </c>
      <c r="C34" s="36" t="str">
        <f t="array" ref="C34">_xlfn.XLOOKUP($A34,TRIM(SUBSTITUTE('worker file'!$A$2:$A$406,_xlfn.UNICHAR(160)," ")),'worker file'!$D$2:$D$406,"Not found")</f>
        <v>NY</v>
      </c>
      <c r="D34" s="36" t="str">
        <f t="array" ref="D34">_xlfn.XLOOKUP($A34,TRIM(SUBSTITUTE('worker file'!$A$2:$A$406,_xlfn.UNICHAR(160)," ")),'worker file'!$Q$2:$Q$406,"Not found")</f>
        <v>On Leave(unpaid)</v>
      </c>
      <c r="E34" s="35" t="s">
        <v>634</v>
      </c>
      <c r="F34" t="str">
        <f t="shared" si="0"/>
        <v>Vision – Employee</v>
      </c>
      <c r="G34" t="str">
        <f t="shared" si="1"/>
        <v>Pre-tax Section 125 (exempt from FIT/SIT/FICA)</v>
      </c>
      <c r="H34" t="str">
        <f t="shared" si="2"/>
        <v>Flat</v>
      </c>
      <c r="I34" s="40" t="str">
        <f>IF($H34="Percent",_xlfn.XLOOKUP($E34,$A$5:$A$8,$F$5:$F$8,""),"")</f>
        <v/>
      </c>
      <c r="J34" s="38">
        <f t="shared" si="3"/>
        <v>30</v>
      </c>
      <c r="K34" t="str">
        <f t="shared" si="4"/>
        <v>Per pay period</v>
      </c>
      <c r="L34" t="str">
        <f t="shared" si="5"/>
        <v>Every pay period (ongoing)</v>
      </c>
      <c r="M34" s="39">
        <f t="array" ref="M34">MAX(_xlfn.XLOOKUP($A34,TRIM(SUBSTITUTE('worker file'!$A$2:$A$406,_xlfn.UNICHAR(160)," ")),'worker file'!$M$2:$M$406,0),_xlfn.XLOOKUP($B34,TRIM('pay group &amp; schedule'!$A$2:$A$6),'pay group &amp; schedule'!$D$2:$D$6,0))</f>
        <v>46311</v>
      </c>
      <c r="N34" s="39" t="str">
        <f t="array" ref="N34">_xlfn.LET(_xlpm.t,_xlfn.XLOOKUP($A34,TRIM(SUBSTITUTE('worker file'!$A$2:$A$406,_xlfn.UNICHAR(160)," ")),'worker file'!$N$2:$N$406,""),IF(N(_xlpm.t)=0,"",_xlpm.t))</f>
        <v/>
      </c>
      <c r="O34" t="s">
        <v>646</v>
      </c>
    </row>
    <row r="35" spans="1:15" x14ac:dyDescent="0.2">
      <c r="A35" s="35" t="s">
        <v>596</v>
      </c>
      <c r="B35" s="36" t="str">
        <f t="array" ref="B35">_xlfn.XLOOKUP($A35,TRIM(SUBSTITUTE('worker file'!$A$2:$A$406,_xlfn.UNICHAR(160)," ")),'worker file'!$L$2:$L$406,"Not found")</f>
        <v>US Semi-monthly</v>
      </c>
      <c r="C35" s="36" t="str">
        <f t="array" ref="C35">_xlfn.XLOOKUP($A35,TRIM(SUBSTITUTE('worker file'!$A$2:$A$406,_xlfn.UNICHAR(160)," ")),'worker file'!$D$2:$D$406,"Not found")</f>
        <v>CA</v>
      </c>
      <c r="D35" s="36" t="str">
        <f t="array" ref="D35">_xlfn.XLOOKUP($A35,TRIM(SUBSTITUTE('worker file'!$A$2:$A$406,_xlfn.UNICHAR(160)," ")),'worker file'!$Q$2:$Q$406,"Not found")</f>
        <v>New Hire</v>
      </c>
      <c r="E35" s="35" t="s">
        <v>618</v>
      </c>
      <c r="F35" t="str">
        <f t="shared" si="0"/>
        <v>401(k) Employee Deferral</v>
      </c>
      <c r="G35" t="str">
        <f t="shared" si="1"/>
        <v>Pre-tax (exempt from FIT/SIT; subject to FICA)</v>
      </c>
      <c r="H35" t="str">
        <f t="shared" si="2"/>
        <v>Percent</v>
      </c>
      <c r="I35" s="37">
        <v>0.01</v>
      </c>
      <c r="J35" s="38" t="str">
        <f t="shared" si="3"/>
        <v/>
      </c>
      <c r="K35" t="str">
        <f t="shared" si="4"/>
        <v>Gross pay</v>
      </c>
      <c r="L35" t="str">
        <f t="shared" si="5"/>
        <v>Every pay period (ongoing)</v>
      </c>
      <c r="M35" s="39">
        <f t="array" ref="M35">MAX(_xlfn.XLOOKUP($A35,TRIM(SUBSTITUTE('worker file'!$A$2:$A$406,_xlfn.UNICHAR(160)," ")),'worker file'!$M$2:$M$406,0),_xlfn.XLOOKUP($B35,TRIM('pay group &amp; schedule'!$A$2:$A$6),'pay group &amp; schedule'!$D$2:$D$6,0))</f>
        <v>46316</v>
      </c>
      <c r="N35" s="39" t="str">
        <f t="array" ref="N35">_xlfn.LET(_xlpm.t,_xlfn.XLOOKUP($A35,TRIM(SUBSTITUTE('worker file'!$A$2:$A$406,_xlfn.UNICHAR(160)," ")),'worker file'!$N$2:$N$406,""),IF(N(_xlpm.t)=0,"",_xlpm.t))</f>
        <v/>
      </c>
      <c r="O35" t="s">
        <v>647</v>
      </c>
    </row>
    <row r="36" spans="1:15" x14ac:dyDescent="0.2">
      <c r="A36" s="35" t="s">
        <v>596</v>
      </c>
      <c r="B36" s="36" t="str">
        <f t="array" ref="B36">_xlfn.XLOOKUP($A36,TRIM(SUBSTITUTE('worker file'!$A$2:$A$406,_xlfn.UNICHAR(160)," ")),'worker file'!$L$2:$L$406,"Not found")</f>
        <v>US Semi-monthly</v>
      </c>
      <c r="C36" s="36" t="str">
        <f t="array" ref="C36">_xlfn.XLOOKUP($A36,TRIM(SUBSTITUTE('worker file'!$A$2:$A$406,_xlfn.UNICHAR(160)," ")),'worker file'!$D$2:$D$406,"Not found")</f>
        <v>CA</v>
      </c>
      <c r="D36" s="36" t="str">
        <f t="array" ref="D36">_xlfn.XLOOKUP($A36,TRIM(SUBSTITUTE('worker file'!$A$2:$A$406,_xlfn.UNICHAR(160)," ")),'worker file'!$Q$2:$Q$406,"Not found")</f>
        <v>New Hire</v>
      </c>
      <c r="E36" s="35" t="s">
        <v>626</v>
      </c>
      <c r="F36" t="str">
        <f t="shared" si="0"/>
        <v>Medical (Health) – Employee</v>
      </c>
      <c r="G36" t="str">
        <f t="shared" si="1"/>
        <v>Pre-tax Section 125 (exempt from FIT/SIT/FICA)</v>
      </c>
      <c r="H36" t="str">
        <f t="shared" si="2"/>
        <v>Flat</v>
      </c>
      <c r="I36" s="40" t="str">
        <f>IF($H36="Percent",_xlfn.XLOOKUP($E36,$A$5:$A$8,$F$5:$F$8,""),"")</f>
        <v/>
      </c>
      <c r="J36" s="38">
        <f t="shared" si="3"/>
        <v>200</v>
      </c>
      <c r="K36" t="str">
        <f t="shared" si="4"/>
        <v>Per pay period</v>
      </c>
      <c r="L36" t="str">
        <f t="shared" si="5"/>
        <v>Every pay period (ongoing)</v>
      </c>
      <c r="M36" s="39">
        <f t="array" ref="M36">MAX(_xlfn.XLOOKUP($A36,TRIM(SUBSTITUTE('worker file'!$A$2:$A$406,_xlfn.UNICHAR(160)," ")),'worker file'!$M$2:$M$406,0),_xlfn.XLOOKUP($B36,TRIM('pay group &amp; schedule'!$A$2:$A$6),'pay group &amp; schedule'!$D$2:$D$6,0))</f>
        <v>46316</v>
      </c>
      <c r="N36" s="39" t="str">
        <f t="array" ref="N36">_xlfn.LET(_xlpm.t,_xlfn.XLOOKUP($A36,TRIM(SUBSTITUTE('worker file'!$A$2:$A$406,_xlfn.UNICHAR(160)," ")),'worker file'!$N$2:$N$406,""),IF(N(_xlpm.t)=0,"",_xlpm.t))</f>
        <v/>
      </c>
      <c r="O36" t="s">
        <v>647</v>
      </c>
    </row>
    <row r="37" spans="1:15" x14ac:dyDescent="0.2">
      <c r="A37" s="35" t="s">
        <v>596</v>
      </c>
      <c r="B37" s="36" t="str">
        <f t="array" ref="B37">_xlfn.XLOOKUP($A37,TRIM(SUBSTITUTE('worker file'!$A$2:$A$406,_xlfn.UNICHAR(160)," ")),'worker file'!$L$2:$L$406,"Not found")</f>
        <v>US Semi-monthly</v>
      </c>
      <c r="C37" s="36" t="str">
        <f t="array" ref="C37">_xlfn.XLOOKUP($A37,TRIM(SUBSTITUTE('worker file'!$A$2:$A$406,_xlfn.UNICHAR(160)," ")),'worker file'!$D$2:$D$406,"Not found")</f>
        <v>CA</v>
      </c>
      <c r="D37" s="36" t="str">
        <f t="array" ref="D37">_xlfn.XLOOKUP($A37,TRIM(SUBSTITUTE('worker file'!$A$2:$A$406,_xlfn.UNICHAR(160)," ")),'worker file'!$Q$2:$Q$406,"Not found")</f>
        <v>New Hire</v>
      </c>
      <c r="E37" s="35" t="s">
        <v>632</v>
      </c>
      <c r="F37" t="str">
        <f t="shared" si="0"/>
        <v>Dental – Employee</v>
      </c>
      <c r="G37" t="str">
        <f t="shared" si="1"/>
        <v>Pre-tax Section 125 (exempt from FIT/SIT/FICA)</v>
      </c>
      <c r="H37" t="str">
        <f t="shared" si="2"/>
        <v>Flat</v>
      </c>
      <c r="I37" s="40" t="str">
        <f>IF($H37="Percent",_xlfn.XLOOKUP($E37,$A$5:$A$8,$F$5:$F$8,""),"")</f>
        <v/>
      </c>
      <c r="J37" s="38">
        <f t="shared" si="3"/>
        <v>44</v>
      </c>
      <c r="K37" t="str">
        <f t="shared" si="4"/>
        <v>Per pay period</v>
      </c>
      <c r="L37" t="str">
        <f t="shared" si="5"/>
        <v>Every pay period (ongoing)</v>
      </c>
      <c r="M37" s="39">
        <f t="array" ref="M37">MAX(_xlfn.XLOOKUP($A37,TRIM(SUBSTITUTE('worker file'!$A$2:$A$406,_xlfn.UNICHAR(160)," ")),'worker file'!$M$2:$M$406,0),_xlfn.XLOOKUP($B37,TRIM('pay group &amp; schedule'!$A$2:$A$6),'pay group &amp; schedule'!$D$2:$D$6,0))</f>
        <v>46316</v>
      </c>
      <c r="N37" s="39" t="str">
        <f t="array" ref="N37">_xlfn.LET(_xlpm.t,_xlfn.XLOOKUP($A37,TRIM(SUBSTITUTE('worker file'!$A$2:$A$406,_xlfn.UNICHAR(160)," ")),'worker file'!$N$2:$N$406,""),IF(N(_xlpm.t)=0,"",_xlpm.t))</f>
        <v/>
      </c>
      <c r="O37" t="s">
        <v>647</v>
      </c>
    </row>
    <row r="38" spans="1:15" x14ac:dyDescent="0.2">
      <c r="A38" s="35" t="s">
        <v>596</v>
      </c>
      <c r="B38" s="36" t="str">
        <f t="array" ref="B38">_xlfn.XLOOKUP($A38,TRIM(SUBSTITUTE('worker file'!$A$2:$A$406,_xlfn.UNICHAR(160)," ")),'worker file'!$L$2:$L$406,"Not found")</f>
        <v>US Semi-monthly</v>
      </c>
      <c r="C38" s="36" t="str">
        <f t="array" ref="C38">_xlfn.XLOOKUP($A38,TRIM(SUBSTITUTE('worker file'!$A$2:$A$406,_xlfn.UNICHAR(160)," ")),'worker file'!$D$2:$D$406,"Not found")</f>
        <v>CA</v>
      </c>
      <c r="D38" s="36" t="str">
        <f t="array" ref="D38">_xlfn.XLOOKUP($A38,TRIM(SUBSTITUTE('worker file'!$A$2:$A$406,_xlfn.UNICHAR(160)," ")),'worker file'!$Q$2:$Q$406,"Not found")</f>
        <v>New Hire</v>
      </c>
      <c r="E38" s="35" t="s">
        <v>634</v>
      </c>
      <c r="F38" t="str">
        <f t="shared" si="0"/>
        <v>Vision – Employee</v>
      </c>
      <c r="G38" t="str">
        <f t="shared" si="1"/>
        <v>Pre-tax Section 125 (exempt from FIT/SIT/FICA)</v>
      </c>
      <c r="H38" t="str">
        <f t="shared" si="2"/>
        <v>Flat</v>
      </c>
      <c r="I38" s="40" t="str">
        <f>IF($H38="Percent",_xlfn.XLOOKUP($E38,$A$5:$A$8,$F$5:$F$8,""),"")</f>
        <v/>
      </c>
      <c r="J38" s="38">
        <f t="shared" si="3"/>
        <v>30</v>
      </c>
      <c r="K38" t="str">
        <f t="shared" si="4"/>
        <v>Per pay period</v>
      </c>
      <c r="L38" t="str">
        <f t="shared" si="5"/>
        <v>Every pay period (ongoing)</v>
      </c>
      <c r="M38" s="39">
        <f t="array" ref="M38">MAX(_xlfn.XLOOKUP($A38,TRIM(SUBSTITUTE('worker file'!$A$2:$A$406,_xlfn.UNICHAR(160)," ")),'worker file'!$M$2:$M$406,0),_xlfn.XLOOKUP($B38,TRIM('pay group &amp; schedule'!$A$2:$A$6),'pay group &amp; schedule'!$D$2:$D$6,0))</f>
        <v>46316</v>
      </c>
      <c r="N38" s="39" t="str">
        <f t="array" ref="N38">_xlfn.LET(_xlpm.t,_xlfn.XLOOKUP($A38,TRIM(SUBSTITUTE('worker file'!$A$2:$A$406,_xlfn.UNICHAR(160)," ")),'worker file'!$N$2:$N$406,""),IF(N(_xlpm.t)=0,"",_xlpm.t))</f>
        <v/>
      </c>
      <c r="O38" t="s">
        <v>647</v>
      </c>
    </row>
    <row r="39" spans="1:15" x14ac:dyDescent="0.2">
      <c r="A39" s="35" t="s">
        <v>98</v>
      </c>
      <c r="B39" s="36" t="str">
        <f t="array" ref="B39">_xlfn.XLOOKUP($A39,TRIM(SUBSTITUTE('worker file'!$A$2:$A$406,_xlfn.UNICHAR(160)," ")),'worker file'!$L$2:$L$406,"Not found")</f>
        <v>US Semi-monthly</v>
      </c>
      <c r="C39" s="36" t="str">
        <f t="array" ref="C39">_xlfn.XLOOKUP($A39,TRIM(SUBSTITUTE('worker file'!$A$2:$A$406,_xlfn.UNICHAR(160)," ")),'worker file'!$D$2:$D$406,"Not found")</f>
        <v>CA</v>
      </c>
      <c r="D39" s="36" t="str">
        <f t="array" ref="D39">_xlfn.XLOOKUP($A39,TRIM(SUBSTITUTE('worker file'!$A$2:$A$406,_xlfn.UNICHAR(160)," ")),'worker file'!$Q$2:$Q$406,"Not found")</f>
        <v>Active</v>
      </c>
      <c r="E39" s="35" t="s">
        <v>618</v>
      </c>
      <c r="F39" t="str">
        <f t="shared" si="0"/>
        <v>401(k) Employee Deferral</v>
      </c>
      <c r="G39" t="str">
        <f t="shared" si="1"/>
        <v>Pre-tax (exempt from FIT/SIT; subject to FICA)</v>
      </c>
      <c r="H39" t="str">
        <f t="shared" si="2"/>
        <v>Percent</v>
      </c>
      <c r="I39" s="37">
        <v>0.06</v>
      </c>
      <c r="J39" s="38" t="str">
        <f t="shared" si="3"/>
        <v/>
      </c>
      <c r="K39" t="str">
        <f t="shared" si="4"/>
        <v>Gross pay</v>
      </c>
      <c r="L39" t="str">
        <f t="shared" si="5"/>
        <v>Every pay period (ongoing)</v>
      </c>
      <c r="M39" s="39">
        <f t="array" ref="M39">MAX(_xlfn.XLOOKUP($A39,TRIM(SUBSTITUTE('worker file'!$A$2:$A$406,_xlfn.UNICHAR(160)," ")),'worker file'!$M$2:$M$406,0),_xlfn.XLOOKUP($B39,TRIM('pay group &amp; schedule'!$A$2:$A$6),'pay group &amp; schedule'!$D$2:$D$6,0))</f>
        <v>46311</v>
      </c>
      <c r="N39" s="39" t="str">
        <f t="array" ref="N39">_xlfn.LET(_xlpm.t,_xlfn.XLOOKUP($A39,TRIM(SUBSTITUTE('worker file'!$A$2:$A$406,_xlfn.UNICHAR(160)," ")),'worker file'!$N$2:$N$406,""),IF(N(_xlpm.t)=0,"",_xlpm.t))</f>
        <v/>
      </c>
    </row>
    <row r="40" spans="1:15" x14ac:dyDescent="0.2">
      <c r="A40" s="35" t="s">
        <v>98</v>
      </c>
      <c r="B40" s="36" t="str">
        <f t="array" ref="B40">_xlfn.XLOOKUP($A40,TRIM(SUBSTITUTE('worker file'!$A$2:$A$406,_xlfn.UNICHAR(160)," ")),'worker file'!$L$2:$L$406,"Not found")</f>
        <v>US Semi-monthly</v>
      </c>
      <c r="C40" s="36" t="str">
        <f t="array" ref="C40">_xlfn.XLOOKUP($A40,TRIM(SUBSTITUTE('worker file'!$A$2:$A$406,_xlfn.UNICHAR(160)," ")),'worker file'!$D$2:$D$406,"Not found")</f>
        <v>CA</v>
      </c>
      <c r="D40" s="36" t="str">
        <f t="array" ref="D40">_xlfn.XLOOKUP($A40,TRIM(SUBSTITUTE('worker file'!$A$2:$A$406,_xlfn.UNICHAR(160)," ")),'worker file'!$Q$2:$Q$406,"Not found")</f>
        <v>Active</v>
      </c>
      <c r="E40" s="35" t="s">
        <v>626</v>
      </c>
      <c r="F40" t="str">
        <f t="shared" si="0"/>
        <v>Medical (Health) – Employee</v>
      </c>
      <c r="G40" t="str">
        <f t="shared" si="1"/>
        <v>Pre-tax Section 125 (exempt from FIT/SIT/FICA)</v>
      </c>
      <c r="H40" t="str">
        <f t="shared" si="2"/>
        <v>Flat</v>
      </c>
      <c r="I40" s="40" t="str">
        <f>IF($H40="Percent",_xlfn.XLOOKUP($E40,$A$5:$A$8,$F$5:$F$8,""),"")</f>
        <v/>
      </c>
      <c r="J40" s="38">
        <f t="shared" si="3"/>
        <v>200</v>
      </c>
      <c r="K40" t="str">
        <f t="shared" si="4"/>
        <v>Per pay period</v>
      </c>
      <c r="L40" t="str">
        <f t="shared" si="5"/>
        <v>Every pay period (ongoing)</v>
      </c>
      <c r="M40" s="39">
        <f t="array" ref="M40">MAX(_xlfn.XLOOKUP($A40,TRIM(SUBSTITUTE('worker file'!$A$2:$A$406,_xlfn.UNICHAR(160)," ")),'worker file'!$M$2:$M$406,0),_xlfn.XLOOKUP($B40,TRIM('pay group &amp; schedule'!$A$2:$A$6),'pay group &amp; schedule'!$D$2:$D$6,0))</f>
        <v>46311</v>
      </c>
      <c r="N40" s="39" t="str">
        <f t="array" ref="N40">_xlfn.LET(_xlpm.t,_xlfn.XLOOKUP($A40,TRIM(SUBSTITUTE('worker file'!$A$2:$A$406,_xlfn.UNICHAR(160)," ")),'worker file'!$N$2:$N$406,""),IF(N(_xlpm.t)=0,"",_xlpm.t))</f>
        <v/>
      </c>
    </row>
    <row r="41" spans="1:15" x14ac:dyDescent="0.2">
      <c r="A41" s="35" t="s">
        <v>98</v>
      </c>
      <c r="B41" s="36" t="str">
        <f t="array" ref="B41">_xlfn.XLOOKUP($A41,TRIM(SUBSTITUTE('worker file'!$A$2:$A$406,_xlfn.UNICHAR(160)," ")),'worker file'!$L$2:$L$406,"Not found")</f>
        <v>US Semi-monthly</v>
      </c>
      <c r="C41" s="36" t="str">
        <f t="array" ref="C41">_xlfn.XLOOKUP($A41,TRIM(SUBSTITUTE('worker file'!$A$2:$A$406,_xlfn.UNICHAR(160)," ")),'worker file'!$D$2:$D$406,"Not found")</f>
        <v>CA</v>
      </c>
      <c r="D41" s="36" t="str">
        <f t="array" ref="D41">_xlfn.XLOOKUP($A41,TRIM(SUBSTITUTE('worker file'!$A$2:$A$406,_xlfn.UNICHAR(160)," ")),'worker file'!$Q$2:$Q$406,"Not found")</f>
        <v>Active</v>
      </c>
      <c r="E41" s="35" t="s">
        <v>632</v>
      </c>
      <c r="F41" t="str">
        <f t="shared" si="0"/>
        <v>Dental – Employee</v>
      </c>
      <c r="G41" t="str">
        <f t="shared" si="1"/>
        <v>Pre-tax Section 125 (exempt from FIT/SIT/FICA)</v>
      </c>
      <c r="H41" t="str">
        <f t="shared" si="2"/>
        <v>Flat</v>
      </c>
      <c r="I41" s="40" t="str">
        <f>IF($H41="Percent",_xlfn.XLOOKUP($E41,$A$5:$A$8,$F$5:$F$8,""),"")</f>
        <v/>
      </c>
      <c r="J41" s="38">
        <f t="shared" si="3"/>
        <v>44</v>
      </c>
      <c r="K41" t="str">
        <f t="shared" si="4"/>
        <v>Per pay period</v>
      </c>
      <c r="L41" t="str">
        <f t="shared" si="5"/>
        <v>Every pay period (ongoing)</v>
      </c>
      <c r="M41" s="39">
        <f t="array" ref="M41">MAX(_xlfn.XLOOKUP($A41,TRIM(SUBSTITUTE('worker file'!$A$2:$A$406,_xlfn.UNICHAR(160)," ")),'worker file'!$M$2:$M$406,0),_xlfn.XLOOKUP($B41,TRIM('pay group &amp; schedule'!$A$2:$A$6),'pay group &amp; schedule'!$D$2:$D$6,0))</f>
        <v>46311</v>
      </c>
      <c r="N41" s="39" t="str">
        <f t="array" ref="N41">_xlfn.LET(_xlpm.t,_xlfn.XLOOKUP($A41,TRIM(SUBSTITUTE('worker file'!$A$2:$A$406,_xlfn.UNICHAR(160)," ")),'worker file'!$N$2:$N$406,""),IF(N(_xlpm.t)=0,"",_xlpm.t))</f>
        <v/>
      </c>
    </row>
    <row r="42" spans="1:15" x14ac:dyDescent="0.2">
      <c r="A42" s="35" t="s">
        <v>98</v>
      </c>
      <c r="B42" s="36" t="str">
        <f t="array" ref="B42">_xlfn.XLOOKUP($A42,TRIM(SUBSTITUTE('worker file'!$A$2:$A$406,_xlfn.UNICHAR(160)," ")),'worker file'!$L$2:$L$406,"Not found")</f>
        <v>US Semi-monthly</v>
      </c>
      <c r="C42" s="36" t="str">
        <f t="array" ref="C42">_xlfn.XLOOKUP($A42,TRIM(SUBSTITUTE('worker file'!$A$2:$A$406,_xlfn.UNICHAR(160)," ")),'worker file'!$D$2:$D$406,"Not found")</f>
        <v>CA</v>
      </c>
      <c r="D42" s="36" t="str">
        <f t="array" ref="D42">_xlfn.XLOOKUP($A42,TRIM(SUBSTITUTE('worker file'!$A$2:$A$406,_xlfn.UNICHAR(160)," ")),'worker file'!$Q$2:$Q$406,"Not found")</f>
        <v>Active</v>
      </c>
      <c r="E42" s="35" t="s">
        <v>634</v>
      </c>
      <c r="F42" t="str">
        <f t="shared" si="0"/>
        <v>Vision – Employee</v>
      </c>
      <c r="G42" t="str">
        <f t="shared" si="1"/>
        <v>Pre-tax Section 125 (exempt from FIT/SIT/FICA)</v>
      </c>
      <c r="H42" t="str">
        <f t="shared" si="2"/>
        <v>Flat</v>
      </c>
      <c r="I42" s="40" t="str">
        <f>IF($H42="Percent",_xlfn.XLOOKUP($E42,$A$5:$A$8,$F$5:$F$8,""),"")</f>
        <v/>
      </c>
      <c r="J42" s="38">
        <f t="shared" si="3"/>
        <v>30</v>
      </c>
      <c r="K42" t="str">
        <f t="shared" si="4"/>
        <v>Per pay period</v>
      </c>
      <c r="L42" t="str">
        <f t="shared" si="5"/>
        <v>Every pay period (ongoing)</v>
      </c>
      <c r="M42" s="39">
        <f t="array" ref="M42">MAX(_xlfn.XLOOKUP($A42,TRIM(SUBSTITUTE('worker file'!$A$2:$A$406,_xlfn.UNICHAR(160)," ")),'worker file'!$M$2:$M$406,0),_xlfn.XLOOKUP($B42,TRIM('pay group &amp; schedule'!$A$2:$A$6),'pay group &amp; schedule'!$D$2:$D$6,0))</f>
        <v>46311</v>
      </c>
      <c r="N42" s="39" t="str">
        <f t="array" ref="N42">_xlfn.LET(_xlpm.t,_xlfn.XLOOKUP($A42,TRIM(SUBSTITUTE('worker file'!$A$2:$A$406,_xlfn.UNICHAR(160)," ")),'worker file'!$N$2:$N$406,""),IF(N(_xlpm.t)=0,"",_xlpm.t))</f>
        <v/>
      </c>
    </row>
    <row r="43" spans="1:15" x14ac:dyDescent="0.2">
      <c r="A43" s="35" t="s">
        <v>102</v>
      </c>
      <c r="B43" s="36" t="str">
        <f t="array" ref="B43">_xlfn.XLOOKUP($A43,TRIM(SUBSTITUTE('worker file'!$A$2:$A$406,_xlfn.UNICHAR(160)," ")),'worker file'!$L$2:$L$406,"Not found")</f>
        <v>US Semi-monthly</v>
      </c>
      <c r="C43" s="36" t="str">
        <f t="array" ref="C43">_xlfn.XLOOKUP($A43,TRIM(SUBSTITUTE('worker file'!$A$2:$A$406,_xlfn.UNICHAR(160)," ")),'worker file'!$D$2:$D$406,"Not found")</f>
        <v>CA</v>
      </c>
      <c r="D43" s="36" t="str">
        <f t="array" ref="D43">_xlfn.XLOOKUP($A43,TRIM(SUBSTITUTE('worker file'!$A$2:$A$406,_xlfn.UNICHAR(160)," ")),'worker file'!$Q$2:$Q$406,"Not found")</f>
        <v>Active</v>
      </c>
      <c r="E43" s="35" t="s">
        <v>618</v>
      </c>
      <c r="F43" t="str">
        <f t="shared" si="0"/>
        <v>401(k) Employee Deferral</v>
      </c>
      <c r="G43" t="str">
        <f t="shared" si="1"/>
        <v>Pre-tax (exempt from FIT/SIT; subject to FICA)</v>
      </c>
      <c r="H43" t="str">
        <f t="shared" si="2"/>
        <v>Percent</v>
      </c>
      <c r="I43" s="37">
        <v>0.03</v>
      </c>
      <c r="J43" s="38" t="str">
        <f t="shared" si="3"/>
        <v/>
      </c>
      <c r="K43" t="str">
        <f t="shared" si="4"/>
        <v>Gross pay</v>
      </c>
      <c r="L43" t="str">
        <f t="shared" si="5"/>
        <v>Every pay period (ongoing)</v>
      </c>
      <c r="M43" s="39">
        <f t="array" ref="M43">MAX(_xlfn.XLOOKUP($A43,TRIM(SUBSTITUTE('worker file'!$A$2:$A$406,_xlfn.UNICHAR(160)," ")),'worker file'!$M$2:$M$406,0),_xlfn.XLOOKUP($B43,TRIM('pay group &amp; schedule'!$A$2:$A$6),'pay group &amp; schedule'!$D$2:$D$6,0))</f>
        <v>46311</v>
      </c>
      <c r="N43" s="39" t="str">
        <f t="array" ref="N43">_xlfn.LET(_xlpm.t,_xlfn.XLOOKUP($A43,TRIM(SUBSTITUTE('worker file'!$A$2:$A$406,_xlfn.UNICHAR(160)," ")),'worker file'!$N$2:$N$406,""),IF(N(_xlpm.t)=0,"",_xlpm.t))</f>
        <v/>
      </c>
    </row>
    <row r="44" spans="1:15" x14ac:dyDescent="0.2">
      <c r="A44" s="35" t="s">
        <v>102</v>
      </c>
      <c r="B44" s="36" t="str">
        <f t="array" ref="B44">_xlfn.XLOOKUP($A44,TRIM(SUBSTITUTE('worker file'!$A$2:$A$406,_xlfn.UNICHAR(160)," ")),'worker file'!$L$2:$L$406,"Not found")</f>
        <v>US Semi-monthly</v>
      </c>
      <c r="C44" s="36" t="str">
        <f t="array" ref="C44">_xlfn.XLOOKUP($A44,TRIM(SUBSTITUTE('worker file'!$A$2:$A$406,_xlfn.UNICHAR(160)," ")),'worker file'!$D$2:$D$406,"Not found")</f>
        <v>CA</v>
      </c>
      <c r="D44" s="36" t="str">
        <f t="array" ref="D44">_xlfn.XLOOKUP($A44,TRIM(SUBSTITUTE('worker file'!$A$2:$A$406,_xlfn.UNICHAR(160)," ")),'worker file'!$Q$2:$Q$406,"Not found")</f>
        <v>Active</v>
      </c>
      <c r="E44" s="35" t="s">
        <v>626</v>
      </c>
      <c r="F44" t="str">
        <f t="shared" si="0"/>
        <v>Medical (Health) – Employee</v>
      </c>
      <c r="G44" t="str">
        <f t="shared" si="1"/>
        <v>Pre-tax Section 125 (exempt from FIT/SIT/FICA)</v>
      </c>
      <c r="H44" t="str">
        <f t="shared" si="2"/>
        <v>Flat</v>
      </c>
      <c r="I44" s="40" t="str">
        <f>IF($H44="Percent",_xlfn.XLOOKUP($E44,$A$5:$A$8,$F$5:$F$8,""),"")</f>
        <v/>
      </c>
      <c r="J44" s="38">
        <f t="shared" si="3"/>
        <v>200</v>
      </c>
      <c r="K44" t="str">
        <f t="shared" si="4"/>
        <v>Per pay period</v>
      </c>
      <c r="L44" t="str">
        <f t="shared" si="5"/>
        <v>Every pay period (ongoing)</v>
      </c>
      <c r="M44" s="39">
        <f t="array" ref="M44">MAX(_xlfn.XLOOKUP($A44,TRIM(SUBSTITUTE('worker file'!$A$2:$A$406,_xlfn.UNICHAR(160)," ")),'worker file'!$M$2:$M$406,0),_xlfn.XLOOKUP($B44,TRIM('pay group &amp; schedule'!$A$2:$A$6),'pay group &amp; schedule'!$D$2:$D$6,0))</f>
        <v>46311</v>
      </c>
      <c r="N44" s="39" t="str">
        <f t="array" ref="N44">_xlfn.LET(_xlpm.t,_xlfn.XLOOKUP($A44,TRIM(SUBSTITUTE('worker file'!$A$2:$A$406,_xlfn.UNICHAR(160)," ")),'worker file'!$N$2:$N$406,""),IF(N(_xlpm.t)=0,"",_xlpm.t))</f>
        <v/>
      </c>
    </row>
    <row r="45" spans="1:15" x14ac:dyDescent="0.2">
      <c r="A45" s="35" t="s">
        <v>102</v>
      </c>
      <c r="B45" s="36" t="str">
        <f t="array" ref="B45">_xlfn.XLOOKUP($A45,TRIM(SUBSTITUTE('worker file'!$A$2:$A$406,_xlfn.UNICHAR(160)," ")),'worker file'!$L$2:$L$406,"Not found")</f>
        <v>US Semi-monthly</v>
      </c>
      <c r="C45" s="36" t="str">
        <f t="array" ref="C45">_xlfn.XLOOKUP($A45,TRIM(SUBSTITUTE('worker file'!$A$2:$A$406,_xlfn.UNICHAR(160)," ")),'worker file'!$D$2:$D$406,"Not found")</f>
        <v>CA</v>
      </c>
      <c r="D45" s="36" t="str">
        <f t="array" ref="D45">_xlfn.XLOOKUP($A45,TRIM(SUBSTITUTE('worker file'!$A$2:$A$406,_xlfn.UNICHAR(160)," ")),'worker file'!$Q$2:$Q$406,"Not found")</f>
        <v>Active</v>
      </c>
      <c r="E45" s="35" t="s">
        <v>632</v>
      </c>
      <c r="F45" t="str">
        <f t="shared" si="0"/>
        <v>Dental – Employee</v>
      </c>
      <c r="G45" t="str">
        <f t="shared" si="1"/>
        <v>Pre-tax Section 125 (exempt from FIT/SIT/FICA)</v>
      </c>
      <c r="H45" t="str">
        <f t="shared" si="2"/>
        <v>Flat</v>
      </c>
      <c r="I45" s="40" t="str">
        <f>IF($H45="Percent",_xlfn.XLOOKUP($E45,$A$5:$A$8,$F$5:$F$8,""),"")</f>
        <v/>
      </c>
      <c r="J45" s="38">
        <f t="shared" si="3"/>
        <v>44</v>
      </c>
      <c r="K45" t="str">
        <f t="shared" si="4"/>
        <v>Per pay period</v>
      </c>
      <c r="L45" t="str">
        <f t="shared" si="5"/>
        <v>Every pay period (ongoing)</v>
      </c>
      <c r="M45" s="39">
        <f t="array" ref="M45">MAX(_xlfn.XLOOKUP($A45,TRIM(SUBSTITUTE('worker file'!$A$2:$A$406,_xlfn.UNICHAR(160)," ")),'worker file'!$M$2:$M$406,0),_xlfn.XLOOKUP($B45,TRIM('pay group &amp; schedule'!$A$2:$A$6),'pay group &amp; schedule'!$D$2:$D$6,0))</f>
        <v>46311</v>
      </c>
      <c r="N45" s="39" t="str">
        <f t="array" ref="N45">_xlfn.LET(_xlpm.t,_xlfn.XLOOKUP($A45,TRIM(SUBSTITUTE('worker file'!$A$2:$A$406,_xlfn.UNICHAR(160)," ")),'worker file'!$N$2:$N$406,""),IF(N(_xlpm.t)=0,"",_xlpm.t))</f>
        <v/>
      </c>
    </row>
    <row r="46" spans="1:15" x14ac:dyDescent="0.2">
      <c r="A46" s="35" t="s">
        <v>102</v>
      </c>
      <c r="B46" s="36" t="str">
        <f t="array" ref="B46">_xlfn.XLOOKUP($A46,TRIM(SUBSTITUTE('worker file'!$A$2:$A$406,_xlfn.UNICHAR(160)," ")),'worker file'!$L$2:$L$406,"Not found")</f>
        <v>US Semi-monthly</v>
      </c>
      <c r="C46" s="36" t="str">
        <f t="array" ref="C46">_xlfn.XLOOKUP($A46,TRIM(SUBSTITUTE('worker file'!$A$2:$A$406,_xlfn.UNICHAR(160)," ")),'worker file'!$D$2:$D$406,"Not found")</f>
        <v>CA</v>
      </c>
      <c r="D46" s="36" t="str">
        <f t="array" ref="D46">_xlfn.XLOOKUP($A46,TRIM(SUBSTITUTE('worker file'!$A$2:$A$406,_xlfn.UNICHAR(160)," ")),'worker file'!$Q$2:$Q$406,"Not found")</f>
        <v>Active</v>
      </c>
      <c r="E46" s="35" t="s">
        <v>634</v>
      </c>
      <c r="F46" t="str">
        <f t="shared" si="0"/>
        <v>Vision – Employee</v>
      </c>
      <c r="G46" t="str">
        <f t="shared" si="1"/>
        <v>Pre-tax Section 125 (exempt from FIT/SIT/FICA)</v>
      </c>
      <c r="H46" t="str">
        <f t="shared" si="2"/>
        <v>Flat</v>
      </c>
      <c r="I46" s="40" t="str">
        <f>IF($H46="Percent",_xlfn.XLOOKUP($E46,$A$5:$A$8,$F$5:$F$8,""),"")</f>
        <v/>
      </c>
      <c r="J46" s="38">
        <f t="shared" si="3"/>
        <v>30</v>
      </c>
      <c r="K46" t="str">
        <f t="shared" si="4"/>
        <v>Per pay period</v>
      </c>
      <c r="L46" t="str">
        <f t="shared" si="5"/>
        <v>Every pay period (ongoing)</v>
      </c>
      <c r="M46" s="39">
        <f t="array" ref="M46">MAX(_xlfn.XLOOKUP($A46,TRIM(SUBSTITUTE('worker file'!$A$2:$A$406,_xlfn.UNICHAR(160)," ")),'worker file'!$M$2:$M$406,0),_xlfn.XLOOKUP($B46,TRIM('pay group &amp; schedule'!$A$2:$A$6),'pay group &amp; schedule'!$D$2:$D$6,0))</f>
        <v>46311</v>
      </c>
      <c r="N46" s="39" t="str">
        <f t="array" ref="N46">_xlfn.LET(_xlpm.t,_xlfn.XLOOKUP($A46,TRIM(SUBSTITUTE('worker file'!$A$2:$A$406,_xlfn.UNICHAR(160)," ")),'worker file'!$N$2:$N$406,""),IF(N(_xlpm.t)=0,"",_xlpm.t))</f>
        <v/>
      </c>
    </row>
    <row r="47" spans="1:15" x14ac:dyDescent="0.2">
      <c r="A47" s="35" t="s">
        <v>105</v>
      </c>
      <c r="B47" s="36" t="str">
        <f t="array" ref="B47">_xlfn.XLOOKUP($A47,TRIM(SUBSTITUTE('worker file'!$A$2:$A$406,_xlfn.UNICHAR(160)," ")),'worker file'!$L$2:$L$406,"Not found")</f>
        <v>US Semi-monthly</v>
      </c>
      <c r="C47" s="36" t="str">
        <f t="array" ref="C47">_xlfn.XLOOKUP($A47,TRIM(SUBSTITUTE('worker file'!$A$2:$A$406,_xlfn.UNICHAR(160)," ")),'worker file'!$D$2:$D$406,"Not found")</f>
        <v>WA</v>
      </c>
      <c r="D47" s="36" t="str">
        <f t="array" ref="D47">_xlfn.XLOOKUP($A47,TRIM(SUBSTITUTE('worker file'!$A$2:$A$406,_xlfn.UNICHAR(160)," ")),'worker file'!$Q$2:$Q$406,"Not found")</f>
        <v>Active</v>
      </c>
      <c r="E47" s="35" t="s">
        <v>618</v>
      </c>
      <c r="F47" t="str">
        <f t="shared" si="0"/>
        <v>401(k) Employee Deferral</v>
      </c>
      <c r="G47" t="str">
        <f t="shared" si="1"/>
        <v>Pre-tax (exempt from FIT/SIT; subject to FICA)</v>
      </c>
      <c r="H47" t="str">
        <f t="shared" si="2"/>
        <v>Percent</v>
      </c>
      <c r="I47" s="37">
        <v>0</v>
      </c>
      <c r="J47" s="38" t="str">
        <f t="shared" si="3"/>
        <v/>
      </c>
      <c r="K47" t="str">
        <f t="shared" si="4"/>
        <v>Gross pay</v>
      </c>
      <c r="L47" t="str">
        <f t="shared" si="5"/>
        <v>Every pay period (ongoing)</v>
      </c>
      <c r="M47" s="39">
        <f t="array" ref="M47">MAX(_xlfn.XLOOKUP($A47,TRIM(SUBSTITUTE('worker file'!$A$2:$A$406,_xlfn.UNICHAR(160)," ")),'worker file'!$M$2:$M$406,0),_xlfn.XLOOKUP($B47,TRIM('pay group &amp; schedule'!$A$2:$A$6),'pay group &amp; schedule'!$D$2:$D$6,0))</f>
        <v>46311</v>
      </c>
      <c r="N47" s="39" t="str">
        <f t="array" ref="N47">_xlfn.LET(_xlpm.t,_xlfn.XLOOKUP($A47,TRIM(SUBSTITUTE('worker file'!$A$2:$A$406,_xlfn.UNICHAR(160)," ")),'worker file'!$N$2:$N$406,""),IF(N(_xlpm.t)=0,"",_xlpm.t))</f>
        <v/>
      </c>
    </row>
    <row r="48" spans="1:15" x14ac:dyDescent="0.2">
      <c r="A48" s="35" t="s">
        <v>105</v>
      </c>
      <c r="B48" s="36" t="str">
        <f t="array" ref="B48">_xlfn.XLOOKUP($A48,TRIM(SUBSTITUTE('worker file'!$A$2:$A$406,_xlfn.UNICHAR(160)," ")),'worker file'!$L$2:$L$406,"Not found")</f>
        <v>US Semi-monthly</v>
      </c>
      <c r="C48" s="36" t="str">
        <f t="array" ref="C48">_xlfn.XLOOKUP($A48,TRIM(SUBSTITUTE('worker file'!$A$2:$A$406,_xlfn.UNICHAR(160)," ")),'worker file'!$D$2:$D$406,"Not found")</f>
        <v>WA</v>
      </c>
      <c r="D48" s="36" t="str">
        <f t="array" ref="D48">_xlfn.XLOOKUP($A48,TRIM(SUBSTITUTE('worker file'!$A$2:$A$406,_xlfn.UNICHAR(160)," ")),'worker file'!$Q$2:$Q$406,"Not found")</f>
        <v>Active</v>
      </c>
      <c r="E48" s="35" t="s">
        <v>626</v>
      </c>
      <c r="F48" t="str">
        <f t="shared" si="0"/>
        <v>Medical (Health) – Employee</v>
      </c>
      <c r="G48" t="str">
        <f t="shared" si="1"/>
        <v>Pre-tax Section 125 (exempt from FIT/SIT/FICA)</v>
      </c>
      <c r="H48" t="str">
        <f t="shared" si="2"/>
        <v>Flat</v>
      </c>
      <c r="I48" s="40" t="str">
        <f>IF($H48="Percent",_xlfn.XLOOKUP($E48,$A$5:$A$8,$F$5:$F$8,""),"")</f>
        <v/>
      </c>
      <c r="J48" s="38">
        <f t="shared" si="3"/>
        <v>200</v>
      </c>
      <c r="K48" t="str">
        <f t="shared" si="4"/>
        <v>Per pay period</v>
      </c>
      <c r="L48" t="str">
        <f t="shared" si="5"/>
        <v>Every pay period (ongoing)</v>
      </c>
      <c r="M48" s="39">
        <f t="array" ref="M48">MAX(_xlfn.XLOOKUP($A48,TRIM(SUBSTITUTE('worker file'!$A$2:$A$406,_xlfn.UNICHAR(160)," ")),'worker file'!$M$2:$M$406,0),_xlfn.XLOOKUP($B48,TRIM('pay group &amp; schedule'!$A$2:$A$6),'pay group &amp; schedule'!$D$2:$D$6,0))</f>
        <v>46311</v>
      </c>
      <c r="N48" s="39" t="str">
        <f t="array" ref="N48">_xlfn.LET(_xlpm.t,_xlfn.XLOOKUP($A48,TRIM(SUBSTITUTE('worker file'!$A$2:$A$406,_xlfn.UNICHAR(160)," ")),'worker file'!$N$2:$N$406,""),IF(N(_xlpm.t)=0,"",_xlpm.t))</f>
        <v/>
      </c>
    </row>
    <row r="49" spans="1:14" x14ac:dyDescent="0.2">
      <c r="A49" s="35" t="s">
        <v>105</v>
      </c>
      <c r="B49" s="36" t="str">
        <f t="array" ref="B49">_xlfn.XLOOKUP($A49,TRIM(SUBSTITUTE('worker file'!$A$2:$A$406,_xlfn.UNICHAR(160)," ")),'worker file'!$L$2:$L$406,"Not found")</f>
        <v>US Semi-monthly</v>
      </c>
      <c r="C49" s="36" t="str">
        <f t="array" ref="C49">_xlfn.XLOOKUP($A49,TRIM(SUBSTITUTE('worker file'!$A$2:$A$406,_xlfn.UNICHAR(160)," ")),'worker file'!$D$2:$D$406,"Not found")</f>
        <v>WA</v>
      </c>
      <c r="D49" s="36" t="str">
        <f t="array" ref="D49">_xlfn.XLOOKUP($A49,TRIM(SUBSTITUTE('worker file'!$A$2:$A$406,_xlfn.UNICHAR(160)," ")),'worker file'!$Q$2:$Q$406,"Not found")</f>
        <v>Active</v>
      </c>
      <c r="E49" s="35" t="s">
        <v>632</v>
      </c>
      <c r="F49" t="str">
        <f t="shared" si="0"/>
        <v>Dental – Employee</v>
      </c>
      <c r="G49" t="str">
        <f t="shared" si="1"/>
        <v>Pre-tax Section 125 (exempt from FIT/SIT/FICA)</v>
      </c>
      <c r="H49" t="str">
        <f t="shared" si="2"/>
        <v>Flat</v>
      </c>
      <c r="I49" s="40" t="str">
        <f>IF($H49="Percent",_xlfn.XLOOKUP($E49,$A$5:$A$8,$F$5:$F$8,""),"")</f>
        <v/>
      </c>
      <c r="J49" s="38">
        <f t="shared" si="3"/>
        <v>44</v>
      </c>
      <c r="K49" t="str">
        <f t="shared" si="4"/>
        <v>Per pay period</v>
      </c>
      <c r="L49" t="str">
        <f t="shared" si="5"/>
        <v>Every pay period (ongoing)</v>
      </c>
      <c r="M49" s="39">
        <f t="array" ref="M49">MAX(_xlfn.XLOOKUP($A49,TRIM(SUBSTITUTE('worker file'!$A$2:$A$406,_xlfn.UNICHAR(160)," ")),'worker file'!$M$2:$M$406,0),_xlfn.XLOOKUP($B49,TRIM('pay group &amp; schedule'!$A$2:$A$6),'pay group &amp; schedule'!$D$2:$D$6,0))</f>
        <v>46311</v>
      </c>
      <c r="N49" s="39" t="str">
        <f t="array" ref="N49">_xlfn.LET(_xlpm.t,_xlfn.XLOOKUP($A49,TRIM(SUBSTITUTE('worker file'!$A$2:$A$406,_xlfn.UNICHAR(160)," ")),'worker file'!$N$2:$N$406,""),IF(N(_xlpm.t)=0,"",_xlpm.t))</f>
        <v/>
      </c>
    </row>
    <row r="50" spans="1:14" x14ac:dyDescent="0.2">
      <c r="A50" s="35" t="s">
        <v>105</v>
      </c>
      <c r="B50" s="36" t="str">
        <f t="array" ref="B50">_xlfn.XLOOKUP($A50,TRIM(SUBSTITUTE('worker file'!$A$2:$A$406,_xlfn.UNICHAR(160)," ")),'worker file'!$L$2:$L$406,"Not found")</f>
        <v>US Semi-monthly</v>
      </c>
      <c r="C50" s="36" t="str">
        <f t="array" ref="C50">_xlfn.XLOOKUP($A50,TRIM(SUBSTITUTE('worker file'!$A$2:$A$406,_xlfn.UNICHAR(160)," ")),'worker file'!$D$2:$D$406,"Not found")</f>
        <v>WA</v>
      </c>
      <c r="D50" s="36" t="str">
        <f t="array" ref="D50">_xlfn.XLOOKUP($A50,TRIM(SUBSTITUTE('worker file'!$A$2:$A$406,_xlfn.UNICHAR(160)," ")),'worker file'!$Q$2:$Q$406,"Not found")</f>
        <v>Active</v>
      </c>
      <c r="E50" s="35" t="s">
        <v>634</v>
      </c>
      <c r="F50" t="str">
        <f t="shared" si="0"/>
        <v>Vision – Employee</v>
      </c>
      <c r="G50" t="str">
        <f t="shared" si="1"/>
        <v>Pre-tax Section 125 (exempt from FIT/SIT/FICA)</v>
      </c>
      <c r="H50" t="str">
        <f t="shared" si="2"/>
        <v>Flat</v>
      </c>
      <c r="I50" s="40" t="str">
        <f>IF($H50="Percent",_xlfn.XLOOKUP($E50,$A$5:$A$8,$F$5:$F$8,""),"")</f>
        <v/>
      </c>
      <c r="J50" s="38">
        <f t="shared" si="3"/>
        <v>30</v>
      </c>
      <c r="K50" t="str">
        <f t="shared" si="4"/>
        <v>Per pay period</v>
      </c>
      <c r="L50" t="str">
        <f t="shared" si="5"/>
        <v>Every pay period (ongoing)</v>
      </c>
      <c r="M50" s="39">
        <f t="array" ref="M50">MAX(_xlfn.XLOOKUP($A50,TRIM(SUBSTITUTE('worker file'!$A$2:$A$406,_xlfn.UNICHAR(160)," ")),'worker file'!$M$2:$M$406,0),_xlfn.XLOOKUP($B50,TRIM('pay group &amp; schedule'!$A$2:$A$6),'pay group &amp; schedule'!$D$2:$D$6,0))</f>
        <v>46311</v>
      </c>
      <c r="N50" s="39" t="str">
        <f t="array" ref="N50">_xlfn.LET(_xlpm.t,_xlfn.XLOOKUP($A50,TRIM(SUBSTITUTE('worker file'!$A$2:$A$406,_xlfn.UNICHAR(160)," ")),'worker file'!$N$2:$N$406,""),IF(N(_xlpm.t)=0,"",_xlpm.t))</f>
        <v/>
      </c>
    </row>
    <row r="51" spans="1:14" x14ac:dyDescent="0.2">
      <c r="A51" s="35" t="s">
        <v>108</v>
      </c>
      <c r="B51" s="36" t="str">
        <f t="array" ref="B51">_xlfn.XLOOKUP($A51,TRIM(SUBSTITUTE('worker file'!$A$2:$A$406,_xlfn.UNICHAR(160)," ")),'worker file'!$L$2:$L$406,"Not found")</f>
        <v>US Semi-monthly</v>
      </c>
      <c r="C51" s="36" t="str">
        <f t="array" ref="C51">_xlfn.XLOOKUP($A51,TRIM(SUBSTITUTE('worker file'!$A$2:$A$406,_xlfn.UNICHAR(160)," ")),'worker file'!$D$2:$D$406,"Not found")</f>
        <v>TX</v>
      </c>
      <c r="D51" s="36" t="str">
        <f t="array" ref="D51">_xlfn.XLOOKUP($A51,TRIM(SUBSTITUTE('worker file'!$A$2:$A$406,_xlfn.UNICHAR(160)," ")),'worker file'!$Q$2:$Q$406,"Not found")</f>
        <v>Active</v>
      </c>
      <c r="E51" s="35" t="s">
        <v>618</v>
      </c>
      <c r="F51" t="str">
        <f t="shared" si="0"/>
        <v>401(k) Employee Deferral</v>
      </c>
      <c r="G51" t="str">
        <f t="shared" si="1"/>
        <v>Pre-tax (exempt from FIT/SIT; subject to FICA)</v>
      </c>
      <c r="H51" t="str">
        <f t="shared" si="2"/>
        <v>Percent</v>
      </c>
      <c r="I51" s="37">
        <v>0.05</v>
      </c>
      <c r="J51" s="38" t="str">
        <f t="shared" si="3"/>
        <v/>
      </c>
      <c r="K51" t="str">
        <f t="shared" si="4"/>
        <v>Gross pay</v>
      </c>
      <c r="L51" t="str">
        <f t="shared" si="5"/>
        <v>Every pay period (ongoing)</v>
      </c>
      <c r="M51" s="39">
        <f t="array" ref="M51">MAX(_xlfn.XLOOKUP($A51,TRIM(SUBSTITUTE('worker file'!$A$2:$A$406,_xlfn.UNICHAR(160)," ")),'worker file'!$M$2:$M$406,0),_xlfn.XLOOKUP($B51,TRIM('pay group &amp; schedule'!$A$2:$A$6),'pay group &amp; schedule'!$D$2:$D$6,0))</f>
        <v>46311</v>
      </c>
      <c r="N51" s="39" t="str">
        <f t="array" ref="N51">_xlfn.LET(_xlpm.t,_xlfn.XLOOKUP($A51,TRIM(SUBSTITUTE('worker file'!$A$2:$A$406,_xlfn.UNICHAR(160)," ")),'worker file'!$N$2:$N$406,""),IF(N(_xlpm.t)=0,"",_xlpm.t))</f>
        <v/>
      </c>
    </row>
    <row r="52" spans="1:14" x14ac:dyDescent="0.2">
      <c r="A52" s="35" t="s">
        <v>108</v>
      </c>
      <c r="B52" s="36" t="str">
        <f t="array" ref="B52">_xlfn.XLOOKUP($A52,TRIM(SUBSTITUTE('worker file'!$A$2:$A$406,_xlfn.UNICHAR(160)," ")),'worker file'!$L$2:$L$406,"Not found")</f>
        <v>US Semi-monthly</v>
      </c>
      <c r="C52" s="36" t="str">
        <f t="array" ref="C52">_xlfn.XLOOKUP($A52,TRIM(SUBSTITUTE('worker file'!$A$2:$A$406,_xlfn.UNICHAR(160)," ")),'worker file'!$D$2:$D$406,"Not found")</f>
        <v>TX</v>
      </c>
      <c r="D52" s="36" t="str">
        <f t="array" ref="D52">_xlfn.XLOOKUP($A52,TRIM(SUBSTITUTE('worker file'!$A$2:$A$406,_xlfn.UNICHAR(160)," ")),'worker file'!$Q$2:$Q$406,"Not found")</f>
        <v>Active</v>
      </c>
      <c r="E52" s="35" t="s">
        <v>626</v>
      </c>
      <c r="F52" t="str">
        <f t="shared" si="0"/>
        <v>Medical (Health) – Employee</v>
      </c>
      <c r="G52" t="str">
        <f t="shared" si="1"/>
        <v>Pre-tax Section 125 (exempt from FIT/SIT/FICA)</v>
      </c>
      <c r="H52" t="str">
        <f t="shared" si="2"/>
        <v>Flat</v>
      </c>
      <c r="I52" s="40" t="str">
        <f t="shared" ref="I52:I57" si="7">IF($H52="Percent",_xlfn.XLOOKUP($E52,$A$5:$A$8,$F$5:$F$8,""),"")</f>
        <v/>
      </c>
      <c r="J52" s="38">
        <f t="shared" si="3"/>
        <v>200</v>
      </c>
      <c r="K52" t="str">
        <f t="shared" si="4"/>
        <v>Per pay period</v>
      </c>
      <c r="L52" t="str">
        <f t="shared" si="5"/>
        <v>Every pay period (ongoing)</v>
      </c>
      <c r="M52" s="39">
        <f t="array" ref="M52">MAX(_xlfn.XLOOKUP($A52,TRIM(SUBSTITUTE('worker file'!$A$2:$A$406,_xlfn.UNICHAR(160)," ")),'worker file'!$M$2:$M$406,0),_xlfn.XLOOKUP($B52,TRIM('pay group &amp; schedule'!$A$2:$A$6),'pay group &amp; schedule'!$D$2:$D$6,0))</f>
        <v>46311</v>
      </c>
      <c r="N52" s="39" t="str">
        <f t="array" ref="N52">_xlfn.LET(_xlpm.t,_xlfn.XLOOKUP($A52,TRIM(SUBSTITUTE('worker file'!$A$2:$A$406,_xlfn.UNICHAR(160)," ")),'worker file'!$N$2:$N$406,""),IF(N(_xlpm.t)=0,"",_xlpm.t))</f>
        <v/>
      </c>
    </row>
    <row r="53" spans="1:14" x14ac:dyDescent="0.2">
      <c r="A53" s="35" t="s">
        <v>108</v>
      </c>
      <c r="B53" s="36" t="str">
        <f t="array" ref="B53">_xlfn.XLOOKUP($A53,TRIM(SUBSTITUTE('worker file'!$A$2:$A$406,_xlfn.UNICHAR(160)," ")),'worker file'!$L$2:$L$406,"Not found")</f>
        <v>US Semi-monthly</v>
      </c>
      <c r="C53" s="36" t="str">
        <f t="array" ref="C53">_xlfn.XLOOKUP($A53,TRIM(SUBSTITUTE('worker file'!$A$2:$A$406,_xlfn.UNICHAR(160)," ")),'worker file'!$D$2:$D$406,"Not found")</f>
        <v>TX</v>
      </c>
      <c r="D53" s="36" t="str">
        <f t="array" ref="D53">_xlfn.XLOOKUP($A53,TRIM(SUBSTITUTE('worker file'!$A$2:$A$406,_xlfn.UNICHAR(160)," ")),'worker file'!$Q$2:$Q$406,"Not found")</f>
        <v>Active</v>
      </c>
      <c r="E53" s="35" t="s">
        <v>632</v>
      </c>
      <c r="F53" t="str">
        <f t="shared" si="0"/>
        <v>Dental – Employee</v>
      </c>
      <c r="G53" t="str">
        <f t="shared" si="1"/>
        <v>Pre-tax Section 125 (exempt from FIT/SIT/FICA)</v>
      </c>
      <c r="H53" t="str">
        <f t="shared" si="2"/>
        <v>Flat</v>
      </c>
      <c r="I53" s="40" t="str">
        <f t="shared" si="7"/>
        <v/>
      </c>
      <c r="J53" s="38">
        <f t="shared" si="3"/>
        <v>44</v>
      </c>
      <c r="K53" t="str">
        <f t="shared" si="4"/>
        <v>Per pay period</v>
      </c>
      <c r="L53" t="str">
        <f t="shared" si="5"/>
        <v>Every pay period (ongoing)</v>
      </c>
      <c r="M53" s="39">
        <f t="array" ref="M53">MAX(_xlfn.XLOOKUP($A53,TRIM(SUBSTITUTE('worker file'!$A$2:$A$406,_xlfn.UNICHAR(160)," ")),'worker file'!$M$2:$M$406,0),_xlfn.XLOOKUP($B53,TRIM('pay group &amp; schedule'!$A$2:$A$6),'pay group &amp; schedule'!$D$2:$D$6,0))</f>
        <v>46311</v>
      </c>
      <c r="N53" s="39" t="str">
        <f t="array" ref="N53">_xlfn.LET(_xlpm.t,_xlfn.XLOOKUP($A53,TRIM(SUBSTITUTE('worker file'!$A$2:$A$406,_xlfn.UNICHAR(160)," ")),'worker file'!$N$2:$N$406,""),IF(N(_xlpm.t)=0,"",_xlpm.t))</f>
        <v/>
      </c>
    </row>
    <row r="54" spans="1:14" x14ac:dyDescent="0.2">
      <c r="A54" s="35" t="s">
        <v>108</v>
      </c>
      <c r="B54" s="36" t="str">
        <f t="array" ref="B54">_xlfn.XLOOKUP($A54,TRIM(SUBSTITUTE('worker file'!$A$2:$A$406,_xlfn.UNICHAR(160)," ")),'worker file'!$L$2:$L$406,"Not found")</f>
        <v>US Semi-monthly</v>
      </c>
      <c r="C54" s="36" t="str">
        <f t="array" ref="C54">_xlfn.XLOOKUP($A54,TRIM(SUBSTITUTE('worker file'!$A$2:$A$406,_xlfn.UNICHAR(160)," ")),'worker file'!$D$2:$D$406,"Not found")</f>
        <v>TX</v>
      </c>
      <c r="D54" s="36" t="str">
        <f t="array" ref="D54">_xlfn.XLOOKUP($A54,TRIM(SUBSTITUTE('worker file'!$A$2:$A$406,_xlfn.UNICHAR(160)," ")),'worker file'!$Q$2:$Q$406,"Not found")</f>
        <v>Active</v>
      </c>
      <c r="E54" s="35" t="s">
        <v>634</v>
      </c>
      <c r="F54" t="str">
        <f t="shared" si="0"/>
        <v>Vision – Employee</v>
      </c>
      <c r="G54" t="str">
        <f t="shared" si="1"/>
        <v>Pre-tax Section 125 (exempt from FIT/SIT/FICA)</v>
      </c>
      <c r="H54" t="str">
        <f t="shared" si="2"/>
        <v>Flat</v>
      </c>
      <c r="I54" s="40" t="str">
        <f t="shared" si="7"/>
        <v/>
      </c>
      <c r="J54" s="38">
        <f t="shared" si="3"/>
        <v>30</v>
      </c>
      <c r="K54" t="str">
        <f t="shared" si="4"/>
        <v>Per pay period</v>
      </c>
      <c r="L54" t="str">
        <f t="shared" si="5"/>
        <v>Every pay period (ongoing)</v>
      </c>
      <c r="M54" s="39">
        <f t="array" ref="M54">MAX(_xlfn.XLOOKUP($A54,TRIM(SUBSTITUTE('worker file'!$A$2:$A$406,_xlfn.UNICHAR(160)," ")),'worker file'!$M$2:$M$406,0),_xlfn.XLOOKUP($B54,TRIM('pay group &amp; schedule'!$A$2:$A$6),'pay group &amp; schedule'!$D$2:$D$6,0))</f>
        <v>46311</v>
      </c>
      <c r="N54" s="39" t="str">
        <f t="array" ref="N54">_xlfn.LET(_xlpm.t,_xlfn.XLOOKUP($A54,TRIM(SUBSTITUTE('worker file'!$A$2:$A$406,_xlfn.UNICHAR(160)," ")),'worker file'!$N$2:$N$406,""),IF(N(_xlpm.t)=0,"",_xlpm.t))</f>
        <v/>
      </c>
    </row>
    <row r="55" spans="1:14" x14ac:dyDescent="0.2">
      <c r="A55" s="35" t="s">
        <v>111</v>
      </c>
      <c r="B55" s="36" t="str">
        <f t="array" ref="B55">_xlfn.XLOOKUP($A55,TRIM(SUBSTITUTE('worker file'!$A$2:$A$406,_xlfn.UNICHAR(160)," ")),'worker file'!$L$2:$L$406,"Not found")</f>
        <v>US Semi-monthly</v>
      </c>
      <c r="C55" s="36" t="str">
        <f t="array" ref="C55">_xlfn.XLOOKUP($A55,TRIM(SUBSTITUTE('worker file'!$A$2:$A$406,_xlfn.UNICHAR(160)," ")),'worker file'!$D$2:$D$406,"Not found")</f>
        <v>TX</v>
      </c>
      <c r="D55" s="36" t="str">
        <f t="array" ref="D55">_xlfn.XLOOKUP($A55,TRIM(SUBSTITUTE('worker file'!$A$2:$A$406,_xlfn.UNICHAR(160)," ")),'worker file'!$Q$2:$Q$406,"Not found")</f>
        <v>Active</v>
      </c>
      <c r="E55" s="35" t="s">
        <v>626</v>
      </c>
      <c r="F55" t="str">
        <f t="shared" si="0"/>
        <v>Medical (Health) – Employee</v>
      </c>
      <c r="G55" t="str">
        <f t="shared" si="1"/>
        <v>Pre-tax Section 125 (exempt from FIT/SIT/FICA)</v>
      </c>
      <c r="H55" t="str">
        <f t="shared" si="2"/>
        <v>Flat</v>
      </c>
      <c r="I55" s="40" t="str">
        <f t="shared" si="7"/>
        <v/>
      </c>
      <c r="J55" s="38">
        <f t="shared" si="3"/>
        <v>200</v>
      </c>
      <c r="K55" t="str">
        <f t="shared" si="4"/>
        <v>Per pay period</v>
      </c>
      <c r="L55" t="str">
        <f t="shared" si="5"/>
        <v>Every pay period (ongoing)</v>
      </c>
      <c r="M55" s="39">
        <f t="array" ref="M55">MAX(_xlfn.XLOOKUP($A55,TRIM(SUBSTITUTE('worker file'!$A$2:$A$406,_xlfn.UNICHAR(160)," ")),'worker file'!$M$2:$M$406,0),_xlfn.XLOOKUP($B55,TRIM('pay group &amp; schedule'!$A$2:$A$6),'pay group &amp; schedule'!$D$2:$D$6,0))</f>
        <v>46311</v>
      </c>
      <c r="N55" s="39" t="str">
        <f t="array" ref="N55">_xlfn.LET(_xlpm.t,_xlfn.XLOOKUP($A55,TRIM(SUBSTITUTE('worker file'!$A$2:$A$406,_xlfn.UNICHAR(160)," ")),'worker file'!$N$2:$N$406,""),IF(N(_xlpm.t)=0,"",_xlpm.t))</f>
        <v/>
      </c>
    </row>
    <row r="56" spans="1:14" x14ac:dyDescent="0.2">
      <c r="A56" s="35" t="s">
        <v>111</v>
      </c>
      <c r="B56" s="36" t="str">
        <f t="array" ref="B56">_xlfn.XLOOKUP($A56,TRIM(SUBSTITUTE('worker file'!$A$2:$A$406,_xlfn.UNICHAR(160)," ")),'worker file'!$L$2:$L$406,"Not found")</f>
        <v>US Semi-monthly</v>
      </c>
      <c r="C56" s="36" t="str">
        <f t="array" ref="C56">_xlfn.XLOOKUP($A56,TRIM(SUBSTITUTE('worker file'!$A$2:$A$406,_xlfn.UNICHAR(160)," ")),'worker file'!$D$2:$D$406,"Not found")</f>
        <v>TX</v>
      </c>
      <c r="D56" s="36" t="str">
        <f t="array" ref="D56">_xlfn.XLOOKUP($A56,TRIM(SUBSTITUTE('worker file'!$A$2:$A$406,_xlfn.UNICHAR(160)," ")),'worker file'!$Q$2:$Q$406,"Not found")</f>
        <v>Active</v>
      </c>
      <c r="E56" s="35" t="s">
        <v>632</v>
      </c>
      <c r="F56" t="str">
        <f t="shared" si="0"/>
        <v>Dental – Employee</v>
      </c>
      <c r="G56" t="str">
        <f t="shared" si="1"/>
        <v>Pre-tax Section 125 (exempt from FIT/SIT/FICA)</v>
      </c>
      <c r="H56" t="str">
        <f t="shared" si="2"/>
        <v>Flat</v>
      </c>
      <c r="I56" s="40" t="str">
        <f t="shared" si="7"/>
        <v/>
      </c>
      <c r="J56" s="38">
        <f t="shared" si="3"/>
        <v>44</v>
      </c>
      <c r="K56" t="str">
        <f t="shared" si="4"/>
        <v>Per pay period</v>
      </c>
      <c r="L56" t="str">
        <f t="shared" si="5"/>
        <v>Every pay period (ongoing)</v>
      </c>
      <c r="M56" s="39">
        <f t="array" ref="M56">MAX(_xlfn.XLOOKUP($A56,TRIM(SUBSTITUTE('worker file'!$A$2:$A$406,_xlfn.UNICHAR(160)," ")),'worker file'!$M$2:$M$406,0),_xlfn.XLOOKUP($B56,TRIM('pay group &amp; schedule'!$A$2:$A$6),'pay group &amp; schedule'!$D$2:$D$6,0))</f>
        <v>46311</v>
      </c>
      <c r="N56" s="39" t="str">
        <f t="array" ref="N56">_xlfn.LET(_xlpm.t,_xlfn.XLOOKUP($A56,TRIM(SUBSTITUTE('worker file'!$A$2:$A$406,_xlfn.UNICHAR(160)," ")),'worker file'!$N$2:$N$406,""),IF(N(_xlpm.t)=0,"",_xlpm.t))</f>
        <v/>
      </c>
    </row>
    <row r="57" spans="1:14" x14ac:dyDescent="0.2">
      <c r="A57" s="35" t="s">
        <v>111</v>
      </c>
      <c r="B57" s="36" t="str">
        <f t="array" ref="B57">_xlfn.XLOOKUP($A57,TRIM(SUBSTITUTE('worker file'!$A$2:$A$406,_xlfn.UNICHAR(160)," ")),'worker file'!$L$2:$L$406,"Not found")</f>
        <v>US Semi-monthly</v>
      </c>
      <c r="C57" s="36" t="str">
        <f t="array" ref="C57">_xlfn.XLOOKUP($A57,TRIM(SUBSTITUTE('worker file'!$A$2:$A$406,_xlfn.UNICHAR(160)," ")),'worker file'!$D$2:$D$406,"Not found")</f>
        <v>TX</v>
      </c>
      <c r="D57" s="36" t="str">
        <f t="array" ref="D57">_xlfn.XLOOKUP($A57,TRIM(SUBSTITUTE('worker file'!$A$2:$A$406,_xlfn.UNICHAR(160)," ")),'worker file'!$Q$2:$Q$406,"Not found")</f>
        <v>Active</v>
      </c>
      <c r="E57" s="35" t="s">
        <v>634</v>
      </c>
      <c r="F57" t="str">
        <f t="shared" si="0"/>
        <v>Vision – Employee</v>
      </c>
      <c r="G57" t="str">
        <f t="shared" si="1"/>
        <v>Pre-tax Section 125 (exempt from FIT/SIT/FICA)</v>
      </c>
      <c r="H57" t="str">
        <f t="shared" si="2"/>
        <v>Flat</v>
      </c>
      <c r="I57" s="40" t="str">
        <f t="shared" si="7"/>
        <v/>
      </c>
      <c r="J57" s="38">
        <f t="shared" si="3"/>
        <v>30</v>
      </c>
      <c r="K57" t="str">
        <f t="shared" si="4"/>
        <v>Per pay period</v>
      </c>
      <c r="L57" t="str">
        <f t="shared" si="5"/>
        <v>Every pay period (ongoing)</v>
      </c>
      <c r="M57" s="39">
        <f t="array" ref="M57">MAX(_xlfn.XLOOKUP($A57,TRIM(SUBSTITUTE('worker file'!$A$2:$A$406,_xlfn.UNICHAR(160)," ")),'worker file'!$M$2:$M$406,0),_xlfn.XLOOKUP($B57,TRIM('pay group &amp; schedule'!$A$2:$A$6),'pay group &amp; schedule'!$D$2:$D$6,0))</f>
        <v>46311</v>
      </c>
      <c r="N57" s="39" t="str">
        <f t="array" ref="N57">_xlfn.LET(_xlpm.t,_xlfn.XLOOKUP($A57,TRIM(SUBSTITUTE('worker file'!$A$2:$A$406,_xlfn.UNICHAR(160)," ")),'worker file'!$N$2:$N$406,""),IF(N(_xlpm.t)=0,"",_xlpm.t))</f>
        <v/>
      </c>
    </row>
    <row r="58" spans="1:14" x14ac:dyDescent="0.2">
      <c r="A58" s="35" t="s">
        <v>114</v>
      </c>
      <c r="B58" s="36" t="str">
        <f t="array" ref="B58">_xlfn.XLOOKUP($A58,TRIM(SUBSTITUTE('worker file'!$A$2:$A$406,_xlfn.UNICHAR(160)," ")),'worker file'!$L$2:$L$406,"Not found")</f>
        <v>US Semi-monthly</v>
      </c>
      <c r="C58" s="36" t="str">
        <f t="array" ref="C58">_xlfn.XLOOKUP($A58,TRIM(SUBSTITUTE('worker file'!$A$2:$A$406,_xlfn.UNICHAR(160)," ")),'worker file'!$D$2:$D$406,"Not found")</f>
        <v>CA</v>
      </c>
      <c r="D58" s="36" t="str">
        <f t="array" ref="D58">_xlfn.XLOOKUP($A58,TRIM(SUBSTITUTE('worker file'!$A$2:$A$406,_xlfn.UNICHAR(160)," ")),'worker file'!$Q$2:$Q$406,"Not found")</f>
        <v>Active</v>
      </c>
      <c r="E58" s="35" t="s">
        <v>618</v>
      </c>
      <c r="F58" t="str">
        <f t="shared" si="0"/>
        <v>401(k) Employee Deferral</v>
      </c>
      <c r="G58" t="str">
        <f t="shared" si="1"/>
        <v>Pre-tax (exempt from FIT/SIT; subject to FICA)</v>
      </c>
      <c r="H58" t="str">
        <f t="shared" si="2"/>
        <v>Percent</v>
      </c>
      <c r="I58" s="37">
        <v>7.0000000000000007E-2</v>
      </c>
      <c r="J58" s="38" t="str">
        <f t="shared" si="3"/>
        <v/>
      </c>
      <c r="K58" t="str">
        <f t="shared" si="4"/>
        <v>Gross pay</v>
      </c>
      <c r="L58" t="str">
        <f t="shared" si="5"/>
        <v>Every pay period (ongoing)</v>
      </c>
      <c r="M58" s="39">
        <f t="array" ref="M58">MAX(_xlfn.XLOOKUP($A58,TRIM(SUBSTITUTE('worker file'!$A$2:$A$406,_xlfn.UNICHAR(160)," ")),'worker file'!$M$2:$M$406,0),_xlfn.XLOOKUP($B58,TRIM('pay group &amp; schedule'!$A$2:$A$6),'pay group &amp; schedule'!$D$2:$D$6,0))</f>
        <v>46311</v>
      </c>
      <c r="N58" s="39" t="str">
        <f t="array" ref="N58">_xlfn.LET(_xlpm.t,_xlfn.XLOOKUP($A58,TRIM(SUBSTITUTE('worker file'!$A$2:$A$406,_xlfn.UNICHAR(160)," ")),'worker file'!$N$2:$N$406,""),IF(N(_xlpm.t)=0,"",_xlpm.t))</f>
        <v/>
      </c>
    </row>
    <row r="59" spans="1:14" x14ac:dyDescent="0.2">
      <c r="A59" s="35" t="s">
        <v>114</v>
      </c>
      <c r="B59" s="36" t="str">
        <f t="array" ref="B59">_xlfn.XLOOKUP($A59,TRIM(SUBSTITUTE('worker file'!$A$2:$A$406,_xlfn.UNICHAR(160)," ")),'worker file'!$L$2:$L$406,"Not found")</f>
        <v>US Semi-monthly</v>
      </c>
      <c r="C59" s="36" t="str">
        <f t="array" ref="C59">_xlfn.XLOOKUP($A59,TRIM(SUBSTITUTE('worker file'!$A$2:$A$406,_xlfn.UNICHAR(160)," ")),'worker file'!$D$2:$D$406,"Not found")</f>
        <v>CA</v>
      </c>
      <c r="D59" s="36" t="str">
        <f t="array" ref="D59">_xlfn.XLOOKUP($A59,TRIM(SUBSTITUTE('worker file'!$A$2:$A$406,_xlfn.UNICHAR(160)," ")),'worker file'!$Q$2:$Q$406,"Not found")</f>
        <v>Active</v>
      </c>
      <c r="E59" s="35" t="s">
        <v>626</v>
      </c>
      <c r="F59" t="str">
        <f t="shared" si="0"/>
        <v>Medical (Health) – Employee</v>
      </c>
      <c r="G59" t="str">
        <f t="shared" si="1"/>
        <v>Pre-tax Section 125 (exempt from FIT/SIT/FICA)</v>
      </c>
      <c r="H59" t="str">
        <f t="shared" si="2"/>
        <v>Flat</v>
      </c>
      <c r="I59" s="40" t="str">
        <f>IF($H59="Percent",_xlfn.XLOOKUP($E59,$A$5:$A$8,$F$5:$F$8,""),"")</f>
        <v/>
      </c>
      <c r="J59" s="38">
        <f t="shared" si="3"/>
        <v>200</v>
      </c>
      <c r="K59" t="str">
        <f t="shared" si="4"/>
        <v>Per pay period</v>
      </c>
      <c r="L59" t="str">
        <f t="shared" si="5"/>
        <v>Every pay period (ongoing)</v>
      </c>
      <c r="M59" s="39">
        <f t="array" ref="M59">MAX(_xlfn.XLOOKUP($A59,TRIM(SUBSTITUTE('worker file'!$A$2:$A$406,_xlfn.UNICHAR(160)," ")),'worker file'!$M$2:$M$406,0),_xlfn.XLOOKUP($B59,TRIM('pay group &amp; schedule'!$A$2:$A$6),'pay group &amp; schedule'!$D$2:$D$6,0))</f>
        <v>46311</v>
      </c>
      <c r="N59" s="39" t="str">
        <f t="array" ref="N59">_xlfn.LET(_xlpm.t,_xlfn.XLOOKUP($A59,TRIM(SUBSTITUTE('worker file'!$A$2:$A$406,_xlfn.UNICHAR(160)," ")),'worker file'!$N$2:$N$406,""),IF(N(_xlpm.t)=0,"",_xlpm.t))</f>
        <v/>
      </c>
    </row>
    <row r="60" spans="1:14" x14ac:dyDescent="0.2">
      <c r="A60" s="35" t="s">
        <v>114</v>
      </c>
      <c r="B60" s="36" t="str">
        <f t="array" ref="B60">_xlfn.XLOOKUP($A60,TRIM(SUBSTITUTE('worker file'!$A$2:$A$406,_xlfn.UNICHAR(160)," ")),'worker file'!$L$2:$L$406,"Not found")</f>
        <v>US Semi-monthly</v>
      </c>
      <c r="C60" s="36" t="str">
        <f t="array" ref="C60">_xlfn.XLOOKUP($A60,TRIM(SUBSTITUTE('worker file'!$A$2:$A$406,_xlfn.UNICHAR(160)," ")),'worker file'!$D$2:$D$406,"Not found")</f>
        <v>CA</v>
      </c>
      <c r="D60" s="36" t="str">
        <f t="array" ref="D60">_xlfn.XLOOKUP($A60,TRIM(SUBSTITUTE('worker file'!$A$2:$A$406,_xlfn.UNICHAR(160)," ")),'worker file'!$Q$2:$Q$406,"Not found")</f>
        <v>Active</v>
      </c>
      <c r="E60" s="35" t="s">
        <v>632</v>
      </c>
      <c r="F60" t="str">
        <f t="shared" si="0"/>
        <v>Dental – Employee</v>
      </c>
      <c r="G60" t="str">
        <f t="shared" si="1"/>
        <v>Pre-tax Section 125 (exempt from FIT/SIT/FICA)</v>
      </c>
      <c r="H60" t="str">
        <f t="shared" si="2"/>
        <v>Flat</v>
      </c>
      <c r="I60" s="40" t="str">
        <f>IF($H60="Percent",_xlfn.XLOOKUP($E60,$A$5:$A$8,$F$5:$F$8,""),"")</f>
        <v/>
      </c>
      <c r="J60" s="38">
        <f t="shared" si="3"/>
        <v>44</v>
      </c>
      <c r="K60" t="str">
        <f t="shared" si="4"/>
        <v>Per pay period</v>
      </c>
      <c r="L60" t="str">
        <f t="shared" si="5"/>
        <v>Every pay period (ongoing)</v>
      </c>
      <c r="M60" s="39">
        <f t="array" ref="M60">MAX(_xlfn.XLOOKUP($A60,TRIM(SUBSTITUTE('worker file'!$A$2:$A$406,_xlfn.UNICHAR(160)," ")),'worker file'!$M$2:$M$406,0),_xlfn.XLOOKUP($B60,TRIM('pay group &amp; schedule'!$A$2:$A$6),'pay group &amp; schedule'!$D$2:$D$6,0))</f>
        <v>46311</v>
      </c>
      <c r="N60" s="39" t="str">
        <f t="array" ref="N60">_xlfn.LET(_xlpm.t,_xlfn.XLOOKUP($A60,TRIM(SUBSTITUTE('worker file'!$A$2:$A$406,_xlfn.UNICHAR(160)," ")),'worker file'!$N$2:$N$406,""),IF(N(_xlpm.t)=0,"",_xlpm.t))</f>
        <v/>
      </c>
    </row>
    <row r="61" spans="1:14" x14ac:dyDescent="0.2">
      <c r="A61" s="35" t="s">
        <v>114</v>
      </c>
      <c r="B61" s="36" t="str">
        <f t="array" ref="B61">_xlfn.XLOOKUP($A61,TRIM(SUBSTITUTE('worker file'!$A$2:$A$406,_xlfn.UNICHAR(160)," ")),'worker file'!$L$2:$L$406,"Not found")</f>
        <v>US Semi-monthly</v>
      </c>
      <c r="C61" s="36" t="str">
        <f t="array" ref="C61">_xlfn.XLOOKUP($A61,TRIM(SUBSTITUTE('worker file'!$A$2:$A$406,_xlfn.UNICHAR(160)," ")),'worker file'!$D$2:$D$406,"Not found")</f>
        <v>CA</v>
      </c>
      <c r="D61" s="36" t="str">
        <f t="array" ref="D61">_xlfn.XLOOKUP($A61,TRIM(SUBSTITUTE('worker file'!$A$2:$A$406,_xlfn.UNICHAR(160)," ")),'worker file'!$Q$2:$Q$406,"Not found")</f>
        <v>Active</v>
      </c>
      <c r="E61" s="35" t="s">
        <v>634</v>
      </c>
      <c r="F61" t="str">
        <f t="shared" si="0"/>
        <v>Vision – Employee</v>
      </c>
      <c r="G61" t="str">
        <f t="shared" si="1"/>
        <v>Pre-tax Section 125 (exempt from FIT/SIT/FICA)</v>
      </c>
      <c r="H61" t="str">
        <f t="shared" si="2"/>
        <v>Flat</v>
      </c>
      <c r="I61" s="40" t="str">
        <f>IF($H61="Percent",_xlfn.XLOOKUP($E61,$A$5:$A$8,$F$5:$F$8,""),"")</f>
        <v/>
      </c>
      <c r="J61" s="38">
        <f t="shared" si="3"/>
        <v>30</v>
      </c>
      <c r="K61" t="str">
        <f t="shared" si="4"/>
        <v>Per pay period</v>
      </c>
      <c r="L61" t="str">
        <f t="shared" si="5"/>
        <v>Every pay period (ongoing)</v>
      </c>
      <c r="M61" s="39">
        <f t="array" ref="M61">MAX(_xlfn.XLOOKUP($A61,TRIM(SUBSTITUTE('worker file'!$A$2:$A$406,_xlfn.UNICHAR(160)," ")),'worker file'!$M$2:$M$406,0),_xlfn.XLOOKUP($B61,TRIM('pay group &amp; schedule'!$A$2:$A$6),'pay group &amp; schedule'!$D$2:$D$6,0))</f>
        <v>46311</v>
      </c>
      <c r="N61" s="39" t="str">
        <f t="array" ref="N61">_xlfn.LET(_xlpm.t,_xlfn.XLOOKUP($A61,TRIM(SUBSTITUTE('worker file'!$A$2:$A$406,_xlfn.UNICHAR(160)," ")),'worker file'!$N$2:$N$406,""),IF(N(_xlpm.t)=0,"",_xlpm.t))</f>
        <v/>
      </c>
    </row>
    <row r="62" spans="1:14" x14ac:dyDescent="0.2">
      <c r="A62" s="35" t="s">
        <v>115</v>
      </c>
      <c r="B62" s="36" t="str">
        <f t="array" ref="B62">_xlfn.XLOOKUP($A62,TRIM(SUBSTITUTE('worker file'!$A$2:$A$406,_xlfn.UNICHAR(160)," ")),'worker file'!$L$2:$L$406,"Not found")</f>
        <v>US Semi-monthly</v>
      </c>
      <c r="C62" s="36" t="str">
        <f t="array" ref="C62">_xlfn.XLOOKUP($A62,TRIM(SUBSTITUTE('worker file'!$A$2:$A$406,_xlfn.UNICHAR(160)," ")),'worker file'!$D$2:$D$406,"Not found")</f>
        <v>CA</v>
      </c>
      <c r="D62" s="36" t="str">
        <f t="array" ref="D62">_xlfn.XLOOKUP($A62,TRIM(SUBSTITUTE('worker file'!$A$2:$A$406,_xlfn.UNICHAR(160)," ")),'worker file'!$Q$2:$Q$406,"Not found")</f>
        <v>Active</v>
      </c>
      <c r="E62" s="35" t="s">
        <v>618</v>
      </c>
      <c r="F62" t="str">
        <f t="shared" si="0"/>
        <v>401(k) Employee Deferral</v>
      </c>
      <c r="G62" t="str">
        <f t="shared" si="1"/>
        <v>Pre-tax (exempt from FIT/SIT; subject to FICA)</v>
      </c>
      <c r="H62" t="str">
        <f t="shared" si="2"/>
        <v>Percent</v>
      </c>
      <c r="I62" s="37">
        <v>0.04</v>
      </c>
      <c r="J62" s="38" t="str">
        <f t="shared" si="3"/>
        <v/>
      </c>
      <c r="K62" t="str">
        <f t="shared" si="4"/>
        <v>Gross pay</v>
      </c>
      <c r="L62" t="str">
        <f t="shared" si="5"/>
        <v>Every pay period (ongoing)</v>
      </c>
      <c r="M62" s="39">
        <f t="array" ref="M62">MAX(_xlfn.XLOOKUP($A62,TRIM(SUBSTITUTE('worker file'!$A$2:$A$406,_xlfn.UNICHAR(160)," ")),'worker file'!$M$2:$M$406,0),_xlfn.XLOOKUP($B62,TRIM('pay group &amp; schedule'!$A$2:$A$6),'pay group &amp; schedule'!$D$2:$D$6,0))</f>
        <v>46311</v>
      </c>
      <c r="N62" s="39" t="str">
        <f t="array" ref="N62">_xlfn.LET(_xlpm.t,_xlfn.XLOOKUP($A62,TRIM(SUBSTITUTE('worker file'!$A$2:$A$406,_xlfn.UNICHAR(160)," ")),'worker file'!$N$2:$N$406,""),IF(N(_xlpm.t)=0,"",_xlpm.t))</f>
        <v/>
      </c>
    </row>
    <row r="63" spans="1:14" x14ac:dyDescent="0.2">
      <c r="A63" s="35" t="s">
        <v>115</v>
      </c>
      <c r="B63" s="36" t="str">
        <f t="array" ref="B63">_xlfn.XLOOKUP($A63,TRIM(SUBSTITUTE('worker file'!$A$2:$A$406,_xlfn.UNICHAR(160)," ")),'worker file'!$L$2:$L$406,"Not found")</f>
        <v>US Semi-monthly</v>
      </c>
      <c r="C63" s="36" t="str">
        <f t="array" ref="C63">_xlfn.XLOOKUP($A63,TRIM(SUBSTITUTE('worker file'!$A$2:$A$406,_xlfn.UNICHAR(160)," ")),'worker file'!$D$2:$D$406,"Not found")</f>
        <v>CA</v>
      </c>
      <c r="D63" s="36" t="str">
        <f t="array" ref="D63">_xlfn.XLOOKUP($A63,TRIM(SUBSTITUTE('worker file'!$A$2:$A$406,_xlfn.UNICHAR(160)," ")),'worker file'!$Q$2:$Q$406,"Not found")</f>
        <v>Active</v>
      </c>
      <c r="E63" s="35" t="s">
        <v>626</v>
      </c>
      <c r="F63" t="str">
        <f t="shared" si="0"/>
        <v>Medical (Health) – Employee</v>
      </c>
      <c r="G63" t="str">
        <f t="shared" si="1"/>
        <v>Pre-tax Section 125 (exempt from FIT/SIT/FICA)</v>
      </c>
      <c r="H63" t="str">
        <f t="shared" si="2"/>
        <v>Flat</v>
      </c>
      <c r="I63" s="40" t="str">
        <f>IF($H63="Percent",_xlfn.XLOOKUP($E63,$A$5:$A$8,$F$5:$F$8,""),"")</f>
        <v/>
      </c>
      <c r="J63" s="38">
        <f t="shared" si="3"/>
        <v>200</v>
      </c>
      <c r="K63" t="str">
        <f t="shared" si="4"/>
        <v>Per pay period</v>
      </c>
      <c r="L63" t="str">
        <f t="shared" si="5"/>
        <v>Every pay period (ongoing)</v>
      </c>
      <c r="M63" s="39">
        <f t="array" ref="M63">MAX(_xlfn.XLOOKUP($A63,TRIM(SUBSTITUTE('worker file'!$A$2:$A$406,_xlfn.UNICHAR(160)," ")),'worker file'!$M$2:$M$406,0),_xlfn.XLOOKUP($B63,TRIM('pay group &amp; schedule'!$A$2:$A$6),'pay group &amp; schedule'!$D$2:$D$6,0))</f>
        <v>46311</v>
      </c>
      <c r="N63" s="39" t="str">
        <f t="array" ref="N63">_xlfn.LET(_xlpm.t,_xlfn.XLOOKUP($A63,TRIM(SUBSTITUTE('worker file'!$A$2:$A$406,_xlfn.UNICHAR(160)," ")),'worker file'!$N$2:$N$406,""),IF(N(_xlpm.t)=0,"",_xlpm.t))</f>
        <v/>
      </c>
    </row>
    <row r="64" spans="1:14" x14ac:dyDescent="0.2">
      <c r="A64" s="35" t="s">
        <v>115</v>
      </c>
      <c r="B64" s="36" t="str">
        <f t="array" ref="B64">_xlfn.XLOOKUP($A64,TRIM(SUBSTITUTE('worker file'!$A$2:$A$406,_xlfn.UNICHAR(160)," ")),'worker file'!$L$2:$L$406,"Not found")</f>
        <v>US Semi-monthly</v>
      </c>
      <c r="C64" s="36" t="str">
        <f t="array" ref="C64">_xlfn.XLOOKUP($A64,TRIM(SUBSTITUTE('worker file'!$A$2:$A$406,_xlfn.UNICHAR(160)," ")),'worker file'!$D$2:$D$406,"Not found")</f>
        <v>CA</v>
      </c>
      <c r="D64" s="36" t="str">
        <f t="array" ref="D64">_xlfn.XLOOKUP($A64,TRIM(SUBSTITUTE('worker file'!$A$2:$A$406,_xlfn.UNICHAR(160)," ")),'worker file'!$Q$2:$Q$406,"Not found")</f>
        <v>Active</v>
      </c>
      <c r="E64" s="35" t="s">
        <v>632</v>
      </c>
      <c r="F64" t="str">
        <f t="shared" si="0"/>
        <v>Dental – Employee</v>
      </c>
      <c r="G64" t="str">
        <f t="shared" si="1"/>
        <v>Pre-tax Section 125 (exempt from FIT/SIT/FICA)</v>
      </c>
      <c r="H64" t="str">
        <f t="shared" si="2"/>
        <v>Flat</v>
      </c>
      <c r="I64" s="40" t="str">
        <f>IF($H64="Percent",_xlfn.XLOOKUP($E64,$A$5:$A$8,$F$5:$F$8,""),"")</f>
        <v/>
      </c>
      <c r="J64" s="38">
        <f t="shared" si="3"/>
        <v>44</v>
      </c>
      <c r="K64" t="str">
        <f t="shared" si="4"/>
        <v>Per pay period</v>
      </c>
      <c r="L64" t="str">
        <f t="shared" si="5"/>
        <v>Every pay period (ongoing)</v>
      </c>
      <c r="M64" s="39">
        <f t="array" ref="M64">MAX(_xlfn.XLOOKUP($A64,TRIM(SUBSTITUTE('worker file'!$A$2:$A$406,_xlfn.UNICHAR(160)," ")),'worker file'!$M$2:$M$406,0),_xlfn.XLOOKUP($B64,TRIM('pay group &amp; schedule'!$A$2:$A$6),'pay group &amp; schedule'!$D$2:$D$6,0))</f>
        <v>46311</v>
      </c>
      <c r="N64" s="39" t="str">
        <f t="array" ref="N64">_xlfn.LET(_xlpm.t,_xlfn.XLOOKUP($A64,TRIM(SUBSTITUTE('worker file'!$A$2:$A$406,_xlfn.UNICHAR(160)," ")),'worker file'!$N$2:$N$406,""),IF(N(_xlpm.t)=0,"",_xlpm.t))</f>
        <v/>
      </c>
    </row>
    <row r="65" spans="1:14" x14ac:dyDescent="0.2">
      <c r="A65" s="35" t="s">
        <v>115</v>
      </c>
      <c r="B65" s="36" t="str">
        <f t="array" ref="B65">_xlfn.XLOOKUP($A65,TRIM(SUBSTITUTE('worker file'!$A$2:$A$406,_xlfn.UNICHAR(160)," ")),'worker file'!$L$2:$L$406,"Not found")</f>
        <v>US Semi-monthly</v>
      </c>
      <c r="C65" s="36" t="str">
        <f t="array" ref="C65">_xlfn.XLOOKUP($A65,TRIM(SUBSTITUTE('worker file'!$A$2:$A$406,_xlfn.UNICHAR(160)," ")),'worker file'!$D$2:$D$406,"Not found")</f>
        <v>CA</v>
      </c>
      <c r="D65" s="36" t="str">
        <f t="array" ref="D65">_xlfn.XLOOKUP($A65,TRIM(SUBSTITUTE('worker file'!$A$2:$A$406,_xlfn.UNICHAR(160)," ")),'worker file'!$Q$2:$Q$406,"Not found")</f>
        <v>Active</v>
      </c>
      <c r="E65" s="35" t="s">
        <v>634</v>
      </c>
      <c r="F65" t="str">
        <f t="shared" si="0"/>
        <v>Vision – Employee</v>
      </c>
      <c r="G65" t="str">
        <f t="shared" si="1"/>
        <v>Pre-tax Section 125 (exempt from FIT/SIT/FICA)</v>
      </c>
      <c r="H65" t="str">
        <f t="shared" si="2"/>
        <v>Flat</v>
      </c>
      <c r="I65" s="40" t="str">
        <f>IF($H65="Percent",_xlfn.XLOOKUP($E65,$A$5:$A$8,$F$5:$F$8,""),"")</f>
        <v/>
      </c>
      <c r="J65" s="38">
        <f t="shared" si="3"/>
        <v>30</v>
      </c>
      <c r="K65" t="str">
        <f t="shared" si="4"/>
        <v>Per pay period</v>
      </c>
      <c r="L65" t="str">
        <f t="shared" si="5"/>
        <v>Every pay period (ongoing)</v>
      </c>
      <c r="M65" s="39">
        <f t="array" ref="M65">MAX(_xlfn.XLOOKUP($A65,TRIM(SUBSTITUTE('worker file'!$A$2:$A$406,_xlfn.UNICHAR(160)," ")),'worker file'!$M$2:$M$406,0),_xlfn.XLOOKUP($B65,TRIM('pay group &amp; schedule'!$A$2:$A$6),'pay group &amp; schedule'!$D$2:$D$6,0))</f>
        <v>46311</v>
      </c>
      <c r="N65" s="39" t="str">
        <f t="array" ref="N65">_xlfn.LET(_xlpm.t,_xlfn.XLOOKUP($A65,TRIM(SUBSTITUTE('worker file'!$A$2:$A$406,_xlfn.UNICHAR(160)," ")),'worker file'!$N$2:$N$406,""),IF(N(_xlpm.t)=0,"",_xlpm.t))</f>
        <v/>
      </c>
    </row>
    <row r="66" spans="1:14" x14ac:dyDescent="0.2">
      <c r="A66" s="35" t="s">
        <v>116</v>
      </c>
      <c r="B66" s="36" t="str">
        <f t="array" ref="B66">_xlfn.XLOOKUP($A66,TRIM(SUBSTITUTE('worker file'!$A$2:$A$406,_xlfn.UNICHAR(160)," ")),'worker file'!$L$2:$L$406,"Not found")</f>
        <v>US Semi-monthly</v>
      </c>
      <c r="C66" s="36" t="str">
        <f t="array" ref="C66">_xlfn.XLOOKUP($A66,TRIM(SUBSTITUTE('worker file'!$A$2:$A$406,_xlfn.UNICHAR(160)," ")),'worker file'!$D$2:$D$406,"Not found")</f>
        <v>CA</v>
      </c>
      <c r="D66" s="36" t="str">
        <f t="array" ref="D66">_xlfn.XLOOKUP($A66,TRIM(SUBSTITUTE('worker file'!$A$2:$A$406,_xlfn.UNICHAR(160)," ")),'worker file'!$Q$2:$Q$406,"Not found")</f>
        <v>Active</v>
      </c>
      <c r="E66" s="35" t="s">
        <v>618</v>
      </c>
      <c r="F66" t="str">
        <f t="shared" si="0"/>
        <v>401(k) Employee Deferral</v>
      </c>
      <c r="G66" t="str">
        <f t="shared" si="1"/>
        <v>Pre-tax (exempt from FIT/SIT; subject to FICA)</v>
      </c>
      <c r="H66" t="str">
        <f t="shared" si="2"/>
        <v>Percent</v>
      </c>
      <c r="I66" s="37">
        <v>0.01</v>
      </c>
      <c r="J66" s="38" t="str">
        <f t="shared" si="3"/>
        <v/>
      </c>
      <c r="K66" t="str">
        <f t="shared" si="4"/>
        <v>Gross pay</v>
      </c>
      <c r="L66" t="str">
        <f t="shared" si="5"/>
        <v>Every pay period (ongoing)</v>
      </c>
      <c r="M66" s="39">
        <f t="array" ref="M66">MAX(_xlfn.XLOOKUP($A66,TRIM(SUBSTITUTE('worker file'!$A$2:$A$406,_xlfn.UNICHAR(160)," ")),'worker file'!$M$2:$M$406,0),_xlfn.XLOOKUP($B66,TRIM('pay group &amp; schedule'!$A$2:$A$6),'pay group &amp; schedule'!$D$2:$D$6,0))</f>
        <v>46311</v>
      </c>
      <c r="N66" s="39" t="str">
        <f t="array" ref="N66">_xlfn.LET(_xlpm.t,_xlfn.XLOOKUP($A66,TRIM(SUBSTITUTE('worker file'!$A$2:$A$406,_xlfn.UNICHAR(160)," ")),'worker file'!$N$2:$N$406,""),IF(N(_xlpm.t)=0,"",_xlpm.t))</f>
        <v/>
      </c>
    </row>
    <row r="67" spans="1:14" x14ac:dyDescent="0.2">
      <c r="A67" s="35" t="s">
        <v>116</v>
      </c>
      <c r="B67" s="36" t="str">
        <f t="array" ref="B67">_xlfn.XLOOKUP($A67,TRIM(SUBSTITUTE('worker file'!$A$2:$A$406,_xlfn.UNICHAR(160)," ")),'worker file'!$L$2:$L$406,"Not found")</f>
        <v>US Semi-monthly</v>
      </c>
      <c r="C67" s="36" t="str">
        <f t="array" ref="C67">_xlfn.XLOOKUP($A67,TRIM(SUBSTITUTE('worker file'!$A$2:$A$406,_xlfn.UNICHAR(160)," ")),'worker file'!$D$2:$D$406,"Not found")</f>
        <v>CA</v>
      </c>
      <c r="D67" s="36" t="str">
        <f t="array" ref="D67">_xlfn.XLOOKUP($A67,TRIM(SUBSTITUTE('worker file'!$A$2:$A$406,_xlfn.UNICHAR(160)," ")),'worker file'!$Q$2:$Q$406,"Not found")</f>
        <v>Active</v>
      </c>
      <c r="E67" s="35" t="s">
        <v>626</v>
      </c>
      <c r="F67" t="str">
        <f t="shared" si="0"/>
        <v>Medical (Health) – Employee</v>
      </c>
      <c r="G67" t="str">
        <f t="shared" si="1"/>
        <v>Pre-tax Section 125 (exempt from FIT/SIT/FICA)</v>
      </c>
      <c r="H67" t="str">
        <f t="shared" si="2"/>
        <v>Flat</v>
      </c>
      <c r="I67" s="40" t="str">
        <f>IF($H67="Percent",_xlfn.XLOOKUP($E67,$A$5:$A$8,$F$5:$F$8,""),"")</f>
        <v/>
      </c>
      <c r="J67" s="38">
        <f t="shared" si="3"/>
        <v>200</v>
      </c>
      <c r="K67" t="str">
        <f t="shared" si="4"/>
        <v>Per pay period</v>
      </c>
      <c r="L67" t="str">
        <f t="shared" si="5"/>
        <v>Every pay period (ongoing)</v>
      </c>
      <c r="M67" s="39">
        <f t="array" ref="M67">MAX(_xlfn.XLOOKUP($A67,TRIM(SUBSTITUTE('worker file'!$A$2:$A$406,_xlfn.UNICHAR(160)," ")),'worker file'!$M$2:$M$406,0),_xlfn.XLOOKUP($B67,TRIM('pay group &amp; schedule'!$A$2:$A$6),'pay group &amp; schedule'!$D$2:$D$6,0))</f>
        <v>46311</v>
      </c>
      <c r="N67" s="39" t="str">
        <f t="array" ref="N67">_xlfn.LET(_xlpm.t,_xlfn.XLOOKUP($A67,TRIM(SUBSTITUTE('worker file'!$A$2:$A$406,_xlfn.UNICHAR(160)," ")),'worker file'!$N$2:$N$406,""),IF(N(_xlpm.t)=0,"",_xlpm.t))</f>
        <v/>
      </c>
    </row>
    <row r="68" spans="1:14" x14ac:dyDescent="0.2">
      <c r="A68" s="35" t="s">
        <v>116</v>
      </c>
      <c r="B68" s="36" t="str">
        <f t="array" ref="B68">_xlfn.XLOOKUP($A68,TRIM(SUBSTITUTE('worker file'!$A$2:$A$406,_xlfn.UNICHAR(160)," ")),'worker file'!$L$2:$L$406,"Not found")</f>
        <v>US Semi-monthly</v>
      </c>
      <c r="C68" s="36" t="str">
        <f t="array" ref="C68">_xlfn.XLOOKUP($A68,TRIM(SUBSTITUTE('worker file'!$A$2:$A$406,_xlfn.UNICHAR(160)," ")),'worker file'!$D$2:$D$406,"Not found")</f>
        <v>CA</v>
      </c>
      <c r="D68" s="36" t="str">
        <f t="array" ref="D68">_xlfn.XLOOKUP($A68,TRIM(SUBSTITUTE('worker file'!$A$2:$A$406,_xlfn.UNICHAR(160)," ")),'worker file'!$Q$2:$Q$406,"Not found")</f>
        <v>Active</v>
      </c>
      <c r="E68" s="35" t="s">
        <v>632</v>
      </c>
      <c r="F68" t="str">
        <f t="shared" si="0"/>
        <v>Dental – Employee</v>
      </c>
      <c r="G68" t="str">
        <f t="shared" si="1"/>
        <v>Pre-tax Section 125 (exempt from FIT/SIT/FICA)</v>
      </c>
      <c r="H68" t="str">
        <f t="shared" si="2"/>
        <v>Flat</v>
      </c>
      <c r="I68" s="40" t="str">
        <f>IF($H68="Percent",_xlfn.XLOOKUP($E68,$A$5:$A$8,$F$5:$F$8,""),"")</f>
        <v/>
      </c>
      <c r="J68" s="38">
        <f t="shared" si="3"/>
        <v>44</v>
      </c>
      <c r="K68" t="str">
        <f t="shared" si="4"/>
        <v>Per pay period</v>
      </c>
      <c r="L68" t="str">
        <f t="shared" si="5"/>
        <v>Every pay period (ongoing)</v>
      </c>
      <c r="M68" s="39">
        <f t="array" ref="M68">MAX(_xlfn.XLOOKUP($A68,TRIM(SUBSTITUTE('worker file'!$A$2:$A$406,_xlfn.UNICHAR(160)," ")),'worker file'!$M$2:$M$406,0),_xlfn.XLOOKUP($B68,TRIM('pay group &amp; schedule'!$A$2:$A$6),'pay group &amp; schedule'!$D$2:$D$6,0))</f>
        <v>46311</v>
      </c>
      <c r="N68" s="39" t="str">
        <f t="array" ref="N68">_xlfn.LET(_xlpm.t,_xlfn.XLOOKUP($A68,TRIM(SUBSTITUTE('worker file'!$A$2:$A$406,_xlfn.UNICHAR(160)," ")),'worker file'!$N$2:$N$406,""),IF(N(_xlpm.t)=0,"",_xlpm.t))</f>
        <v/>
      </c>
    </row>
    <row r="69" spans="1:14" x14ac:dyDescent="0.2">
      <c r="A69" s="35" t="s">
        <v>116</v>
      </c>
      <c r="B69" s="36" t="str">
        <f t="array" ref="B69">_xlfn.XLOOKUP($A69,TRIM(SUBSTITUTE('worker file'!$A$2:$A$406,_xlfn.UNICHAR(160)," ")),'worker file'!$L$2:$L$406,"Not found")</f>
        <v>US Semi-monthly</v>
      </c>
      <c r="C69" s="36" t="str">
        <f t="array" ref="C69">_xlfn.XLOOKUP($A69,TRIM(SUBSTITUTE('worker file'!$A$2:$A$406,_xlfn.UNICHAR(160)," ")),'worker file'!$D$2:$D$406,"Not found")</f>
        <v>CA</v>
      </c>
      <c r="D69" s="36" t="str">
        <f t="array" ref="D69">_xlfn.XLOOKUP($A69,TRIM(SUBSTITUTE('worker file'!$A$2:$A$406,_xlfn.UNICHAR(160)," ")),'worker file'!$Q$2:$Q$406,"Not found")</f>
        <v>Active</v>
      </c>
      <c r="E69" s="35" t="s">
        <v>634</v>
      </c>
      <c r="F69" t="str">
        <f t="shared" si="0"/>
        <v>Vision – Employee</v>
      </c>
      <c r="G69" t="str">
        <f t="shared" si="1"/>
        <v>Pre-tax Section 125 (exempt from FIT/SIT/FICA)</v>
      </c>
      <c r="H69" t="str">
        <f t="shared" si="2"/>
        <v>Flat</v>
      </c>
      <c r="I69" s="40" t="str">
        <f>IF($H69="Percent",_xlfn.XLOOKUP($E69,$A$5:$A$8,$F$5:$F$8,""),"")</f>
        <v/>
      </c>
      <c r="J69" s="38">
        <f t="shared" si="3"/>
        <v>30</v>
      </c>
      <c r="K69" t="str">
        <f t="shared" si="4"/>
        <v>Per pay period</v>
      </c>
      <c r="L69" t="str">
        <f t="shared" si="5"/>
        <v>Every pay period (ongoing)</v>
      </c>
      <c r="M69" s="39">
        <f t="array" ref="M69">MAX(_xlfn.XLOOKUP($A69,TRIM(SUBSTITUTE('worker file'!$A$2:$A$406,_xlfn.UNICHAR(160)," ")),'worker file'!$M$2:$M$406,0),_xlfn.XLOOKUP($B69,TRIM('pay group &amp; schedule'!$A$2:$A$6),'pay group &amp; schedule'!$D$2:$D$6,0))</f>
        <v>46311</v>
      </c>
      <c r="N69" s="39" t="str">
        <f t="array" ref="N69">_xlfn.LET(_xlpm.t,_xlfn.XLOOKUP($A69,TRIM(SUBSTITUTE('worker file'!$A$2:$A$406,_xlfn.UNICHAR(160)," ")),'worker file'!$N$2:$N$406,""),IF(N(_xlpm.t)=0,"",_xlpm.t))</f>
        <v/>
      </c>
    </row>
    <row r="70" spans="1:14" x14ac:dyDescent="0.2">
      <c r="A70" s="35" t="s">
        <v>117</v>
      </c>
      <c r="B70" s="36" t="str">
        <f t="array" ref="B70">_xlfn.XLOOKUP($A70,TRIM(SUBSTITUTE('worker file'!$A$2:$A$406,_xlfn.UNICHAR(160)," ")),'worker file'!$L$2:$L$406,"Not found")</f>
        <v>US Semi-monthly</v>
      </c>
      <c r="C70" s="36" t="str">
        <f t="array" ref="C70">_xlfn.XLOOKUP($A70,TRIM(SUBSTITUTE('worker file'!$A$2:$A$406,_xlfn.UNICHAR(160)," ")),'worker file'!$D$2:$D$406,"Not found")</f>
        <v>CA</v>
      </c>
      <c r="D70" s="36" t="str">
        <f t="array" ref="D70">_xlfn.XLOOKUP($A70,TRIM(SUBSTITUTE('worker file'!$A$2:$A$406,_xlfn.UNICHAR(160)," ")),'worker file'!$Q$2:$Q$406,"Not found")</f>
        <v>Active</v>
      </c>
      <c r="E70" s="35" t="s">
        <v>618</v>
      </c>
      <c r="F70" t="str">
        <f t="shared" si="0"/>
        <v>401(k) Employee Deferral</v>
      </c>
      <c r="G70" t="str">
        <f t="shared" si="1"/>
        <v>Pre-tax (exempt from FIT/SIT; subject to FICA)</v>
      </c>
      <c r="H70" t="str">
        <f t="shared" si="2"/>
        <v>Percent</v>
      </c>
      <c r="I70" s="37">
        <v>0.06</v>
      </c>
      <c r="J70" s="38" t="str">
        <f t="shared" si="3"/>
        <v/>
      </c>
      <c r="K70" t="str">
        <f t="shared" si="4"/>
        <v>Gross pay</v>
      </c>
      <c r="L70" t="str">
        <f t="shared" si="5"/>
        <v>Every pay period (ongoing)</v>
      </c>
      <c r="M70" s="39">
        <f t="array" ref="M70">MAX(_xlfn.XLOOKUP($A70,TRIM(SUBSTITUTE('worker file'!$A$2:$A$406,_xlfn.UNICHAR(160)," ")),'worker file'!$M$2:$M$406,0),_xlfn.XLOOKUP($B70,TRIM('pay group &amp; schedule'!$A$2:$A$6),'pay group &amp; schedule'!$D$2:$D$6,0))</f>
        <v>46311</v>
      </c>
      <c r="N70" s="39" t="str">
        <f t="array" ref="N70">_xlfn.LET(_xlpm.t,_xlfn.XLOOKUP($A70,TRIM(SUBSTITUTE('worker file'!$A$2:$A$406,_xlfn.UNICHAR(160)," ")),'worker file'!$N$2:$N$406,""),IF(N(_xlpm.t)=0,"",_xlpm.t))</f>
        <v/>
      </c>
    </row>
    <row r="71" spans="1:14" x14ac:dyDescent="0.2">
      <c r="A71" s="35" t="s">
        <v>117</v>
      </c>
      <c r="B71" s="36" t="str">
        <f t="array" ref="B71">_xlfn.XLOOKUP($A71,TRIM(SUBSTITUTE('worker file'!$A$2:$A$406,_xlfn.UNICHAR(160)," ")),'worker file'!$L$2:$L$406,"Not found")</f>
        <v>US Semi-monthly</v>
      </c>
      <c r="C71" s="36" t="str">
        <f t="array" ref="C71">_xlfn.XLOOKUP($A71,TRIM(SUBSTITUTE('worker file'!$A$2:$A$406,_xlfn.UNICHAR(160)," ")),'worker file'!$D$2:$D$406,"Not found")</f>
        <v>CA</v>
      </c>
      <c r="D71" s="36" t="str">
        <f t="array" ref="D71">_xlfn.XLOOKUP($A71,TRIM(SUBSTITUTE('worker file'!$A$2:$A$406,_xlfn.UNICHAR(160)," ")),'worker file'!$Q$2:$Q$406,"Not found")</f>
        <v>Active</v>
      </c>
      <c r="E71" s="35" t="s">
        <v>626</v>
      </c>
      <c r="F71" t="str">
        <f t="shared" si="0"/>
        <v>Medical (Health) – Employee</v>
      </c>
      <c r="G71" t="str">
        <f t="shared" si="1"/>
        <v>Pre-tax Section 125 (exempt from FIT/SIT/FICA)</v>
      </c>
      <c r="H71" t="str">
        <f t="shared" si="2"/>
        <v>Flat</v>
      </c>
      <c r="I71" s="40" t="str">
        <f>IF($H71="Percent",_xlfn.XLOOKUP($E71,$A$5:$A$8,$F$5:$F$8,""),"")</f>
        <v/>
      </c>
      <c r="J71" s="38">
        <f t="shared" si="3"/>
        <v>200</v>
      </c>
      <c r="K71" t="str">
        <f t="shared" si="4"/>
        <v>Per pay period</v>
      </c>
      <c r="L71" t="str">
        <f t="shared" si="5"/>
        <v>Every pay period (ongoing)</v>
      </c>
      <c r="M71" s="39">
        <f t="array" ref="M71">MAX(_xlfn.XLOOKUP($A71,TRIM(SUBSTITUTE('worker file'!$A$2:$A$406,_xlfn.UNICHAR(160)," ")),'worker file'!$M$2:$M$406,0),_xlfn.XLOOKUP($B71,TRIM('pay group &amp; schedule'!$A$2:$A$6),'pay group &amp; schedule'!$D$2:$D$6,0))</f>
        <v>46311</v>
      </c>
      <c r="N71" s="39" t="str">
        <f t="array" ref="N71">_xlfn.LET(_xlpm.t,_xlfn.XLOOKUP($A71,TRIM(SUBSTITUTE('worker file'!$A$2:$A$406,_xlfn.UNICHAR(160)," ")),'worker file'!$N$2:$N$406,""),IF(N(_xlpm.t)=0,"",_xlpm.t))</f>
        <v/>
      </c>
    </row>
    <row r="72" spans="1:14" x14ac:dyDescent="0.2">
      <c r="A72" s="35" t="s">
        <v>117</v>
      </c>
      <c r="B72" s="36" t="str">
        <f t="array" ref="B72">_xlfn.XLOOKUP($A72,TRIM(SUBSTITUTE('worker file'!$A$2:$A$406,_xlfn.UNICHAR(160)," ")),'worker file'!$L$2:$L$406,"Not found")</f>
        <v>US Semi-monthly</v>
      </c>
      <c r="C72" s="36" t="str">
        <f t="array" ref="C72">_xlfn.XLOOKUP($A72,TRIM(SUBSTITUTE('worker file'!$A$2:$A$406,_xlfn.UNICHAR(160)," ")),'worker file'!$D$2:$D$406,"Not found")</f>
        <v>CA</v>
      </c>
      <c r="D72" s="36" t="str">
        <f t="array" ref="D72">_xlfn.XLOOKUP($A72,TRIM(SUBSTITUTE('worker file'!$A$2:$A$406,_xlfn.UNICHAR(160)," ")),'worker file'!$Q$2:$Q$406,"Not found")</f>
        <v>Active</v>
      </c>
      <c r="E72" s="35" t="s">
        <v>632</v>
      </c>
      <c r="F72" t="str">
        <f t="shared" si="0"/>
        <v>Dental – Employee</v>
      </c>
      <c r="G72" t="str">
        <f t="shared" si="1"/>
        <v>Pre-tax Section 125 (exempt from FIT/SIT/FICA)</v>
      </c>
      <c r="H72" t="str">
        <f t="shared" si="2"/>
        <v>Flat</v>
      </c>
      <c r="I72" s="40" t="str">
        <f>IF($H72="Percent",_xlfn.XLOOKUP($E72,$A$5:$A$8,$F$5:$F$8,""),"")</f>
        <v/>
      </c>
      <c r="J72" s="38">
        <f t="shared" si="3"/>
        <v>44</v>
      </c>
      <c r="K72" t="str">
        <f t="shared" si="4"/>
        <v>Per pay period</v>
      </c>
      <c r="L72" t="str">
        <f t="shared" si="5"/>
        <v>Every pay period (ongoing)</v>
      </c>
      <c r="M72" s="39">
        <f t="array" ref="M72">MAX(_xlfn.XLOOKUP($A72,TRIM(SUBSTITUTE('worker file'!$A$2:$A$406,_xlfn.UNICHAR(160)," ")),'worker file'!$M$2:$M$406,0),_xlfn.XLOOKUP($B72,TRIM('pay group &amp; schedule'!$A$2:$A$6),'pay group &amp; schedule'!$D$2:$D$6,0))</f>
        <v>46311</v>
      </c>
      <c r="N72" s="39" t="str">
        <f t="array" ref="N72">_xlfn.LET(_xlpm.t,_xlfn.XLOOKUP($A72,TRIM(SUBSTITUTE('worker file'!$A$2:$A$406,_xlfn.UNICHAR(160)," ")),'worker file'!$N$2:$N$406,""),IF(N(_xlpm.t)=0,"",_xlpm.t))</f>
        <v/>
      </c>
    </row>
    <row r="73" spans="1:14" x14ac:dyDescent="0.2">
      <c r="A73" s="35" t="s">
        <v>117</v>
      </c>
      <c r="B73" s="36" t="str">
        <f t="array" ref="B73">_xlfn.XLOOKUP($A73,TRIM(SUBSTITUTE('worker file'!$A$2:$A$406,_xlfn.UNICHAR(160)," ")),'worker file'!$L$2:$L$406,"Not found")</f>
        <v>US Semi-monthly</v>
      </c>
      <c r="C73" s="36" t="str">
        <f t="array" ref="C73">_xlfn.XLOOKUP($A73,TRIM(SUBSTITUTE('worker file'!$A$2:$A$406,_xlfn.UNICHAR(160)," ")),'worker file'!$D$2:$D$406,"Not found")</f>
        <v>CA</v>
      </c>
      <c r="D73" s="36" t="str">
        <f t="array" ref="D73">_xlfn.XLOOKUP($A73,TRIM(SUBSTITUTE('worker file'!$A$2:$A$406,_xlfn.UNICHAR(160)," ")),'worker file'!$Q$2:$Q$406,"Not found")</f>
        <v>Active</v>
      </c>
      <c r="E73" s="35" t="s">
        <v>634</v>
      </c>
      <c r="F73" t="str">
        <f t="shared" si="0"/>
        <v>Vision – Employee</v>
      </c>
      <c r="G73" t="str">
        <f t="shared" si="1"/>
        <v>Pre-tax Section 125 (exempt from FIT/SIT/FICA)</v>
      </c>
      <c r="H73" t="str">
        <f t="shared" si="2"/>
        <v>Flat</v>
      </c>
      <c r="I73" s="40" t="str">
        <f>IF($H73="Percent",_xlfn.XLOOKUP($E73,$A$5:$A$8,$F$5:$F$8,""),"")</f>
        <v/>
      </c>
      <c r="J73" s="38">
        <f t="shared" si="3"/>
        <v>30</v>
      </c>
      <c r="K73" t="str">
        <f t="shared" si="4"/>
        <v>Per pay period</v>
      </c>
      <c r="L73" t="str">
        <f t="shared" si="5"/>
        <v>Every pay period (ongoing)</v>
      </c>
      <c r="M73" s="39">
        <f t="array" ref="M73">MAX(_xlfn.XLOOKUP($A73,TRIM(SUBSTITUTE('worker file'!$A$2:$A$406,_xlfn.UNICHAR(160)," ")),'worker file'!$M$2:$M$406,0),_xlfn.XLOOKUP($B73,TRIM('pay group &amp; schedule'!$A$2:$A$6),'pay group &amp; schedule'!$D$2:$D$6,0))</f>
        <v>46311</v>
      </c>
      <c r="N73" s="39" t="str">
        <f t="array" ref="N73">_xlfn.LET(_xlpm.t,_xlfn.XLOOKUP($A73,TRIM(SUBSTITUTE('worker file'!$A$2:$A$406,_xlfn.UNICHAR(160)," ")),'worker file'!$N$2:$N$406,""),IF(N(_xlpm.t)=0,"",_xlpm.t))</f>
        <v/>
      </c>
    </row>
    <row r="74" spans="1:14" x14ac:dyDescent="0.2">
      <c r="A74" s="35" t="s">
        <v>118</v>
      </c>
      <c r="B74" s="36" t="str">
        <f t="array" ref="B74">_xlfn.XLOOKUP($A74,TRIM(SUBSTITUTE('worker file'!$A$2:$A$406,_xlfn.UNICHAR(160)," ")),'worker file'!$L$2:$L$406,"Not found")</f>
        <v>US Semi-monthly</v>
      </c>
      <c r="C74" s="36" t="str">
        <f t="array" ref="C74">_xlfn.XLOOKUP($A74,TRIM(SUBSTITUTE('worker file'!$A$2:$A$406,_xlfn.UNICHAR(160)," ")),'worker file'!$D$2:$D$406,"Not found")</f>
        <v>CA</v>
      </c>
      <c r="D74" s="36" t="str">
        <f t="array" ref="D74">_xlfn.XLOOKUP($A74,TRIM(SUBSTITUTE('worker file'!$A$2:$A$406,_xlfn.UNICHAR(160)," ")),'worker file'!$Q$2:$Q$406,"Not found")</f>
        <v>Active</v>
      </c>
      <c r="E74" s="35" t="s">
        <v>618</v>
      </c>
      <c r="F74" t="str">
        <f t="shared" si="0"/>
        <v>401(k) Employee Deferral</v>
      </c>
      <c r="G74" t="str">
        <f t="shared" si="1"/>
        <v>Pre-tax (exempt from FIT/SIT; subject to FICA)</v>
      </c>
      <c r="H74" t="str">
        <f t="shared" si="2"/>
        <v>Percent</v>
      </c>
      <c r="I74" s="37">
        <v>0.03</v>
      </c>
      <c r="J74" s="38" t="str">
        <f t="shared" si="3"/>
        <v/>
      </c>
      <c r="K74" t="str">
        <f t="shared" si="4"/>
        <v>Gross pay</v>
      </c>
      <c r="L74" t="str">
        <f t="shared" si="5"/>
        <v>Every pay period (ongoing)</v>
      </c>
      <c r="M74" s="39">
        <f t="array" ref="M74">MAX(_xlfn.XLOOKUP($A74,TRIM(SUBSTITUTE('worker file'!$A$2:$A$406,_xlfn.UNICHAR(160)," ")),'worker file'!$M$2:$M$406,0),_xlfn.XLOOKUP($B74,TRIM('pay group &amp; schedule'!$A$2:$A$6),'pay group &amp; schedule'!$D$2:$D$6,0))</f>
        <v>46311</v>
      </c>
      <c r="N74" s="39" t="str">
        <f t="array" ref="N74">_xlfn.LET(_xlpm.t,_xlfn.XLOOKUP($A74,TRIM(SUBSTITUTE('worker file'!$A$2:$A$406,_xlfn.UNICHAR(160)," ")),'worker file'!$N$2:$N$406,""),IF(N(_xlpm.t)=0,"",_xlpm.t))</f>
        <v/>
      </c>
    </row>
    <row r="75" spans="1:14" x14ac:dyDescent="0.2">
      <c r="A75" s="35" t="s">
        <v>118</v>
      </c>
      <c r="B75" s="36" t="str">
        <f t="array" ref="B75">_xlfn.XLOOKUP($A75,TRIM(SUBSTITUTE('worker file'!$A$2:$A$406,_xlfn.UNICHAR(160)," ")),'worker file'!$L$2:$L$406,"Not found")</f>
        <v>US Semi-monthly</v>
      </c>
      <c r="C75" s="36" t="str">
        <f t="array" ref="C75">_xlfn.XLOOKUP($A75,TRIM(SUBSTITUTE('worker file'!$A$2:$A$406,_xlfn.UNICHAR(160)," ")),'worker file'!$D$2:$D$406,"Not found")</f>
        <v>CA</v>
      </c>
      <c r="D75" s="36" t="str">
        <f t="array" ref="D75">_xlfn.XLOOKUP($A75,TRIM(SUBSTITUTE('worker file'!$A$2:$A$406,_xlfn.UNICHAR(160)," ")),'worker file'!$Q$2:$Q$406,"Not found")</f>
        <v>Active</v>
      </c>
      <c r="E75" s="35" t="s">
        <v>626</v>
      </c>
      <c r="F75" t="str">
        <f t="shared" si="0"/>
        <v>Medical (Health) – Employee</v>
      </c>
      <c r="G75" t="str">
        <f t="shared" si="1"/>
        <v>Pre-tax Section 125 (exempt from FIT/SIT/FICA)</v>
      </c>
      <c r="H75" t="str">
        <f t="shared" si="2"/>
        <v>Flat</v>
      </c>
      <c r="I75" s="40" t="str">
        <f>IF($H75="Percent",_xlfn.XLOOKUP($E75,$A$5:$A$8,$F$5:$F$8,""),"")</f>
        <v/>
      </c>
      <c r="J75" s="38">
        <f t="shared" si="3"/>
        <v>200</v>
      </c>
      <c r="K75" t="str">
        <f t="shared" si="4"/>
        <v>Per pay period</v>
      </c>
      <c r="L75" t="str">
        <f t="shared" si="5"/>
        <v>Every pay period (ongoing)</v>
      </c>
      <c r="M75" s="39">
        <f t="array" ref="M75">MAX(_xlfn.XLOOKUP($A75,TRIM(SUBSTITUTE('worker file'!$A$2:$A$406,_xlfn.UNICHAR(160)," ")),'worker file'!$M$2:$M$406,0),_xlfn.XLOOKUP($B75,TRIM('pay group &amp; schedule'!$A$2:$A$6),'pay group &amp; schedule'!$D$2:$D$6,0))</f>
        <v>46311</v>
      </c>
      <c r="N75" s="39" t="str">
        <f t="array" ref="N75">_xlfn.LET(_xlpm.t,_xlfn.XLOOKUP($A75,TRIM(SUBSTITUTE('worker file'!$A$2:$A$406,_xlfn.UNICHAR(160)," ")),'worker file'!$N$2:$N$406,""),IF(N(_xlpm.t)=0,"",_xlpm.t))</f>
        <v/>
      </c>
    </row>
    <row r="76" spans="1:14" x14ac:dyDescent="0.2">
      <c r="A76" s="35" t="s">
        <v>118</v>
      </c>
      <c r="B76" s="36" t="str">
        <f t="array" ref="B76">_xlfn.XLOOKUP($A76,TRIM(SUBSTITUTE('worker file'!$A$2:$A$406,_xlfn.UNICHAR(160)," ")),'worker file'!$L$2:$L$406,"Not found")</f>
        <v>US Semi-monthly</v>
      </c>
      <c r="C76" s="36" t="str">
        <f t="array" ref="C76">_xlfn.XLOOKUP($A76,TRIM(SUBSTITUTE('worker file'!$A$2:$A$406,_xlfn.UNICHAR(160)," ")),'worker file'!$D$2:$D$406,"Not found")</f>
        <v>CA</v>
      </c>
      <c r="D76" s="36" t="str">
        <f t="array" ref="D76">_xlfn.XLOOKUP($A76,TRIM(SUBSTITUTE('worker file'!$A$2:$A$406,_xlfn.UNICHAR(160)," ")),'worker file'!$Q$2:$Q$406,"Not found")</f>
        <v>Active</v>
      </c>
      <c r="E76" s="35" t="s">
        <v>632</v>
      </c>
      <c r="F76" t="str">
        <f t="shared" ref="F76:F139" si="8">_xlfn.XLOOKUP($E76,$A$5:$A$8,$B$5:$B$8,"")</f>
        <v>Dental – Employee</v>
      </c>
      <c r="G76" t="str">
        <f t="shared" ref="G76:G139" si="9">_xlfn.XLOOKUP($E76,$A$5:$A$8,$D$5:$D$8,"")</f>
        <v>Pre-tax Section 125 (exempt from FIT/SIT/FICA)</v>
      </c>
      <c r="H76" t="str">
        <f t="shared" ref="H76:H139" si="10">_xlfn.XLOOKUP($E76,$A$5:$A$8,$E$5:$E$8,"")</f>
        <v>Flat</v>
      </c>
      <c r="I76" s="40" t="str">
        <f>IF($H76="Percent",_xlfn.XLOOKUP($E76,$A$5:$A$8,$F$5:$F$8,""),"")</f>
        <v/>
      </c>
      <c r="J76" s="38">
        <f t="shared" ref="J76:J139" si="11">IF($H76="Flat",_xlfn.XLOOKUP($E76,$A$5:$A$8,$F$5:$F$8,""),"")</f>
        <v>44</v>
      </c>
      <c r="K76" t="str">
        <f t="shared" ref="K76:K139" si="12">_xlfn.XLOOKUP($E76,$A$5:$A$8,$G$5:$G$8,"")</f>
        <v>Per pay period</v>
      </c>
      <c r="L76" t="str">
        <f t="shared" ref="L76:L139" si="13">_xlfn.XLOOKUP($E76,$A$5:$A$8,$H$5:$H$8,"")</f>
        <v>Every pay period (ongoing)</v>
      </c>
      <c r="M76" s="39">
        <f t="array" ref="M76">MAX(_xlfn.XLOOKUP($A76,TRIM(SUBSTITUTE('worker file'!$A$2:$A$406,_xlfn.UNICHAR(160)," ")),'worker file'!$M$2:$M$406,0),_xlfn.XLOOKUP($B76,TRIM('pay group &amp; schedule'!$A$2:$A$6),'pay group &amp; schedule'!$D$2:$D$6,0))</f>
        <v>46311</v>
      </c>
      <c r="N76" s="39" t="str">
        <f t="array" ref="N76">_xlfn.LET(_xlpm.t,_xlfn.XLOOKUP($A76,TRIM(SUBSTITUTE('worker file'!$A$2:$A$406,_xlfn.UNICHAR(160)," ")),'worker file'!$N$2:$N$406,""),IF(N(_xlpm.t)=0,"",_xlpm.t))</f>
        <v/>
      </c>
    </row>
    <row r="77" spans="1:14" x14ac:dyDescent="0.2">
      <c r="A77" s="35" t="s">
        <v>118</v>
      </c>
      <c r="B77" s="36" t="str">
        <f t="array" ref="B77">_xlfn.XLOOKUP($A77,TRIM(SUBSTITUTE('worker file'!$A$2:$A$406,_xlfn.UNICHAR(160)," ")),'worker file'!$L$2:$L$406,"Not found")</f>
        <v>US Semi-monthly</v>
      </c>
      <c r="C77" s="36" t="str">
        <f t="array" ref="C77">_xlfn.XLOOKUP($A77,TRIM(SUBSTITUTE('worker file'!$A$2:$A$406,_xlfn.UNICHAR(160)," ")),'worker file'!$D$2:$D$406,"Not found")</f>
        <v>CA</v>
      </c>
      <c r="D77" s="36" t="str">
        <f t="array" ref="D77">_xlfn.XLOOKUP($A77,TRIM(SUBSTITUTE('worker file'!$A$2:$A$406,_xlfn.UNICHAR(160)," ")),'worker file'!$Q$2:$Q$406,"Not found")</f>
        <v>Active</v>
      </c>
      <c r="E77" s="35" t="s">
        <v>634</v>
      </c>
      <c r="F77" t="str">
        <f t="shared" si="8"/>
        <v>Vision – Employee</v>
      </c>
      <c r="G77" t="str">
        <f t="shared" si="9"/>
        <v>Pre-tax Section 125 (exempt from FIT/SIT/FICA)</v>
      </c>
      <c r="H77" t="str">
        <f t="shared" si="10"/>
        <v>Flat</v>
      </c>
      <c r="I77" s="40" t="str">
        <f>IF($H77="Percent",_xlfn.XLOOKUP($E77,$A$5:$A$8,$F$5:$F$8,""),"")</f>
        <v/>
      </c>
      <c r="J77" s="38">
        <f t="shared" si="11"/>
        <v>30</v>
      </c>
      <c r="K77" t="str">
        <f t="shared" si="12"/>
        <v>Per pay period</v>
      </c>
      <c r="L77" t="str">
        <f t="shared" si="13"/>
        <v>Every pay period (ongoing)</v>
      </c>
      <c r="M77" s="39">
        <f t="array" ref="M77">MAX(_xlfn.XLOOKUP($A77,TRIM(SUBSTITUTE('worker file'!$A$2:$A$406,_xlfn.UNICHAR(160)," ")),'worker file'!$M$2:$M$406,0),_xlfn.XLOOKUP($B77,TRIM('pay group &amp; schedule'!$A$2:$A$6),'pay group &amp; schedule'!$D$2:$D$6,0))</f>
        <v>46311</v>
      </c>
      <c r="N77" s="39" t="str">
        <f t="array" ref="N77">_xlfn.LET(_xlpm.t,_xlfn.XLOOKUP($A77,TRIM(SUBSTITUTE('worker file'!$A$2:$A$406,_xlfn.UNICHAR(160)," ")),'worker file'!$N$2:$N$406,""),IF(N(_xlpm.t)=0,"",_xlpm.t))</f>
        <v/>
      </c>
    </row>
    <row r="78" spans="1:14" x14ac:dyDescent="0.2">
      <c r="A78" s="35" t="s">
        <v>120</v>
      </c>
      <c r="B78" s="36" t="str">
        <f t="array" ref="B78">_xlfn.XLOOKUP($A78,TRIM(SUBSTITUTE('worker file'!$A$2:$A$406,_xlfn.UNICHAR(160)," ")),'worker file'!$L$2:$L$406,"Not found")</f>
        <v>US Biweekly</v>
      </c>
      <c r="C78" s="36" t="str">
        <f t="array" ref="C78">_xlfn.XLOOKUP($A78,TRIM(SUBSTITUTE('worker file'!$A$2:$A$406,_xlfn.UNICHAR(160)," ")),'worker file'!$D$2:$D$406,"Not found")</f>
        <v>TX</v>
      </c>
      <c r="D78" s="36" t="str">
        <f t="array" ref="D78">_xlfn.XLOOKUP($A78,TRIM(SUBSTITUTE('worker file'!$A$2:$A$406,_xlfn.UNICHAR(160)," ")),'worker file'!$Q$2:$Q$406,"Not found")</f>
        <v>Active</v>
      </c>
      <c r="E78" s="35" t="s">
        <v>618</v>
      </c>
      <c r="F78" t="str">
        <f t="shared" si="8"/>
        <v>401(k) Employee Deferral</v>
      </c>
      <c r="G78" t="str">
        <f t="shared" si="9"/>
        <v>Pre-tax (exempt from FIT/SIT; subject to FICA)</v>
      </c>
      <c r="H78" t="str">
        <f t="shared" si="10"/>
        <v>Percent</v>
      </c>
      <c r="I78" s="37">
        <v>0</v>
      </c>
      <c r="J78" s="38" t="str">
        <f t="shared" si="11"/>
        <v/>
      </c>
      <c r="K78" t="str">
        <f t="shared" si="12"/>
        <v>Gross pay</v>
      </c>
      <c r="L78" t="str">
        <f t="shared" si="13"/>
        <v>Every pay period (ongoing)</v>
      </c>
      <c r="M78" s="39">
        <f t="array" ref="M78">MAX(_xlfn.XLOOKUP($A78,TRIM(SUBSTITUTE('worker file'!$A$2:$A$406,_xlfn.UNICHAR(160)," ")),'worker file'!$M$2:$M$406,0),_xlfn.XLOOKUP($B78,TRIM('pay group &amp; schedule'!$A$2:$A$6),'pay group &amp; schedule'!$D$2:$D$6,0))</f>
        <v>46299</v>
      </c>
      <c r="N78" s="39" t="str">
        <f t="array" ref="N78">_xlfn.LET(_xlpm.t,_xlfn.XLOOKUP($A78,TRIM(SUBSTITUTE('worker file'!$A$2:$A$406,_xlfn.UNICHAR(160)," ")),'worker file'!$N$2:$N$406,""),IF(N(_xlpm.t)=0,"",_xlpm.t))</f>
        <v/>
      </c>
    </row>
    <row r="79" spans="1:14" x14ac:dyDescent="0.2">
      <c r="A79" s="35" t="s">
        <v>120</v>
      </c>
      <c r="B79" s="36" t="str">
        <f t="array" ref="B79">_xlfn.XLOOKUP($A79,TRIM(SUBSTITUTE('worker file'!$A$2:$A$406,_xlfn.UNICHAR(160)," ")),'worker file'!$L$2:$L$406,"Not found")</f>
        <v>US Biweekly</v>
      </c>
      <c r="C79" s="36" t="str">
        <f t="array" ref="C79">_xlfn.XLOOKUP($A79,TRIM(SUBSTITUTE('worker file'!$A$2:$A$406,_xlfn.UNICHAR(160)," ")),'worker file'!$D$2:$D$406,"Not found")</f>
        <v>TX</v>
      </c>
      <c r="D79" s="36" t="str">
        <f t="array" ref="D79">_xlfn.XLOOKUP($A79,TRIM(SUBSTITUTE('worker file'!$A$2:$A$406,_xlfn.UNICHAR(160)," ")),'worker file'!$Q$2:$Q$406,"Not found")</f>
        <v>Active</v>
      </c>
      <c r="E79" s="35" t="s">
        <v>626</v>
      </c>
      <c r="F79" t="str">
        <f t="shared" si="8"/>
        <v>Medical (Health) – Employee</v>
      </c>
      <c r="G79" t="str">
        <f t="shared" si="9"/>
        <v>Pre-tax Section 125 (exempt from FIT/SIT/FICA)</v>
      </c>
      <c r="H79" t="str">
        <f t="shared" si="10"/>
        <v>Flat</v>
      </c>
      <c r="I79" s="40" t="str">
        <f>IF($H79="Percent",_xlfn.XLOOKUP($E79,$A$5:$A$8,$F$5:$F$8,""),"")</f>
        <v/>
      </c>
      <c r="J79" s="38">
        <f t="shared" si="11"/>
        <v>200</v>
      </c>
      <c r="K79" t="str">
        <f t="shared" si="12"/>
        <v>Per pay period</v>
      </c>
      <c r="L79" t="str">
        <f t="shared" si="13"/>
        <v>Every pay period (ongoing)</v>
      </c>
      <c r="M79" s="39">
        <f t="array" ref="M79">MAX(_xlfn.XLOOKUP($A79,TRIM(SUBSTITUTE('worker file'!$A$2:$A$406,_xlfn.UNICHAR(160)," ")),'worker file'!$M$2:$M$406,0),_xlfn.XLOOKUP($B79,TRIM('pay group &amp; schedule'!$A$2:$A$6),'pay group &amp; schedule'!$D$2:$D$6,0))</f>
        <v>46299</v>
      </c>
      <c r="N79" s="39" t="str">
        <f t="array" ref="N79">_xlfn.LET(_xlpm.t,_xlfn.XLOOKUP($A79,TRIM(SUBSTITUTE('worker file'!$A$2:$A$406,_xlfn.UNICHAR(160)," ")),'worker file'!$N$2:$N$406,""),IF(N(_xlpm.t)=0,"",_xlpm.t))</f>
        <v/>
      </c>
    </row>
    <row r="80" spans="1:14" x14ac:dyDescent="0.2">
      <c r="A80" s="35" t="s">
        <v>120</v>
      </c>
      <c r="B80" s="36" t="str">
        <f t="array" ref="B80">_xlfn.XLOOKUP($A80,TRIM(SUBSTITUTE('worker file'!$A$2:$A$406,_xlfn.UNICHAR(160)," ")),'worker file'!$L$2:$L$406,"Not found")</f>
        <v>US Biweekly</v>
      </c>
      <c r="C80" s="36" t="str">
        <f t="array" ref="C80">_xlfn.XLOOKUP($A80,TRIM(SUBSTITUTE('worker file'!$A$2:$A$406,_xlfn.UNICHAR(160)," ")),'worker file'!$D$2:$D$406,"Not found")</f>
        <v>TX</v>
      </c>
      <c r="D80" s="36" t="str">
        <f t="array" ref="D80">_xlfn.XLOOKUP($A80,TRIM(SUBSTITUTE('worker file'!$A$2:$A$406,_xlfn.UNICHAR(160)," ")),'worker file'!$Q$2:$Q$406,"Not found")</f>
        <v>Active</v>
      </c>
      <c r="E80" s="35" t="s">
        <v>632</v>
      </c>
      <c r="F80" t="str">
        <f t="shared" si="8"/>
        <v>Dental – Employee</v>
      </c>
      <c r="G80" t="str">
        <f t="shared" si="9"/>
        <v>Pre-tax Section 125 (exempt from FIT/SIT/FICA)</v>
      </c>
      <c r="H80" t="str">
        <f t="shared" si="10"/>
        <v>Flat</v>
      </c>
      <c r="I80" s="40" t="str">
        <f>IF($H80="Percent",_xlfn.XLOOKUP($E80,$A$5:$A$8,$F$5:$F$8,""),"")</f>
        <v/>
      </c>
      <c r="J80" s="38">
        <f t="shared" si="11"/>
        <v>44</v>
      </c>
      <c r="K80" t="str">
        <f t="shared" si="12"/>
        <v>Per pay period</v>
      </c>
      <c r="L80" t="str">
        <f t="shared" si="13"/>
        <v>Every pay period (ongoing)</v>
      </c>
      <c r="M80" s="39">
        <f t="array" ref="M80">MAX(_xlfn.XLOOKUP($A80,TRIM(SUBSTITUTE('worker file'!$A$2:$A$406,_xlfn.UNICHAR(160)," ")),'worker file'!$M$2:$M$406,0),_xlfn.XLOOKUP($B80,TRIM('pay group &amp; schedule'!$A$2:$A$6),'pay group &amp; schedule'!$D$2:$D$6,0))</f>
        <v>46299</v>
      </c>
      <c r="N80" s="39" t="str">
        <f t="array" ref="N80">_xlfn.LET(_xlpm.t,_xlfn.XLOOKUP($A80,TRIM(SUBSTITUTE('worker file'!$A$2:$A$406,_xlfn.UNICHAR(160)," ")),'worker file'!$N$2:$N$406,""),IF(N(_xlpm.t)=0,"",_xlpm.t))</f>
        <v/>
      </c>
    </row>
    <row r="81" spans="1:15" x14ac:dyDescent="0.2">
      <c r="A81" s="35" t="s">
        <v>120</v>
      </c>
      <c r="B81" s="36" t="str">
        <f t="array" ref="B81">_xlfn.XLOOKUP($A81,TRIM(SUBSTITUTE('worker file'!$A$2:$A$406,_xlfn.UNICHAR(160)," ")),'worker file'!$L$2:$L$406,"Not found")</f>
        <v>US Biweekly</v>
      </c>
      <c r="C81" s="36" t="str">
        <f t="array" ref="C81">_xlfn.XLOOKUP($A81,TRIM(SUBSTITUTE('worker file'!$A$2:$A$406,_xlfn.UNICHAR(160)," ")),'worker file'!$D$2:$D$406,"Not found")</f>
        <v>TX</v>
      </c>
      <c r="D81" s="36" t="str">
        <f t="array" ref="D81">_xlfn.XLOOKUP($A81,TRIM(SUBSTITUTE('worker file'!$A$2:$A$406,_xlfn.UNICHAR(160)," ")),'worker file'!$Q$2:$Q$406,"Not found")</f>
        <v>Active</v>
      </c>
      <c r="E81" s="35" t="s">
        <v>634</v>
      </c>
      <c r="F81" t="str">
        <f t="shared" si="8"/>
        <v>Vision – Employee</v>
      </c>
      <c r="G81" t="str">
        <f t="shared" si="9"/>
        <v>Pre-tax Section 125 (exempt from FIT/SIT/FICA)</v>
      </c>
      <c r="H81" t="str">
        <f t="shared" si="10"/>
        <v>Flat</v>
      </c>
      <c r="I81" s="40" t="str">
        <f>IF($H81="Percent",_xlfn.XLOOKUP($E81,$A$5:$A$8,$F$5:$F$8,""),"")</f>
        <v/>
      </c>
      <c r="J81" s="38">
        <f t="shared" si="11"/>
        <v>30</v>
      </c>
      <c r="K81" t="str">
        <f t="shared" si="12"/>
        <v>Per pay period</v>
      </c>
      <c r="L81" t="str">
        <f t="shared" si="13"/>
        <v>Every pay period (ongoing)</v>
      </c>
      <c r="M81" s="39">
        <f t="array" ref="M81">MAX(_xlfn.XLOOKUP($A81,TRIM(SUBSTITUTE('worker file'!$A$2:$A$406,_xlfn.UNICHAR(160)," ")),'worker file'!$M$2:$M$406,0),_xlfn.XLOOKUP($B81,TRIM('pay group &amp; schedule'!$A$2:$A$6),'pay group &amp; schedule'!$D$2:$D$6,0))</f>
        <v>46299</v>
      </c>
      <c r="N81" s="39" t="str">
        <f t="array" ref="N81">_xlfn.LET(_xlpm.t,_xlfn.XLOOKUP($A81,TRIM(SUBSTITUTE('worker file'!$A$2:$A$406,_xlfn.UNICHAR(160)," ")),'worker file'!$N$2:$N$406,""),IF(N(_xlpm.t)=0,"",_xlpm.t))</f>
        <v/>
      </c>
    </row>
    <row r="82" spans="1:15" x14ac:dyDescent="0.2">
      <c r="A82" s="35" t="s">
        <v>122</v>
      </c>
      <c r="B82" s="36" t="str">
        <f t="array" ref="B82">_xlfn.XLOOKUP($A82,TRIM(SUBSTITUTE('worker file'!$A$2:$A$406,_xlfn.UNICHAR(160)," ")),'worker file'!$L$2:$L$406,"Not found")</f>
        <v>US Semi-monthly</v>
      </c>
      <c r="C82" s="36" t="str">
        <f t="array" ref="C82">_xlfn.XLOOKUP($A82,TRIM(SUBSTITUTE('worker file'!$A$2:$A$406,_xlfn.UNICHAR(160)," ")),'worker file'!$D$2:$D$406,"Not found")</f>
        <v>WA</v>
      </c>
      <c r="D82" s="36" t="str">
        <f t="array" ref="D82">_xlfn.XLOOKUP($A82,TRIM(SUBSTITUTE('worker file'!$A$2:$A$406,_xlfn.UNICHAR(160)," ")),'worker file'!$Q$2:$Q$406,"Not found")</f>
        <v>Active</v>
      </c>
      <c r="E82" s="35" t="s">
        <v>618</v>
      </c>
      <c r="F82" t="str">
        <f t="shared" si="8"/>
        <v>401(k) Employee Deferral</v>
      </c>
      <c r="G82" t="str">
        <f t="shared" si="9"/>
        <v>Pre-tax (exempt from FIT/SIT; subject to FICA)</v>
      </c>
      <c r="H82" t="str">
        <f t="shared" si="10"/>
        <v>Percent</v>
      </c>
      <c r="I82" s="37">
        <v>0.05</v>
      </c>
      <c r="J82" s="38" t="str">
        <f t="shared" si="11"/>
        <v/>
      </c>
      <c r="K82" t="str">
        <f t="shared" si="12"/>
        <v>Gross pay</v>
      </c>
      <c r="L82" t="str">
        <f t="shared" si="13"/>
        <v>Every pay period (ongoing)</v>
      </c>
      <c r="M82" s="39">
        <f t="array" ref="M82">MAX(_xlfn.XLOOKUP($A82,TRIM(SUBSTITUTE('worker file'!$A$2:$A$406,_xlfn.UNICHAR(160)," ")),'worker file'!$M$2:$M$406,0),_xlfn.XLOOKUP($B82,TRIM('pay group &amp; schedule'!$A$2:$A$6),'pay group &amp; schedule'!$D$2:$D$6,0))</f>
        <v>46311</v>
      </c>
      <c r="N82" s="39" t="str">
        <f t="array" ref="N82">_xlfn.LET(_xlpm.t,_xlfn.XLOOKUP($A82,TRIM(SUBSTITUTE('worker file'!$A$2:$A$406,_xlfn.UNICHAR(160)," ")),'worker file'!$N$2:$N$406,""),IF(N(_xlpm.t)=0,"",_xlpm.t))</f>
        <v/>
      </c>
    </row>
    <row r="83" spans="1:15" x14ac:dyDescent="0.2">
      <c r="A83" s="35" t="s">
        <v>122</v>
      </c>
      <c r="B83" s="36" t="str">
        <f t="array" ref="B83">_xlfn.XLOOKUP($A83,TRIM(SUBSTITUTE('worker file'!$A$2:$A$406,_xlfn.UNICHAR(160)," ")),'worker file'!$L$2:$L$406,"Not found")</f>
        <v>US Semi-monthly</v>
      </c>
      <c r="C83" s="36" t="str">
        <f t="array" ref="C83">_xlfn.XLOOKUP($A83,TRIM(SUBSTITUTE('worker file'!$A$2:$A$406,_xlfn.UNICHAR(160)," ")),'worker file'!$D$2:$D$406,"Not found")</f>
        <v>WA</v>
      </c>
      <c r="D83" s="36" t="str">
        <f t="array" ref="D83">_xlfn.XLOOKUP($A83,TRIM(SUBSTITUTE('worker file'!$A$2:$A$406,_xlfn.UNICHAR(160)," ")),'worker file'!$Q$2:$Q$406,"Not found")</f>
        <v>Active</v>
      </c>
      <c r="E83" s="35" t="s">
        <v>626</v>
      </c>
      <c r="F83" t="str">
        <f t="shared" si="8"/>
        <v>Medical (Health) – Employee</v>
      </c>
      <c r="G83" t="str">
        <f t="shared" si="9"/>
        <v>Pre-tax Section 125 (exempt from FIT/SIT/FICA)</v>
      </c>
      <c r="H83" t="str">
        <f t="shared" si="10"/>
        <v>Flat</v>
      </c>
      <c r="I83" s="40" t="str">
        <f>IF($H83="Percent",_xlfn.XLOOKUP($E83,$A$5:$A$8,$F$5:$F$8,""),"")</f>
        <v/>
      </c>
      <c r="J83" s="38">
        <f t="shared" si="11"/>
        <v>200</v>
      </c>
      <c r="K83" t="str">
        <f t="shared" si="12"/>
        <v>Per pay period</v>
      </c>
      <c r="L83" t="str">
        <f t="shared" si="13"/>
        <v>Every pay period (ongoing)</v>
      </c>
      <c r="M83" s="39">
        <f t="array" ref="M83">MAX(_xlfn.XLOOKUP($A83,TRIM(SUBSTITUTE('worker file'!$A$2:$A$406,_xlfn.UNICHAR(160)," ")),'worker file'!$M$2:$M$406,0),_xlfn.XLOOKUP($B83,TRIM('pay group &amp; schedule'!$A$2:$A$6),'pay group &amp; schedule'!$D$2:$D$6,0))</f>
        <v>46311</v>
      </c>
      <c r="N83" s="39" t="str">
        <f t="array" ref="N83">_xlfn.LET(_xlpm.t,_xlfn.XLOOKUP($A83,TRIM(SUBSTITUTE('worker file'!$A$2:$A$406,_xlfn.UNICHAR(160)," ")),'worker file'!$N$2:$N$406,""),IF(N(_xlpm.t)=0,"",_xlpm.t))</f>
        <v/>
      </c>
    </row>
    <row r="84" spans="1:15" x14ac:dyDescent="0.2">
      <c r="A84" s="35" t="s">
        <v>122</v>
      </c>
      <c r="B84" s="36" t="str">
        <f t="array" ref="B84">_xlfn.XLOOKUP($A84,TRIM(SUBSTITUTE('worker file'!$A$2:$A$406,_xlfn.UNICHAR(160)," ")),'worker file'!$L$2:$L$406,"Not found")</f>
        <v>US Semi-monthly</v>
      </c>
      <c r="C84" s="36" t="str">
        <f t="array" ref="C84">_xlfn.XLOOKUP($A84,TRIM(SUBSTITUTE('worker file'!$A$2:$A$406,_xlfn.UNICHAR(160)," ")),'worker file'!$D$2:$D$406,"Not found")</f>
        <v>WA</v>
      </c>
      <c r="D84" s="36" t="str">
        <f t="array" ref="D84">_xlfn.XLOOKUP($A84,TRIM(SUBSTITUTE('worker file'!$A$2:$A$406,_xlfn.UNICHAR(160)," ")),'worker file'!$Q$2:$Q$406,"Not found")</f>
        <v>Active</v>
      </c>
      <c r="E84" s="35" t="s">
        <v>632</v>
      </c>
      <c r="F84" t="str">
        <f t="shared" si="8"/>
        <v>Dental – Employee</v>
      </c>
      <c r="G84" t="str">
        <f t="shared" si="9"/>
        <v>Pre-tax Section 125 (exempt from FIT/SIT/FICA)</v>
      </c>
      <c r="H84" t="str">
        <f t="shared" si="10"/>
        <v>Flat</v>
      </c>
      <c r="I84" s="40" t="str">
        <f>IF($H84="Percent",_xlfn.XLOOKUP($E84,$A$5:$A$8,$F$5:$F$8,""),"")</f>
        <v/>
      </c>
      <c r="J84" s="38">
        <f t="shared" si="11"/>
        <v>44</v>
      </c>
      <c r="K84" t="str">
        <f t="shared" si="12"/>
        <v>Per pay period</v>
      </c>
      <c r="L84" t="str">
        <f t="shared" si="13"/>
        <v>Every pay period (ongoing)</v>
      </c>
      <c r="M84" s="39">
        <f t="array" ref="M84">MAX(_xlfn.XLOOKUP($A84,TRIM(SUBSTITUTE('worker file'!$A$2:$A$406,_xlfn.UNICHAR(160)," ")),'worker file'!$M$2:$M$406,0),_xlfn.XLOOKUP($B84,TRIM('pay group &amp; schedule'!$A$2:$A$6),'pay group &amp; schedule'!$D$2:$D$6,0))</f>
        <v>46311</v>
      </c>
      <c r="N84" s="39" t="str">
        <f t="array" ref="N84">_xlfn.LET(_xlpm.t,_xlfn.XLOOKUP($A84,TRIM(SUBSTITUTE('worker file'!$A$2:$A$406,_xlfn.UNICHAR(160)," ")),'worker file'!$N$2:$N$406,""),IF(N(_xlpm.t)=0,"",_xlpm.t))</f>
        <v/>
      </c>
    </row>
    <row r="85" spans="1:15" x14ac:dyDescent="0.2">
      <c r="A85" s="35" t="s">
        <v>122</v>
      </c>
      <c r="B85" s="36" t="str">
        <f t="array" ref="B85">_xlfn.XLOOKUP($A85,TRIM(SUBSTITUTE('worker file'!$A$2:$A$406,_xlfn.UNICHAR(160)," ")),'worker file'!$L$2:$L$406,"Not found")</f>
        <v>US Semi-monthly</v>
      </c>
      <c r="C85" s="36" t="str">
        <f t="array" ref="C85">_xlfn.XLOOKUP($A85,TRIM(SUBSTITUTE('worker file'!$A$2:$A$406,_xlfn.UNICHAR(160)," ")),'worker file'!$D$2:$D$406,"Not found")</f>
        <v>WA</v>
      </c>
      <c r="D85" s="36" t="str">
        <f t="array" ref="D85">_xlfn.XLOOKUP($A85,TRIM(SUBSTITUTE('worker file'!$A$2:$A$406,_xlfn.UNICHAR(160)," ")),'worker file'!$Q$2:$Q$406,"Not found")</f>
        <v>Active</v>
      </c>
      <c r="E85" s="35" t="s">
        <v>634</v>
      </c>
      <c r="F85" t="str">
        <f t="shared" si="8"/>
        <v>Vision – Employee</v>
      </c>
      <c r="G85" t="str">
        <f t="shared" si="9"/>
        <v>Pre-tax Section 125 (exempt from FIT/SIT/FICA)</v>
      </c>
      <c r="H85" t="str">
        <f t="shared" si="10"/>
        <v>Flat</v>
      </c>
      <c r="I85" s="40" t="str">
        <f>IF($H85="Percent",_xlfn.XLOOKUP($E85,$A$5:$A$8,$F$5:$F$8,""),"")</f>
        <v/>
      </c>
      <c r="J85" s="38">
        <f t="shared" si="11"/>
        <v>30</v>
      </c>
      <c r="K85" t="str">
        <f t="shared" si="12"/>
        <v>Per pay period</v>
      </c>
      <c r="L85" t="str">
        <f t="shared" si="13"/>
        <v>Every pay period (ongoing)</v>
      </c>
      <c r="M85" s="39">
        <f t="array" ref="M85">MAX(_xlfn.XLOOKUP($A85,TRIM(SUBSTITUTE('worker file'!$A$2:$A$406,_xlfn.UNICHAR(160)," ")),'worker file'!$M$2:$M$406,0),_xlfn.XLOOKUP($B85,TRIM('pay group &amp; schedule'!$A$2:$A$6),'pay group &amp; schedule'!$D$2:$D$6,0))</f>
        <v>46311</v>
      </c>
      <c r="N85" s="39" t="str">
        <f t="array" ref="N85">_xlfn.LET(_xlpm.t,_xlfn.XLOOKUP($A85,TRIM(SUBSTITUTE('worker file'!$A$2:$A$406,_xlfn.UNICHAR(160)," ")),'worker file'!$N$2:$N$406,""),IF(N(_xlpm.t)=0,"",_xlpm.t))</f>
        <v/>
      </c>
    </row>
    <row r="86" spans="1:15" x14ac:dyDescent="0.2">
      <c r="A86" s="35" t="s">
        <v>123</v>
      </c>
      <c r="B86" s="36" t="str">
        <f t="array" ref="B86">_xlfn.XLOOKUP($A86,TRIM(SUBSTITUTE('worker file'!$A$2:$A$406,_xlfn.UNICHAR(160)," ")),'worker file'!$L$2:$L$406,"Not found")</f>
        <v>US Semi-monthly</v>
      </c>
      <c r="C86" s="36" t="str">
        <f t="array" ref="C86">_xlfn.XLOOKUP($A86,TRIM(SUBSTITUTE('worker file'!$A$2:$A$406,_xlfn.UNICHAR(160)," ")),'worker file'!$D$2:$D$406,"Not found")</f>
        <v>WA</v>
      </c>
      <c r="D86" s="36" t="str">
        <f t="array" ref="D86">_xlfn.XLOOKUP($A86,TRIM(SUBSTITUTE('worker file'!$A$2:$A$406,_xlfn.UNICHAR(160)," ")),'worker file'!$Q$2:$Q$406,"Not found")</f>
        <v>Termination pending</v>
      </c>
      <c r="E86" s="35" t="s">
        <v>618</v>
      </c>
      <c r="F86" t="str">
        <f t="shared" si="8"/>
        <v>401(k) Employee Deferral</v>
      </c>
      <c r="G86" t="str">
        <f t="shared" si="9"/>
        <v>Pre-tax (exempt from FIT/SIT; subject to FICA)</v>
      </c>
      <c r="H86" t="str">
        <f t="shared" si="10"/>
        <v>Percent</v>
      </c>
      <c r="I86" s="37">
        <v>0.02</v>
      </c>
      <c r="J86" s="38" t="str">
        <f t="shared" si="11"/>
        <v/>
      </c>
      <c r="K86" t="str">
        <f t="shared" si="12"/>
        <v>Gross pay</v>
      </c>
      <c r="L86" t="str">
        <f t="shared" si="13"/>
        <v>Every pay period (ongoing)</v>
      </c>
      <c r="M86" s="39">
        <f t="array" ref="M86">MAX(_xlfn.XLOOKUP($A86,TRIM(SUBSTITUTE('worker file'!$A$2:$A$406,_xlfn.UNICHAR(160)," ")),'worker file'!$M$2:$M$406,0),_xlfn.XLOOKUP($B86,TRIM('pay group &amp; schedule'!$A$2:$A$6),'pay group &amp; schedule'!$D$2:$D$6,0))</f>
        <v>46311</v>
      </c>
      <c r="N86" s="39">
        <f t="array" ref="N86">_xlfn.LET(_xlpm.t,_xlfn.XLOOKUP($A86,TRIM(SUBSTITUTE('worker file'!$A$2:$A$406,_xlfn.UNICHAR(160)," ")),'worker file'!$N$2:$N$406,""),IF(N(_xlpm.t)=0,"",_xlpm.t))</f>
        <v>46318</v>
      </c>
      <c r="O86" t="s">
        <v>644</v>
      </c>
    </row>
    <row r="87" spans="1:15" x14ac:dyDescent="0.2">
      <c r="A87" s="35" t="s">
        <v>123</v>
      </c>
      <c r="B87" s="36" t="str">
        <f t="array" ref="B87">_xlfn.XLOOKUP($A87,TRIM(SUBSTITUTE('worker file'!$A$2:$A$406,_xlfn.UNICHAR(160)," ")),'worker file'!$L$2:$L$406,"Not found")</f>
        <v>US Semi-monthly</v>
      </c>
      <c r="C87" s="36" t="str">
        <f t="array" ref="C87">_xlfn.XLOOKUP($A87,TRIM(SUBSTITUTE('worker file'!$A$2:$A$406,_xlfn.UNICHAR(160)," ")),'worker file'!$D$2:$D$406,"Not found")</f>
        <v>WA</v>
      </c>
      <c r="D87" s="36" t="str">
        <f t="array" ref="D87">_xlfn.XLOOKUP($A87,TRIM(SUBSTITUTE('worker file'!$A$2:$A$406,_xlfn.UNICHAR(160)," ")),'worker file'!$Q$2:$Q$406,"Not found")</f>
        <v>Termination pending</v>
      </c>
      <c r="E87" s="35" t="s">
        <v>626</v>
      </c>
      <c r="F87" t="str">
        <f t="shared" si="8"/>
        <v>Medical (Health) – Employee</v>
      </c>
      <c r="G87" t="str">
        <f t="shared" si="9"/>
        <v>Pre-tax Section 125 (exempt from FIT/SIT/FICA)</v>
      </c>
      <c r="H87" t="str">
        <f t="shared" si="10"/>
        <v>Flat</v>
      </c>
      <c r="I87" s="40" t="str">
        <f>IF($H87="Percent",_xlfn.XLOOKUP($E87,$A$5:$A$8,$F$5:$F$8,""),"")</f>
        <v/>
      </c>
      <c r="J87" s="38">
        <f t="shared" si="11"/>
        <v>200</v>
      </c>
      <c r="K87" t="str">
        <f t="shared" si="12"/>
        <v>Per pay period</v>
      </c>
      <c r="L87" t="str">
        <f t="shared" si="13"/>
        <v>Every pay period (ongoing)</v>
      </c>
      <c r="M87" s="39">
        <f t="array" ref="M87">MAX(_xlfn.XLOOKUP($A87,TRIM(SUBSTITUTE('worker file'!$A$2:$A$406,_xlfn.UNICHAR(160)," ")),'worker file'!$M$2:$M$406,0),_xlfn.XLOOKUP($B87,TRIM('pay group &amp; schedule'!$A$2:$A$6),'pay group &amp; schedule'!$D$2:$D$6,0))</f>
        <v>46311</v>
      </c>
      <c r="N87" s="39">
        <f t="array" ref="N87">_xlfn.LET(_xlpm.t,_xlfn.XLOOKUP($A87,TRIM(SUBSTITUTE('worker file'!$A$2:$A$406,_xlfn.UNICHAR(160)," ")),'worker file'!$N$2:$N$406,""),IF(N(_xlpm.t)=0,"",_xlpm.t))</f>
        <v>46318</v>
      </c>
      <c r="O87" t="s">
        <v>644</v>
      </c>
    </row>
    <row r="88" spans="1:15" x14ac:dyDescent="0.2">
      <c r="A88" s="35" t="s">
        <v>123</v>
      </c>
      <c r="B88" s="36" t="str">
        <f t="array" ref="B88">_xlfn.XLOOKUP($A88,TRIM(SUBSTITUTE('worker file'!$A$2:$A$406,_xlfn.UNICHAR(160)," ")),'worker file'!$L$2:$L$406,"Not found")</f>
        <v>US Semi-monthly</v>
      </c>
      <c r="C88" s="36" t="str">
        <f t="array" ref="C88">_xlfn.XLOOKUP($A88,TRIM(SUBSTITUTE('worker file'!$A$2:$A$406,_xlfn.UNICHAR(160)," ")),'worker file'!$D$2:$D$406,"Not found")</f>
        <v>WA</v>
      </c>
      <c r="D88" s="36" t="str">
        <f t="array" ref="D88">_xlfn.XLOOKUP($A88,TRIM(SUBSTITUTE('worker file'!$A$2:$A$406,_xlfn.UNICHAR(160)," ")),'worker file'!$Q$2:$Q$406,"Not found")</f>
        <v>Termination pending</v>
      </c>
      <c r="E88" s="35" t="s">
        <v>632</v>
      </c>
      <c r="F88" t="str">
        <f t="shared" si="8"/>
        <v>Dental – Employee</v>
      </c>
      <c r="G88" t="str">
        <f t="shared" si="9"/>
        <v>Pre-tax Section 125 (exempt from FIT/SIT/FICA)</v>
      </c>
      <c r="H88" t="str">
        <f t="shared" si="10"/>
        <v>Flat</v>
      </c>
      <c r="I88" s="40" t="str">
        <f>IF($H88="Percent",_xlfn.XLOOKUP($E88,$A$5:$A$8,$F$5:$F$8,""),"")</f>
        <v/>
      </c>
      <c r="J88" s="38">
        <f t="shared" si="11"/>
        <v>44</v>
      </c>
      <c r="K88" t="str">
        <f t="shared" si="12"/>
        <v>Per pay period</v>
      </c>
      <c r="L88" t="str">
        <f t="shared" si="13"/>
        <v>Every pay period (ongoing)</v>
      </c>
      <c r="M88" s="39">
        <f t="array" ref="M88">MAX(_xlfn.XLOOKUP($A88,TRIM(SUBSTITUTE('worker file'!$A$2:$A$406,_xlfn.UNICHAR(160)," ")),'worker file'!$M$2:$M$406,0),_xlfn.XLOOKUP($B88,TRIM('pay group &amp; schedule'!$A$2:$A$6),'pay group &amp; schedule'!$D$2:$D$6,0))</f>
        <v>46311</v>
      </c>
      <c r="N88" s="39">
        <f t="array" ref="N88">_xlfn.LET(_xlpm.t,_xlfn.XLOOKUP($A88,TRIM(SUBSTITUTE('worker file'!$A$2:$A$406,_xlfn.UNICHAR(160)," ")),'worker file'!$N$2:$N$406,""),IF(N(_xlpm.t)=0,"",_xlpm.t))</f>
        <v>46318</v>
      </c>
      <c r="O88" t="s">
        <v>644</v>
      </c>
    </row>
    <row r="89" spans="1:15" x14ac:dyDescent="0.2">
      <c r="A89" s="35" t="s">
        <v>123</v>
      </c>
      <c r="B89" s="36" t="str">
        <f t="array" ref="B89">_xlfn.XLOOKUP($A89,TRIM(SUBSTITUTE('worker file'!$A$2:$A$406,_xlfn.UNICHAR(160)," ")),'worker file'!$L$2:$L$406,"Not found")</f>
        <v>US Semi-monthly</v>
      </c>
      <c r="C89" s="36" t="str">
        <f t="array" ref="C89">_xlfn.XLOOKUP($A89,TRIM(SUBSTITUTE('worker file'!$A$2:$A$406,_xlfn.UNICHAR(160)," ")),'worker file'!$D$2:$D$406,"Not found")</f>
        <v>WA</v>
      </c>
      <c r="D89" s="36" t="str">
        <f t="array" ref="D89">_xlfn.XLOOKUP($A89,TRIM(SUBSTITUTE('worker file'!$A$2:$A$406,_xlfn.UNICHAR(160)," ")),'worker file'!$Q$2:$Q$406,"Not found")</f>
        <v>Termination pending</v>
      </c>
      <c r="E89" s="35" t="s">
        <v>634</v>
      </c>
      <c r="F89" t="str">
        <f t="shared" si="8"/>
        <v>Vision – Employee</v>
      </c>
      <c r="G89" t="str">
        <f t="shared" si="9"/>
        <v>Pre-tax Section 125 (exempt from FIT/SIT/FICA)</v>
      </c>
      <c r="H89" t="str">
        <f t="shared" si="10"/>
        <v>Flat</v>
      </c>
      <c r="I89" s="40" t="str">
        <f>IF($H89="Percent",_xlfn.XLOOKUP($E89,$A$5:$A$8,$F$5:$F$8,""),"")</f>
        <v/>
      </c>
      <c r="J89" s="38">
        <f t="shared" si="11"/>
        <v>30</v>
      </c>
      <c r="K89" t="str">
        <f t="shared" si="12"/>
        <v>Per pay period</v>
      </c>
      <c r="L89" t="str">
        <f t="shared" si="13"/>
        <v>Every pay period (ongoing)</v>
      </c>
      <c r="M89" s="39">
        <f t="array" ref="M89">MAX(_xlfn.XLOOKUP($A89,TRIM(SUBSTITUTE('worker file'!$A$2:$A$406,_xlfn.UNICHAR(160)," ")),'worker file'!$M$2:$M$406,0),_xlfn.XLOOKUP($B89,TRIM('pay group &amp; schedule'!$A$2:$A$6),'pay group &amp; schedule'!$D$2:$D$6,0))</f>
        <v>46311</v>
      </c>
      <c r="N89" s="39">
        <f t="array" ref="N89">_xlfn.LET(_xlpm.t,_xlfn.XLOOKUP($A89,TRIM(SUBSTITUTE('worker file'!$A$2:$A$406,_xlfn.UNICHAR(160)," ")),'worker file'!$N$2:$N$406,""),IF(N(_xlpm.t)=0,"",_xlpm.t))</f>
        <v>46318</v>
      </c>
      <c r="O89" t="s">
        <v>644</v>
      </c>
    </row>
    <row r="90" spans="1:15" x14ac:dyDescent="0.2">
      <c r="A90" s="35" t="s">
        <v>126</v>
      </c>
      <c r="B90" s="36" t="str">
        <f t="array" ref="B90">_xlfn.XLOOKUP($A90,TRIM(SUBSTITUTE('worker file'!$A$2:$A$406,_xlfn.UNICHAR(160)," ")),'worker file'!$L$2:$L$406,"Not found")</f>
        <v>US Semi-monthly</v>
      </c>
      <c r="C90" s="36" t="str">
        <f t="array" ref="C90">_xlfn.XLOOKUP($A90,TRIM(SUBSTITUTE('worker file'!$A$2:$A$406,_xlfn.UNICHAR(160)," ")),'worker file'!$D$2:$D$406,"Not found")</f>
        <v>NY</v>
      </c>
      <c r="D90" s="36" t="str">
        <f t="array" ref="D90">_xlfn.XLOOKUP($A90,TRIM(SUBSTITUTE('worker file'!$A$2:$A$406,_xlfn.UNICHAR(160)," ")),'worker file'!$Q$2:$Q$406,"Not found")</f>
        <v>Active</v>
      </c>
      <c r="E90" s="35" t="s">
        <v>618</v>
      </c>
      <c r="F90" t="str">
        <f t="shared" si="8"/>
        <v>401(k) Employee Deferral</v>
      </c>
      <c r="G90" t="str">
        <f t="shared" si="9"/>
        <v>Pre-tax (exempt from FIT/SIT; subject to FICA)</v>
      </c>
      <c r="H90" t="str">
        <f t="shared" si="10"/>
        <v>Percent</v>
      </c>
      <c r="I90" s="37">
        <v>7.0000000000000007E-2</v>
      </c>
      <c r="J90" s="38" t="str">
        <f t="shared" si="11"/>
        <v/>
      </c>
      <c r="K90" t="str">
        <f t="shared" si="12"/>
        <v>Gross pay</v>
      </c>
      <c r="L90" t="str">
        <f t="shared" si="13"/>
        <v>Every pay period (ongoing)</v>
      </c>
      <c r="M90" s="39">
        <f t="array" ref="M90">MAX(_xlfn.XLOOKUP($A90,TRIM(SUBSTITUTE('worker file'!$A$2:$A$406,_xlfn.UNICHAR(160)," ")),'worker file'!$M$2:$M$406,0),_xlfn.XLOOKUP($B90,TRIM('pay group &amp; schedule'!$A$2:$A$6),'pay group &amp; schedule'!$D$2:$D$6,0))</f>
        <v>46311</v>
      </c>
      <c r="N90" s="39" t="str">
        <f t="array" ref="N90">_xlfn.LET(_xlpm.t,_xlfn.XLOOKUP($A90,TRIM(SUBSTITUTE('worker file'!$A$2:$A$406,_xlfn.UNICHAR(160)," ")),'worker file'!$N$2:$N$406,""),IF(N(_xlpm.t)=0,"",_xlpm.t))</f>
        <v/>
      </c>
    </row>
    <row r="91" spans="1:15" x14ac:dyDescent="0.2">
      <c r="A91" s="35" t="s">
        <v>126</v>
      </c>
      <c r="B91" s="36" t="str">
        <f t="array" ref="B91">_xlfn.XLOOKUP($A91,TRIM(SUBSTITUTE('worker file'!$A$2:$A$406,_xlfn.UNICHAR(160)," ")),'worker file'!$L$2:$L$406,"Not found")</f>
        <v>US Semi-monthly</v>
      </c>
      <c r="C91" s="36" t="str">
        <f t="array" ref="C91">_xlfn.XLOOKUP($A91,TRIM(SUBSTITUTE('worker file'!$A$2:$A$406,_xlfn.UNICHAR(160)," ")),'worker file'!$D$2:$D$406,"Not found")</f>
        <v>NY</v>
      </c>
      <c r="D91" s="36" t="str">
        <f t="array" ref="D91">_xlfn.XLOOKUP($A91,TRIM(SUBSTITUTE('worker file'!$A$2:$A$406,_xlfn.UNICHAR(160)," ")),'worker file'!$Q$2:$Q$406,"Not found")</f>
        <v>Active</v>
      </c>
      <c r="E91" s="35" t="s">
        <v>626</v>
      </c>
      <c r="F91" t="str">
        <f t="shared" si="8"/>
        <v>Medical (Health) – Employee</v>
      </c>
      <c r="G91" t="str">
        <f t="shared" si="9"/>
        <v>Pre-tax Section 125 (exempt from FIT/SIT/FICA)</v>
      </c>
      <c r="H91" t="str">
        <f t="shared" si="10"/>
        <v>Flat</v>
      </c>
      <c r="I91" s="40" t="str">
        <f t="shared" ref="I91:I96" si="14">IF($H91="Percent",_xlfn.XLOOKUP($E91,$A$5:$A$8,$F$5:$F$8,""),"")</f>
        <v/>
      </c>
      <c r="J91" s="38">
        <f t="shared" si="11"/>
        <v>200</v>
      </c>
      <c r="K91" t="str">
        <f t="shared" si="12"/>
        <v>Per pay period</v>
      </c>
      <c r="L91" t="str">
        <f t="shared" si="13"/>
        <v>Every pay period (ongoing)</v>
      </c>
      <c r="M91" s="39">
        <f t="array" ref="M91">MAX(_xlfn.XLOOKUP($A91,TRIM(SUBSTITUTE('worker file'!$A$2:$A$406,_xlfn.UNICHAR(160)," ")),'worker file'!$M$2:$M$406,0),_xlfn.XLOOKUP($B91,TRIM('pay group &amp; schedule'!$A$2:$A$6),'pay group &amp; schedule'!$D$2:$D$6,0))</f>
        <v>46311</v>
      </c>
      <c r="N91" s="39" t="str">
        <f t="array" ref="N91">_xlfn.LET(_xlpm.t,_xlfn.XLOOKUP($A91,TRIM(SUBSTITUTE('worker file'!$A$2:$A$406,_xlfn.UNICHAR(160)," ")),'worker file'!$N$2:$N$406,""),IF(N(_xlpm.t)=0,"",_xlpm.t))</f>
        <v/>
      </c>
    </row>
    <row r="92" spans="1:15" x14ac:dyDescent="0.2">
      <c r="A92" s="35" t="s">
        <v>126</v>
      </c>
      <c r="B92" s="36" t="str">
        <f t="array" ref="B92">_xlfn.XLOOKUP($A92,TRIM(SUBSTITUTE('worker file'!$A$2:$A$406,_xlfn.UNICHAR(160)," ")),'worker file'!$L$2:$L$406,"Not found")</f>
        <v>US Semi-monthly</v>
      </c>
      <c r="C92" s="36" t="str">
        <f t="array" ref="C92">_xlfn.XLOOKUP($A92,TRIM(SUBSTITUTE('worker file'!$A$2:$A$406,_xlfn.UNICHAR(160)," ")),'worker file'!$D$2:$D$406,"Not found")</f>
        <v>NY</v>
      </c>
      <c r="D92" s="36" t="str">
        <f t="array" ref="D92">_xlfn.XLOOKUP($A92,TRIM(SUBSTITUTE('worker file'!$A$2:$A$406,_xlfn.UNICHAR(160)," ")),'worker file'!$Q$2:$Q$406,"Not found")</f>
        <v>Active</v>
      </c>
      <c r="E92" s="35" t="s">
        <v>632</v>
      </c>
      <c r="F92" t="str">
        <f t="shared" si="8"/>
        <v>Dental – Employee</v>
      </c>
      <c r="G92" t="str">
        <f t="shared" si="9"/>
        <v>Pre-tax Section 125 (exempt from FIT/SIT/FICA)</v>
      </c>
      <c r="H92" t="str">
        <f t="shared" si="10"/>
        <v>Flat</v>
      </c>
      <c r="I92" s="40" t="str">
        <f t="shared" si="14"/>
        <v/>
      </c>
      <c r="J92" s="38">
        <f t="shared" si="11"/>
        <v>44</v>
      </c>
      <c r="K92" t="str">
        <f t="shared" si="12"/>
        <v>Per pay period</v>
      </c>
      <c r="L92" t="str">
        <f t="shared" si="13"/>
        <v>Every pay period (ongoing)</v>
      </c>
      <c r="M92" s="39">
        <f t="array" ref="M92">MAX(_xlfn.XLOOKUP($A92,TRIM(SUBSTITUTE('worker file'!$A$2:$A$406,_xlfn.UNICHAR(160)," ")),'worker file'!$M$2:$M$406,0),_xlfn.XLOOKUP($B92,TRIM('pay group &amp; schedule'!$A$2:$A$6),'pay group &amp; schedule'!$D$2:$D$6,0))</f>
        <v>46311</v>
      </c>
      <c r="N92" s="39" t="str">
        <f t="array" ref="N92">_xlfn.LET(_xlpm.t,_xlfn.XLOOKUP($A92,TRIM(SUBSTITUTE('worker file'!$A$2:$A$406,_xlfn.UNICHAR(160)," ")),'worker file'!$N$2:$N$406,""),IF(N(_xlpm.t)=0,"",_xlpm.t))</f>
        <v/>
      </c>
    </row>
    <row r="93" spans="1:15" x14ac:dyDescent="0.2">
      <c r="A93" s="35" t="s">
        <v>126</v>
      </c>
      <c r="B93" s="36" t="str">
        <f t="array" ref="B93">_xlfn.XLOOKUP($A93,TRIM(SUBSTITUTE('worker file'!$A$2:$A$406,_xlfn.UNICHAR(160)," ")),'worker file'!$L$2:$L$406,"Not found")</f>
        <v>US Semi-monthly</v>
      </c>
      <c r="C93" s="36" t="str">
        <f t="array" ref="C93">_xlfn.XLOOKUP($A93,TRIM(SUBSTITUTE('worker file'!$A$2:$A$406,_xlfn.UNICHAR(160)," ")),'worker file'!$D$2:$D$406,"Not found")</f>
        <v>NY</v>
      </c>
      <c r="D93" s="36" t="str">
        <f t="array" ref="D93">_xlfn.XLOOKUP($A93,TRIM(SUBSTITUTE('worker file'!$A$2:$A$406,_xlfn.UNICHAR(160)," ")),'worker file'!$Q$2:$Q$406,"Not found")</f>
        <v>Active</v>
      </c>
      <c r="E93" s="35" t="s">
        <v>634</v>
      </c>
      <c r="F93" t="str">
        <f t="shared" si="8"/>
        <v>Vision – Employee</v>
      </c>
      <c r="G93" t="str">
        <f t="shared" si="9"/>
        <v>Pre-tax Section 125 (exempt from FIT/SIT/FICA)</v>
      </c>
      <c r="H93" t="str">
        <f t="shared" si="10"/>
        <v>Flat</v>
      </c>
      <c r="I93" s="40" t="str">
        <f t="shared" si="14"/>
        <v/>
      </c>
      <c r="J93" s="38">
        <f t="shared" si="11"/>
        <v>30</v>
      </c>
      <c r="K93" t="str">
        <f t="shared" si="12"/>
        <v>Per pay period</v>
      </c>
      <c r="L93" t="str">
        <f t="shared" si="13"/>
        <v>Every pay period (ongoing)</v>
      </c>
      <c r="M93" s="39">
        <f t="array" ref="M93">MAX(_xlfn.XLOOKUP($A93,TRIM(SUBSTITUTE('worker file'!$A$2:$A$406,_xlfn.UNICHAR(160)," ")),'worker file'!$M$2:$M$406,0),_xlfn.XLOOKUP($B93,TRIM('pay group &amp; schedule'!$A$2:$A$6),'pay group &amp; schedule'!$D$2:$D$6,0))</f>
        <v>46311</v>
      </c>
      <c r="N93" s="39" t="str">
        <f t="array" ref="N93">_xlfn.LET(_xlpm.t,_xlfn.XLOOKUP($A93,TRIM(SUBSTITUTE('worker file'!$A$2:$A$406,_xlfn.UNICHAR(160)," ")),'worker file'!$N$2:$N$406,""),IF(N(_xlpm.t)=0,"",_xlpm.t))</f>
        <v/>
      </c>
    </row>
    <row r="94" spans="1:15" x14ac:dyDescent="0.2">
      <c r="A94" s="35" t="s">
        <v>128</v>
      </c>
      <c r="B94" s="36" t="str">
        <f t="array" ref="B94">_xlfn.XLOOKUP($A94,TRIM(SUBSTITUTE('worker file'!$A$2:$A$406,_xlfn.UNICHAR(160)," ")),'worker file'!$L$2:$L$406,"Not found")</f>
        <v>US Semi-monthly</v>
      </c>
      <c r="C94" s="36" t="str">
        <f t="array" ref="C94">_xlfn.XLOOKUP($A94,TRIM(SUBSTITUTE('worker file'!$A$2:$A$406,_xlfn.UNICHAR(160)," ")),'worker file'!$D$2:$D$406,"Not found")</f>
        <v>CA</v>
      </c>
      <c r="D94" s="36" t="str">
        <f t="array" ref="D94">_xlfn.XLOOKUP($A94,TRIM(SUBSTITUTE('worker file'!$A$2:$A$406,_xlfn.UNICHAR(160)," ")),'worker file'!$Q$2:$Q$406,"Not found")</f>
        <v>Active</v>
      </c>
      <c r="E94" s="35" t="s">
        <v>626</v>
      </c>
      <c r="F94" t="str">
        <f t="shared" si="8"/>
        <v>Medical (Health) – Employee</v>
      </c>
      <c r="G94" t="str">
        <f t="shared" si="9"/>
        <v>Pre-tax Section 125 (exempt from FIT/SIT/FICA)</v>
      </c>
      <c r="H94" t="str">
        <f t="shared" si="10"/>
        <v>Flat</v>
      </c>
      <c r="I94" s="40" t="str">
        <f t="shared" si="14"/>
        <v/>
      </c>
      <c r="J94" s="38">
        <f t="shared" si="11"/>
        <v>200</v>
      </c>
      <c r="K94" t="str">
        <f t="shared" si="12"/>
        <v>Per pay period</v>
      </c>
      <c r="L94" t="str">
        <f t="shared" si="13"/>
        <v>Every pay period (ongoing)</v>
      </c>
      <c r="M94" s="39">
        <f t="array" ref="M94">MAX(_xlfn.XLOOKUP($A94,TRIM(SUBSTITUTE('worker file'!$A$2:$A$406,_xlfn.UNICHAR(160)," ")),'worker file'!$M$2:$M$406,0),_xlfn.XLOOKUP($B94,TRIM('pay group &amp; schedule'!$A$2:$A$6),'pay group &amp; schedule'!$D$2:$D$6,0))</f>
        <v>46311</v>
      </c>
      <c r="N94" s="39" t="str">
        <f t="array" ref="N94">_xlfn.LET(_xlpm.t,_xlfn.XLOOKUP($A94,TRIM(SUBSTITUTE('worker file'!$A$2:$A$406,_xlfn.UNICHAR(160)," ")),'worker file'!$N$2:$N$406,""),IF(N(_xlpm.t)=0,"",_xlpm.t))</f>
        <v/>
      </c>
    </row>
    <row r="95" spans="1:15" x14ac:dyDescent="0.2">
      <c r="A95" s="35" t="s">
        <v>128</v>
      </c>
      <c r="B95" s="36" t="str">
        <f t="array" ref="B95">_xlfn.XLOOKUP($A95,TRIM(SUBSTITUTE('worker file'!$A$2:$A$406,_xlfn.UNICHAR(160)," ")),'worker file'!$L$2:$L$406,"Not found")</f>
        <v>US Semi-monthly</v>
      </c>
      <c r="C95" s="36" t="str">
        <f t="array" ref="C95">_xlfn.XLOOKUP($A95,TRIM(SUBSTITUTE('worker file'!$A$2:$A$406,_xlfn.UNICHAR(160)," ")),'worker file'!$D$2:$D$406,"Not found")</f>
        <v>CA</v>
      </c>
      <c r="D95" s="36" t="str">
        <f t="array" ref="D95">_xlfn.XLOOKUP($A95,TRIM(SUBSTITUTE('worker file'!$A$2:$A$406,_xlfn.UNICHAR(160)," ")),'worker file'!$Q$2:$Q$406,"Not found")</f>
        <v>Active</v>
      </c>
      <c r="E95" s="35" t="s">
        <v>632</v>
      </c>
      <c r="F95" t="str">
        <f t="shared" si="8"/>
        <v>Dental – Employee</v>
      </c>
      <c r="G95" t="str">
        <f t="shared" si="9"/>
        <v>Pre-tax Section 125 (exempt from FIT/SIT/FICA)</v>
      </c>
      <c r="H95" t="str">
        <f t="shared" si="10"/>
        <v>Flat</v>
      </c>
      <c r="I95" s="40" t="str">
        <f t="shared" si="14"/>
        <v/>
      </c>
      <c r="J95" s="38">
        <f t="shared" si="11"/>
        <v>44</v>
      </c>
      <c r="K95" t="str">
        <f t="shared" si="12"/>
        <v>Per pay period</v>
      </c>
      <c r="L95" t="str">
        <f t="shared" si="13"/>
        <v>Every pay period (ongoing)</v>
      </c>
      <c r="M95" s="39">
        <f t="array" ref="M95">MAX(_xlfn.XLOOKUP($A95,TRIM(SUBSTITUTE('worker file'!$A$2:$A$406,_xlfn.UNICHAR(160)," ")),'worker file'!$M$2:$M$406,0),_xlfn.XLOOKUP($B95,TRIM('pay group &amp; schedule'!$A$2:$A$6),'pay group &amp; schedule'!$D$2:$D$6,0))</f>
        <v>46311</v>
      </c>
      <c r="N95" s="39" t="str">
        <f t="array" ref="N95">_xlfn.LET(_xlpm.t,_xlfn.XLOOKUP($A95,TRIM(SUBSTITUTE('worker file'!$A$2:$A$406,_xlfn.UNICHAR(160)," ")),'worker file'!$N$2:$N$406,""),IF(N(_xlpm.t)=0,"",_xlpm.t))</f>
        <v/>
      </c>
    </row>
    <row r="96" spans="1:15" x14ac:dyDescent="0.2">
      <c r="A96" s="35" t="s">
        <v>128</v>
      </c>
      <c r="B96" s="36" t="str">
        <f t="array" ref="B96">_xlfn.XLOOKUP($A96,TRIM(SUBSTITUTE('worker file'!$A$2:$A$406,_xlfn.UNICHAR(160)," ")),'worker file'!$L$2:$L$406,"Not found")</f>
        <v>US Semi-monthly</v>
      </c>
      <c r="C96" s="36" t="str">
        <f t="array" ref="C96">_xlfn.XLOOKUP($A96,TRIM(SUBSTITUTE('worker file'!$A$2:$A$406,_xlfn.UNICHAR(160)," ")),'worker file'!$D$2:$D$406,"Not found")</f>
        <v>CA</v>
      </c>
      <c r="D96" s="36" t="str">
        <f t="array" ref="D96">_xlfn.XLOOKUP($A96,TRIM(SUBSTITUTE('worker file'!$A$2:$A$406,_xlfn.UNICHAR(160)," ")),'worker file'!$Q$2:$Q$406,"Not found")</f>
        <v>Active</v>
      </c>
      <c r="E96" s="35" t="s">
        <v>634</v>
      </c>
      <c r="F96" t="str">
        <f t="shared" si="8"/>
        <v>Vision – Employee</v>
      </c>
      <c r="G96" t="str">
        <f t="shared" si="9"/>
        <v>Pre-tax Section 125 (exempt from FIT/SIT/FICA)</v>
      </c>
      <c r="H96" t="str">
        <f t="shared" si="10"/>
        <v>Flat</v>
      </c>
      <c r="I96" s="40" t="str">
        <f t="shared" si="14"/>
        <v/>
      </c>
      <c r="J96" s="38">
        <f t="shared" si="11"/>
        <v>30</v>
      </c>
      <c r="K96" t="str">
        <f t="shared" si="12"/>
        <v>Per pay period</v>
      </c>
      <c r="L96" t="str">
        <f t="shared" si="13"/>
        <v>Every pay period (ongoing)</v>
      </c>
      <c r="M96" s="39">
        <f t="array" ref="M96">MAX(_xlfn.XLOOKUP($A96,TRIM(SUBSTITUTE('worker file'!$A$2:$A$406,_xlfn.UNICHAR(160)," ")),'worker file'!$M$2:$M$406,0),_xlfn.XLOOKUP($B96,TRIM('pay group &amp; schedule'!$A$2:$A$6),'pay group &amp; schedule'!$D$2:$D$6,0))</f>
        <v>46311</v>
      </c>
      <c r="N96" s="39" t="str">
        <f t="array" ref="N96">_xlfn.LET(_xlpm.t,_xlfn.XLOOKUP($A96,TRIM(SUBSTITUTE('worker file'!$A$2:$A$406,_xlfn.UNICHAR(160)," ")),'worker file'!$N$2:$N$406,""),IF(N(_xlpm.t)=0,"",_xlpm.t))</f>
        <v/>
      </c>
    </row>
    <row r="97" spans="1:14" x14ac:dyDescent="0.2">
      <c r="A97" s="35" t="s">
        <v>129</v>
      </c>
      <c r="B97" s="36" t="str">
        <f t="array" ref="B97">_xlfn.XLOOKUP($A97,TRIM(SUBSTITUTE('worker file'!$A$2:$A$406,_xlfn.UNICHAR(160)," ")),'worker file'!$L$2:$L$406,"Not found")</f>
        <v>US Biweekly</v>
      </c>
      <c r="C97" s="36" t="str">
        <f t="array" ref="C97">_xlfn.XLOOKUP($A97,TRIM(SUBSTITUTE('worker file'!$A$2:$A$406,_xlfn.UNICHAR(160)," ")),'worker file'!$D$2:$D$406,"Not found")</f>
        <v>CA</v>
      </c>
      <c r="D97" s="36" t="str">
        <f t="array" ref="D97">_xlfn.XLOOKUP($A97,TRIM(SUBSTITUTE('worker file'!$A$2:$A$406,_xlfn.UNICHAR(160)," ")),'worker file'!$Q$2:$Q$406,"Not found")</f>
        <v>Active</v>
      </c>
      <c r="E97" s="35" t="s">
        <v>618</v>
      </c>
      <c r="F97" t="str">
        <f t="shared" si="8"/>
        <v>401(k) Employee Deferral</v>
      </c>
      <c r="G97" t="str">
        <f t="shared" si="9"/>
        <v>Pre-tax (exempt from FIT/SIT; subject to FICA)</v>
      </c>
      <c r="H97" t="str">
        <f t="shared" si="10"/>
        <v>Percent</v>
      </c>
      <c r="I97" s="37">
        <v>0.01</v>
      </c>
      <c r="J97" s="38" t="str">
        <f t="shared" si="11"/>
        <v/>
      </c>
      <c r="K97" t="str">
        <f t="shared" si="12"/>
        <v>Gross pay</v>
      </c>
      <c r="L97" t="str">
        <f t="shared" si="13"/>
        <v>Every pay period (ongoing)</v>
      </c>
      <c r="M97" s="39">
        <f t="array" ref="M97">MAX(_xlfn.XLOOKUP($A97,TRIM(SUBSTITUTE('worker file'!$A$2:$A$406,_xlfn.UNICHAR(160)," ")),'worker file'!$M$2:$M$406,0),_xlfn.XLOOKUP($B97,TRIM('pay group &amp; schedule'!$A$2:$A$6),'pay group &amp; schedule'!$D$2:$D$6,0))</f>
        <v>46299</v>
      </c>
      <c r="N97" s="39" t="str">
        <f t="array" ref="N97">_xlfn.LET(_xlpm.t,_xlfn.XLOOKUP($A97,TRIM(SUBSTITUTE('worker file'!$A$2:$A$406,_xlfn.UNICHAR(160)," ")),'worker file'!$N$2:$N$406,""),IF(N(_xlpm.t)=0,"",_xlpm.t))</f>
        <v/>
      </c>
    </row>
    <row r="98" spans="1:14" x14ac:dyDescent="0.2">
      <c r="A98" s="35" t="s">
        <v>129</v>
      </c>
      <c r="B98" s="36" t="str">
        <f t="array" ref="B98">_xlfn.XLOOKUP($A98,TRIM(SUBSTITUTE('worker file'!$A$2:$A$406,_xlfn.UNICHAR(160)," ")),'worker file'!$L$2:$L$406,"Not found")</f>
        <v>US Biweekly</v>
      </c>
      <c r="C98" s="36" t="str">
        <f t="array" ref="C98">_xlfn.XLOOKUP($A98,TRIM(SUBSTITUTE('worker file'!$A$2:$A$406,_xlfn.UNICHAR(160)," ")),'worker file'!$D$2:$D$406,"Not found")</f>
        <v>CA</v>
      </c>
      <c r="D98" s="36" t="str">
        <f t="array" ref="D98">_xlfn.XLOOKUP($A98,TRIM(SUBSTITUTE('worker file'!$A$2:$A$406,_xlfn.UNICHAR(160)," ")),'worker file'!$Q$2:$Q$406,"Not found")</f>
        <v>Active</v>
      </c>
      <c r="E98" s="35" t="s">
        <v>626</v>
      </c>
      <c r="F98" t="str">
        <f t="shared" si="8"/>
        <v>Medical (Health) – Employee</v>
      </c>
      <c r="G98" t="str">
        <f t="shared" si="9"/>
        <v>Pre-tax Section 125 (exempt from FIT/SIT/FICA)</v>
      </c>
      <c r="H98" t="str">
        <f t="shared" si="10"/>
        <v>Flat</v>
      </c>
      <c r="I98" s="40" t="str">
        <f>IF($H98="Percent",_xlfn.XLOOKUP($E98,$A$5:$A$8,$F$5:$F$8,""),"")</f>
        <v/>
      </c>
      <c r="J98" s="38">
        <f t="shared" si="11"/>
        <v>200</v>
      </c>
      <c r="K98" t="str">
        <f t="shared" si="12"/>
        <v>Per pay period</v>
      </c>
      <c r="L98" t="str">
        <f t="shared" si="13"/>
        <v>Every pay period (ongoing)</v>
      </c>
      <c r="M98" s="39">
        <f t="array" ref="M98">MAX(_xlfn.XLOOKUP($A98,TRIM(SUBSTITUTE('worker file'!$A$2:$A$406,_xlfn.UNICHAR(160)," ")),'worker file'!$M$2:$M$406,0),_xlfn.XLOOKUP($B98,TRIM('pay group &amp; schedule'!$A$2:$A$6),'pay group &amp; schedule'!$D$2:$D$6,0))</f>
        <v>46299</v>
      </c>
      <c r="N98" s="39" t="str">
        <f t="array" ref="N98">_xlfn.LET(_xlpm.t,_xlfn.XLOOKUP($A98,TRIM(SUBSTITUTE('worker file'!$A$2:$A$406,_xlfn.UNICHAR(160)," ")),'worker file'!$N$2:$N$406,""),IF(N(_xlpm.t)=0,"",_xlpm.t))</f>
        <v/>
      </c>
    </row>
    <row r="99" spans="1:14" x14ac:dyDescent="0.2">
      <c r="A99" s="35" t="s">
        <v>129</v>
      </c>
      <c r="B99" s="36" t="str">
        <f t="array" ref="B99">_xlfn.XLOOKUP($A99,TRIM(SUBSTITUTE('worker file'!$A$2:$A$406,_xlfn.UNICHAR(160)," ")),'worker file'!$L$2:$L$406,"Not found")</f>
        <v>US Biweekly</v>
      </c>
      <c r="C99" s="36" t="str">
        <f t="array" ref="C99">_xlfn.XLOOKUP($A99,TRIM(SUBSTITUTE('worker file'!$A$2:$A$406,_xlfn.UNICHAR(160)," ")),'worker file'!$D$2:$D$406,"Not found")</f>
        <v>CA</v>
      </c>
      <c r="D99" s="36" t="str">
        <f t="array" ref="D99">_xlfn.XLOOKUP($A99,TRIM(SUBSTITUTE('worker file'!$A$2:$A$406,_xlfn.UNICHAR(160)," ")),'worker file'!$Q$2:$Q$406,"Not found")</f>
        <v>Active</v>
      </c>
      <c r="E99" s="35" t="s">
        <v>632</v>
      </c>
      <c r="F99" t="str">
        <f t="shared" si="8"/>
        <v>Dental – Employee</v>
      </c>
      <c r="G99" t="str">
        <f t="shared" si="9"/>
        <v>Pre-tax Section 125 (exempt from FIT/SIT/FICA)</v>
      </c>
      <c r="H99" t="str">
        <f t="shared" si="10"/>
        <v>Flat</v>
      </c>
      <c r="I99" s="40" t="str">
        <f>IF($H99="Percent",_xlfn.XLOOKUP($E99,$A$5:$A$8,$F$5:$F$8,""),"")</f>
        <v/>
      </c>
      <c r="J99" s="38">
        <f t="shared" si="11"/>
        <v>44</v>
      </c>
      <c r="K99" t="str">
        <f t="shared" si="12"/>
        <v>Per pay period</v>
      </c>
      <c r="L99" t="str">
        <f t="shared" si="13"/>
        <v>Every pay period (ongoing)</v>
      </c>
      <c r="M99" s="39">
        <f t="array" ref="M99">MAX(_xlfn.XLOOKUP($A99,TRIM(SUBSTITUTE('worker file'!$A$2:$A$406,_xlfn.UNICHAR(160)," ")),'worker file'!$M$2:$M$406,0),_xlfn.XLOOKUP($B99,TRIM('pay group &amp; schedule'!$A$2:$A$6),'pay group &amp; schedule'!$D$2:$D$6,0))</f>
        <v>46299</v>
      </c>
      <c r="N99" s="39" t="str">
        <f t="array" ref="N99">_xlfn.LET(_xlpm.t,_xlfn.XLOOKUP($A99,TRIM(SUBSTITUTE('worker file'!$A$2:$A$406,_xlfn.UNICHAR(160)," ")),'worker file'!$N$2:$N$406,""),IF(N(_xlpm.t)=0,"",_xlpm.t))</f>
        <v/>
      </c>
    </row>
    <row r="100" spans="1:14" x14ac:dyDescent="0.2">
      <c r="A100" s="35" t="s">
        <v>129</v>
      </c>
      <c r="B100" s="36" t="str">
        <f t="array" ref="B100">_xlfn.XLOOKUP($A100,TRIM(SUBSTITUTE('worker file'!$A$2:$A$406,_xlfn.UNICHAR(160)," ")),'worker file'!$L$2:$L$406,"Not found")</f>
        <v>US Biweekly</v>
      </c>
      <c r="C100" s="36" t="str">
        <f t="array" ref="C100">_xlfn.XLOOKUP($A100,TRIM(SUBSTITUTE('worker file'!$A$2:$A$406,_xlfn.UNICHAR(160)," ")),'worker file'!$D$2:$D$406,"Not found")</f>
        <v>CA</v>
      </c>
      <c r="D100" s="36" t="str">
        <f t="array" ref="D100">_xlfn.XLOOKUP($A100,TRIM(SUBSTITUTE('worker file'!$A$2:$A$406,_xlfn.UNICHAR(160)," ")),'worker file'!$Q$2:$Q$406,"Not found")</f>
        <v>Active</v>
      </c>
      <c r="E100" s="35" t="s">
        <v>634</v>
      </c>
      <c r="F100" t="str">
        <f t="shared" si="8"/>
        <v>Vision – Employee</v>
      </c>
      <c r="G100" t="str">
        <f t="shared" si="9"/>
        <v>Pre-tax Section 125 (exempt from FIT/SIT/FICA)</v>
      </c>
      <c r="H100" t="str">
        <f t="shared" si="10"/>
        <v>Flat</v>
      </c>
      <c r="I100" s="40" t="str">
        <f>IF($H100="Percent",_xlfn.XLOOKUP($E100,$A$5:$A$8,$F$5:$F$8,""),"")</f>
        <v/>
      </c>
      <c r="J100" s="38">
        <f t="shared" si="11"/>
        <v>30</v>
      </c>
      <c r="K100" t="str">
        <f t="shared" si="12"/>
        <v>Per pay period</v>
      </c>
      <c r="L100" t="str">
        <f t="shared" si="13"/>
        <v>Every pay period (ongoing)</v>
      </c>
      <c r="M100" s="39">
        <f t="array" ref="M100">MAX(_xlfn.XLOOKUP($A100,TRIM(SUBSTITUTE('worker file'!$A$2:$A$406,_xlfn.UNICHAR(160)," ")),'worker file'!$M$2:$M$406,0),_xlfn.XLOOKUP($B100,TRIM('pay group &amp; schedule'!$A$2:$A$6),'pay group &amp; schedule'!$D$2:$D$6,0))</f>
        <v>46299</v>
      </c>
      <c r="N100" s="39" t="str">
        <f t="array" ref="N100">_xlfn.LET(_xlpm.t,_xlfn.XLOOKUP($A100,TRIM(SUBSTITUTE('worker file'!$A$2:$A$406,_xlfn.UNICHAR(160)," ")),'worker file'!$N$2:$N$406,""),IF(N(_xlpm.t)=0,"",_xlpm.t))</f>
        <v/>
      </c>
    </row>
    <row r="101" spans="1:14" x14ac:dyDescent="0.2">
      <c r="A101" s="35" t="s">
        <v>131</v>
      </c>
      <c r="B101" s="36" t="str">
        <f t="array" ref="B101">_xlfn.XLOOKUP($A101,TRIM(SUBSTITUTE('worker file'!$A$2:$A$406,_xlfn.UNICHAR(160)," ")),'worker file'!$L$2:$L$406,"Not found")</f>
        <v>US Biweekly</v>
      </c>
      <c r="C101" s="36" t="str">
        <f t="array" ref="C101">_xlfn.XLOOKUP($A101,TRIM(SUBSTITUTE('worker file'!$A$2:$A$406,_xlfn.UNICHAR(160)," ")),'worker file'!$D$2:$D$406,"Not found")</f>
        <v>CA</v>
      </c>
      <c r="D101" s="36" t="str">
        <f t="array" ref="D101">_xlfn.XLOOKUP($A101,TRIM(SUBSTITUTE('worker file'!$A$2:$A$406,_xlfn.UNICHAR(160)," ")),'worker file'!$Q$2:$Q$406,"Not found")</f>
        <v>Active</v>
      </c>
      <c r="E101" s="35" t="s">
        <v>618</v>
      </c>
      <c r="F101" t="str">
        <f t="shared" si="8"/>
        <v>401(k) Employee Deferral</v>
      </c>
      <c r="G101" t="str">
        <f t="shared" si="9"/>
        <v>Pre-tax (exempt from FIT/SIT; subject to FICA)</v>
      </c>
      <c r="H101" t="str">
        <f t="shared" si="10"/>
        <v>Percent</v>
      </c>
      <c r="I101" s="37">
        <v>0.06</v>
      </c>
      <c r="J101" s="38" t="str">
        <f t="shared" si="11"/>
        <v/>
      </c>
      <c r="K101" t="str">
        <f t="shared" si="12"/>
        <v>Gross pay</v>
      </c>
      <c r="L101" t="str">
        <f t="shared" si="13"/>
        <v>Every pay period (ongoing)</v>
      </c>
      <c r="M101" s="39">
        <f t="array" ref="M101">MAX(_xlfn.XLOOKUP($A101,TRIM(SUBSTITUTE('worker file'!$A$2:$A$406,_xlfn.UNICHAR(160)," ")),'worker file'!$M$2:$M$406,0),_xlfn.XLOOKUP($B101,TRIM('pay group &amp; schedule'!$A$2:$A$6),'pay group &amp; schedule'!$D$2:$D$6,0))</f>
        <v>46299</v>
      </c>
      <c r="N101" s="39" t="str">
        <f t="array" ref="N101">_xlfn.LET(_xlpm.t,_xlfn.XLOOKUP($A101,TRIM(SUBSTITUTE('worker file'!$A$2:$A$406,_xlfn.UNICHAR(160)," ")),'worker file'!$N$2:$N$406,""),IF(N(_xlpm.t)=0,"",_xlpm.t))</f>
        <v/>
      </c>
    </row>
    <row r="102" spans="1:14" x14ac:dyDescent="0.2">
      <c r="A102" s="35" t="s">
        <v>131</v>
      </c>
      <c r="B102" s="36" t="str">
        <f t="array" ref="B102">_xlfn.XLOOKUP($A102,TRIM(SUBSTITUTE('worker file'!$A$2:$A$406,_xlfn.UNICHAR(160)," ")),'worker file'!$L$2:$L$406,"Not found")</f>
        <v>US Biweekly</v>
      </c>
      <c r="C102" s="36" t="str">
        <f t="array" ref="C102">_xlfn.XLOOKUP($A102,TRIM(SUBSTITUTE('worker file'!$A$2:$A$406,_xlfn.UNICHAR(160)," ")),'worker file'!$D$2:$D$406,"Not found")</f>
        <v>CA</v>
      </c>
      <c r="D102" s="36" t="str">
        <f t="array" ref="D102">_xlfn.XLOOKUP($A102,TRIM(SUBSTITUTE('worker file'!$A$2:$A$406,_xlfn.UNICHAR(160)," ")),'worker file'!$Q$2:$Q$406,"Not found")</f>
        <v>Active</v>
      </c>
      <c r="E102" s="35" t="s">
        <v>626</v>
      </c>
      <c r="F102" t="str">
        <f t="shared" si="8"/>
        <v>Medical (Health) – Employee</v>
      </c>
      <c r="G102" t="str">
        <f t="shared" si="9"/>
        <v>Pre-tax Section 125 (exempt from FIT/SIT/FICA)</v>
      </c>
      <c r="H102" t="str">
        <f t="shared" si="10"/>
        <v>Flat</v>
      </c>
      <c r="I102" s="40" t="str">
        <f>IF($H102="Percent",_xlfn.XLOOKUP($E102,$A$5:$A$8,$F$5:$F$8,""),"")</f>
        <v/>
      </c>
      <c r="J102" s="38">
        <f t="shared" si="11"/>
        <v>200</v>
      </c>
      <c r="K102" t="str">
        <f t="shared" si="12"/>
        <v>Per pay period</v>
      </c>
      <c r="L102" t="str">
        <f t="shared" si="13"/>
        <v>Every pay period (ongoing)</v>
      </c>
      <c r="M102" s="39">
        <f t="array" ref="M102">MAX(_xlfn.XLOOKUP($A102,TRIM(SUBSTITUTE('worker file'!$A$2:$A$406,_xlfn.UNICHAR(160)," ")),'worker file'!$M$2:$M$406,0),_xlfn.XLOOKUP($B102,TRIM('pay group &amp; schedule'!$A$2:$A$6),'pay group &amp; schedule'!$D$2:$D$6,0))</f>
        <v>46299</v>
      </c>
      <c r="N102" s="39" t="str">
        <f t="array" ref="N102">_xlfn.LET(_xlpm.t,_xlfn.XLOOKUP($A102,TRIM(SUBSTITUTE('worker file'!$A$2:$A$406,_xlfn.UNICHAR(160)," ")),'worker file'!$N$2:$N$406,""),IF(N(_xlpm.t)=0,"",_xlpm.t))</f>
        <v/>
      </c>
    </row>
    <row r="103" spans="1:14" x14ac:dyDescent="0.2">
      <c r="A103" s="35" t="s">
        <v>131</v>
      </c>
      <c r="B103" s="36" t="str">
        <f t="array" ref="B103">_xlfn.XLOOKUP($A103,TRIM(SUBSTITUTE('worker file'!$A$2:$A$406,_xlfn.UNICHAR(160)," ")),'worker file'!$L$2:$L$406,"Not found")</f>
        <v>US Biweekly</v>
      </c>
      <c r="C103" s="36" t="str">
        <f t="array" ref="C103">_xlfn.XLOOKUP($A103,TRIM(SUBSTITUTE('worker file'!$A$2:$A$406,_xlfn.UNICHAR(160)," ")),'worker file'!$D$2:$D$406,"Not found")</f>
        <v>CA</v>
      </c>
      <c r="D103" s="36" t="str">
        <f t="array" ref="D103">_xlfn.XLOOKUP($A103,TRIM(SUBSTITUTE('worker file'!$A$2:$A$406,_xlfn.UNICHAR(160)," ")),'worker file'!$Q$2:$Q$406,"Not found")</f>
        <v>Active</v>
      </c>
      <c r="E103" s="35" t="s">
        <v>632</v>
      </c>
      <c r="F103" t="str">
        <f t="shared" si="8"/>
        <v>Dental – Employee</v>
      </c>
      <c r="G103" t="str">
        <f t="shared" si="9"/>
        <v>Pre-tax Section 125 (exempt from FIT/SIT/FICA)</v>
      </c>
      <c r="H103" t="str">
        <f t="shared" si="10"/>
        <v>Flat</v>
      </c>
      <c r="I103" s="40" t="str">
        <f>IF($H103="Percent",_xlfn.XLOOKUP($E103,$A$5:$A$8,$F$5:$F$8,""),"")</f>
        <v/>
      </c>
      <c r="J103" s="38">
        <f t="shared" si="11"/>
        <v>44</v>
      </c>
      <c r="K103" t="str">
        <f t="shared" si="12"/>
        <v>Per pay period</v>
      </c>
      <c r="L103" t="str">
        <f t="shared" si="13"/>
        <v>Every pay period (ongoing)</v>
      </c>
      <c r="M103" s="39">
        <f t="array" ref="M103">MAX(_xlfn.XLOOKUP($A103,TRIM(SUBSTITUTE('worker file'!$A$2:$A$406,_xlfn.UNICHAR(160)," ")),'worker file'!$M$2:$M$406,0),_xlfn.XLOOKUP($B103,TRIM('pay group &amp; schedule'!$A$2:$A$6),'pay group &amp; schedule'!$D$2:$D$6,0))</f>
        <v>46299</v>
      </c>
      <c r="N103" s="39" t="str">
        <f t="array" ref="N103">_xlfn.LET(_xlpm.t,_xlfn.XLOOKUP($A103,TRIM(SUBSTITUTE('worker file'!$A$2:$A$406,_xlfn.UNICHAR(160)," ")),'worker file'!$N$2:$N$406,""),IF(N(_xlpm.t)=0,"",_xlpm.t))</f>
        <v/>
      </c>
    </row>
    <row r="104" spans="1:14" x14ac:dyDescent="0.2">
      <c r="A104" s="35" t="s">
        <v>131</v>
      </c>
      <c r="B104" s="36" t="str">
        <f t="array" ref="B104">_xlfn.XLOOKUP($A104,TRIM(SUBSTITUTE('worker file'!$A$2:$A$406,_xlfn.UNICHAR(160)," ")),'worker file'!$L$2:$L$406,"Not found")</f>
        <v>US Biweekly</v>
      </c>
      <c r="C104" s="36" t="str">
        <f t="array" ref="C104">_xlfn.XLOOKUP($A104,TRIM(SUBSTITUTE('worker file'!$A$2:$A$406,_xlfn.UNICHAR(160)," ")),'worker file'!$D$2:$D$406,"Not found")</f>
        <v>CA</v>
      </c>
      <c r="D104" s="36" t="str">
        <f t="array" ref="D104">_xlfn.XLOOKUP($A104,TRIM(SUBSTITUTE('worker file'!$A$2:$A$406,_xlfn.UNICHAR(160)," ")),'worker file'!$Q$2:$Q$406,"Not found")</f>
        <v>Active</v>
      </c>
      <c r="E104" s="35" t="s">
        <v>634</v>
      </c>
      <c r="F104" t="str">
        <f t="shared" si="8"/>
        <v>Vision – Employee</v>
      </c>
      <c r="G104" t="str">
        <f t="shared" si="9"/>
        <v>Pre-tax Section 125 (exempt from FIT/SIT/FICA)</v>
      </c>
      <c r="H104" t="str">
        <f t="shared" si="10"/>
        <v>Flat</v>
      </c>
      <c r="I104" s="40" t="str">
        <f>IF($H104="Percent",_xlfn.XLOOKUP($E104,$A$5:$A$8,$F$5:$F$8,""),"")</f>
        <v/>
      </c>
      <c r="J104" s="38">
        <f t="shared" si="11"/>
        <v>30</v>
      </c>
      <c r="K104" t="str">
        <f t="shared" si="12"/>
        <v>Per pay period</v>
      </c>
      <c r="L104" t="str">
        <f t="shared" si="13"/>
        <v>Every pay period (ongoing)</v>
      </c>
      <c r="M104" s="39">
        <f t="array" ref="M104">MAX(_xlfn.XLOOKUP($A104,TRIM(SUBSTITUTE('worker file'!$A$2:$A$406,_xlfn.UNICHAR(160)," ")),'worker file'!$M$2:$M$406,0),_xlfn.XLOOKUP($B104,TRIM('pay group &amp; schedule'!$A$2:$A$6),'pay group &amp; schedule'!$D$2:$D$6,0))</f>
        <v>46299</v>
      </c>
      <c r="N104" s="39" t="str">
        <f t="array" ref="N104">_xlfn.LET(_xlpm.t,_xlfn.XLOOKUP($A104,TRIM(SUBSTITUTE('worker file'!$A$2:$A$406,_xlfn.UNICHAR(160)," ")),'worker file'!$N$2:$N$406,""),IF(N(_xlpm.t)=0,"",_xlpm.t))</f>
        <v/>
      </c>
    </row>
    <row r="105" spans="1:14" x14ac:dyDescent="0.2">
      <c r="A105" s="35" t="s">
        <v>133</v>
      </c>
      <c r="B105" s="36" t="str">
        <f t="array" ref="B105">_xlfn.XLOOKUP($A105,TRIM(SUBSTITUTE('worker file'!$A$2:$A$406,_xlfn.UNICHAR(160)," ")),'worker file'!$L$2:$L$406,"Not found")</f>
        <v>US Semi-monthly</v>
      </c>
      <c r="C105" s="36" t="str">
        <f t="array" ref="C105">_xlfn.XLOOKUP($A105,TRIM(SUBSTITUTE('worker file'!$A$2:$A$406,_xlfn.UNICHAR(160)," ")),'worker file'!$D$2:$D$406,"Not found")</f>
        <v>CA</v>
      </c>
      <c r="D105" s="36" t="str">
        <f t="array" ref="D105">_xlfn.XLOOKUP($A105,TRIM(SUBSTITUTE('worker file'!$A$2:$A$406,_xlfn.UNICHAR(160)," ")),'worker file'!$Q$2:$Q$406,"Not found")</f>
        <v>Active</v>
      </c>
      <c r="E105" s="35" t="s">
        <v>618</v>
      </c>
      <c r="F105" t="str">
        <f t="shared" si="8"/>
        <v>401(k) Employee Deferral</v>
      </c>
      <c r="G105" t="str">
        <f t="shared" si="9"/>
        <v>Pre-tax (exempt from FIT/SIT; subject to FICA)</v>
      </c>
      <c r="H105" t="str">
        <f t="shared" si="10"/>
        <v>Percent</v>
      </c>
      <c r="I105" s="37">
        <v>0.03</v>
      </c>
      <c r="J105" s="38" t="str">
        <f t="shared" si="11"/>
        <v/>
      </c>
      <c r="K105" t="str">
        <f t="shared" si="12"/>
        <v>Gross pay</v>
      </c>
      <c r="L105" t="str">
        <f t="shared" si="13"/>
        <v>Every pay period (ongoing)</v>
      </c>
      <c r="M105" s="39">
        <f t="array" ref="M105">MAX(_xlfn.XLOOKUP($A105,TRIM(SUBSTITUTE('worker file'!$A$2:$A$406,_xlfn.UNICHAR(160)," ")),'worker file'!$M$2:$M$406,0),_xlfn.XLOOKUP($B105,TRIM('pay group &amp; schedule'!$A$2:$A$6),'pay group &amp; schedule'!$D$2:$D$6,0))</f>
        <v>46311</v>
      </c>
      <c r="N105" s="39" t="str">
        <f t="array" ref="N105">_xlfn.LET(_xlpm.t,_xlfn.XLOOKUP($A105,TRIM(SUBSTITUTE('worker file'!$A$2:$A$406,_xlfn.UNICHAR(160)," ")),'worker file'!$N$2:$N$406,""),IF(N(_xlpm.t)=0,"",_xlpm.t))</f>
        <v/>
      </c>
    </row>
    <row r="106" spans="1:14" x14ac:dyDescent="0.2">
      <c r="A106" s="35" t="s">
        <v>133</v>
      </c>
      <c r="B106" s="36" t="str">
        <f t="array" ref="B106">_xlfn.XLOOKUP($A106,TRIM(SUBSTITUTE('worker file'!$A$2:$A$406,_xlfn.UNICHAR(160)," ")),'worker file'!$L$2:$L$406,"Not found")</f>
        <v>US Semi-monthly</v>
      </c>
      <c r="C106" s="36" t="str">
        <f t="array" ref="C106">_xlfn.XLOOKUP($A106,TRIM(SUBSTITUTE('worker file'!$A$2:$A$406,_xlfn.UNICHAR(160)," ")),'worker file'!$D$2:$D$406,"Not found")</f>
        <v>CA</v>
      </c>
      <c r="D106" s="36" t="str">
        <f t="array" ref="D106">_xlfn.XLOOKUP($A106,TRIM(SUBSTITUTE('worker file'!$A$2:$A$406,_xlfn.UNICHAR(160)," ")),'worker file'!$Q$2:$Q$406,"Not found")</f>
        <v>Active</v>
      </c>
      <c r="E106" s="35" t="s">
        <v>626</v>
      </c>
      <c r="F106" t="str">
        <f t="shared" si="8"/>
        <v>Medical (Health) – Employee</v>
      </c>
      <c r="G106" t="str">
        <f t="shared" si="9"/>
        <v>Pre-tax Section 125 (exempt from FIT/SIT/FICA)</v>
      </c>
      <c r="H106" t="str">
        <f t="shared" si="10"/>
        <v>Flat</v>
      </c>
      <c r="I106" s="40" t="str">
        <f>IF($H106="Percent",_xlfn.XLOOKUP($E106,$A$5:$A$8,$F$5:$F$8,""),"")</f>
        <v/>
      </c>
      <c r="J106" s="38">
        <f t="shared" si="11"/>
        <v>200</v>
      </c>
      <c r="K106" t="str">
        <f t="shared" si="12"/>
        <v>Per pay period</v>
      </c>
      <c r="L106" t="str">
        <f t="shared" si="13"/>
        <v>Every pay period (ongoing)</v>
      </c>
      <c r="M106" s="39">
        <f t="array" ref="M106">MAX(_xlfn.XLOOKUP($A106,TRIM(SUBSTITUTE('worker file'!$A$2:$A$406,_xlfn.UNICHAR(160)," ")),'worker file'!$M$2:$M$406,0),_xlfn.XLOOKUP($B106,TRIM('pay group &amp; schedule'!$A$2:$A$6),'pay group &amp; schedule'!$D$2:$D$6,0))</f>
        <v>46311</v>
      </c>
      <c r="N106" s="39" t="str">
        <f t="array" ref="N106">_xlfn.LET(_xlpm.t,_xlfn.XLOOKUP($A106,TRIM(SUBSTITUTE('worker file'!$A$2:$A$406,_xlfn.UNICHAR(160)," ")),'worker file'!$N$2:$N$406,""),IF(N(_xlpm.t)=0,"",_xlpm.t))</f>
        <v/>
      </c>
    </row>
    <row r="107" spans="1:14" x14ac:dyDescent="0.2">
      <c r="A107" s="35" t="s">
        <v>133</v>
      </c>
      <c r="B107" s="36" t="str">
        <f t="array" ref="B107">_xlfn.XLOOKUP($A107,TRIM(SUBSTITUTE('worker file'!$A$2:$A$406,_xlfn.UNICHAR(160)," ")),'worker file'!$L$2:$L$406,"Not found")</f>
        <v>US Semi-monthly</v>
      </c>
      <c r="C107" s="36" t="str">
        <f t="array" ref="C107">_xlfn.XLOOKUP($A107,TRIM(SUBSTITUTE('worker file'!$A$2:$A$406,_xlfn.UNICHAR(160)," ")),'worker file'!$D$2:$D$406,"Not found")</f>
        <v>CA</v>
      </c>
      <c r="D107" s="36" t="str">
        <f t="array" ref="D107">_xlfn.XLOOKUP($A107,TRIM(SUBSTITUTE('worker file'!$A$2:$A$406,_xlfn.UNICHAR(160)," ")),'worker file'!$Q$2:$Q$406,"Not found")</f>
        <v>Active</v>
      </c>
      <c r="E107" s="35" t="s">
        <v>632</v>
      </c>
      <c r="F107" t="str">
        <f t="shared" si="8"/>
        <v>Dental – Employee</v>
      </c>
      <c r="G107" t="str">
        <f t="shared" si="9"/>
        <v>Pre-tax Section 125 (exempt from FIT/SIT/FICA)</v>
      </c>
      <c r="H107" t="str">
        <f t="shared" si="10"/>
        <v>Flat</v>
      </c>
      <c r="I107" s="40" t="str">
        <f>IF($H107="Percent",_xlfn.XLOOKUP($E107,$A$5:$A$8,$F$5:$F$8,""),"")</f>
        <v/>
      </c>
      <c r="J107" s="38">
        <f t="shared" si="11"/>
        <v>44</v>
      </c>
      <c r="K107" t="str">
        <f t="shared" si="12"/>
        <v>Per pay period</v>
      </c>
      <c r="L107" t="str">
        <f t="shared" si="13"/>
        <v>Every pay period (ongoing)</v>
      </c>
      <c r="M107" s="39">
        <f t="array" ref="M107">MAX(_xlfn.XLOOKUP($A107,TRIM(SUBSTITUTE('worker file'!$A$2:$A$406,_xlfn.UNICHAR(160)," ")),'worker file'!$M$2:$M$406,0),_xlfn.XLOOKUP($B107,TRIM('pay group &amp; schedule'!$A$2:$A$6),'pay group &amp; schedule'!$D$2:$D$6,0))</f>
        <v>46311</v>
      </c>
      <c r="N107" s="39" t="str">
        <f t="array" ref="N107">_xlfn.LET(_xlpm.t,_xlfn.XLOOKUP($A107,TRIM(SUBSTITUTE('worker file'!$A$2:$A$406,_xlfn.UNICHAR(160)," ")),'worker file'!$N$2:$N$406,""),IF(N(_xlpm.t)=0,"",_xlpm.t))</f>
        <v/>
      </c>
    </row>
    <row r="108" spans="1:14" x14ac:dyDescent="0.2">
      <c r="A108" s="35" t="s">
        <v>133</v>
      </c>
      <c r="B108" s="36" t="str">
        <f t="array" ref="B108">_xlfn.XLOOKUP($A108,TRIM(SUBSTITUTE('worker file'!$A$2:$A$406,_xlfn.UNICHAR(160)," ")),'worker file'!$L$2:$L$406,"Not found")</f>
        <v>US Semi-monthly</v>
      </c>
      <c r="C108" s="36" t="str">
        <f t="array" ref="C108">_xlfn.XLOOKUP($A108,TRIM(SUBSTITUTE('worker file'!$A$2:$A$406,_xlfn.UNICHAR(160)," ")),'worker file'!$D$2:$D$406,"Not found")</f>
        <v>CA</v>
      </c>
      <c r="D108" s="36" t="str">
        <f t="array" ref="D108">_xlfn.XLOOKUP($A108,TRIM(SUBSTITUTE('worker file'!$A$2:$A$406,_xlfn.UNICHAR(160)," ")),'worker file'!$Q$2:$Q$406,"Not found")</f>
        <v>Active</v>
      </c>
      <c r="E108" s="35" t="s">
        <v>634</v>
      </c>
      <c r="F108" t="str">
        <f t="shared" si="8"/>
        <v>Vision – Employee</v>
      </c>
      <c r="G108" t="str">
        <f t="shared" si="9"/>
        <v>Pre-tax Section 125 (exempt from FIT/SIT/FICA)</v>
      </c>
      <c r="H108" t="str">
        <f t="shared" si="10"/>
        <v>Flat</v>
      </c>
      <c r="I108" s="40" t="str">
        <f>IF($H108="Percent",_xlfn.XLOOKUP($E108,$A$5:$A$8,$F$5:$F$8,""),"")</f>
        <v/>
      </c>
      <c r="J108" s="38">
        <f t="shared" si="11"/>
        <v>30</v>
      </c>
      <c r="K108" t="str">
        <f t="shared" si="12"/>
        <v>Per pay period</v>
      </c>
      <c r="L108" t="str">
        <f t="shared" si="13"/>
        <v>Every pay period (ongoing)</v>
      </c>
      <c r="M108" s="39">
        <f t="array" ref="M108">MAX(_xlfn.XLOOKUP($A108,TRIM(SUBSTITUTE('worker file'!$A$2:$A$406,_xlfn.UNICHAR(160)," ")),'worker file'!$M$2:$M$406,0),_xlfn.XLOOKUP($B108,TRIM('pay group &amp; schedule'!$A$2:$A$6),'pay group &amp; schedule'!$D$2:$D$6,0))</f>
        <v>46311</v>
      </c>
      <c r="N108" s="39" t="str">
        <f t="array" ref="N108">_xlfn.LET(_xlpm.t,_xlfn.XLOOKUP($A108,TRIM(SUBSTITUTE('worker file'!$A$2:$A$406,_xlfn.UNICHAR(160)," ")),'worker file'!$N$2:$N$406,""),IF(N(_xlpm.t)=0,"",_xlpm.t))</f>
        <v/>
      </c>
    </row>
    <row r="109" spans="1:14" x14ac:dyDescent="0.2">
      <c r="A109" s="35" t="s">
        <v>134</v>
      </c>
      <c r="B109" s="36" t="str">
        <f t="array" ref="B109">_xlfn.XLOOKUP($A109,TRIM(SUBSTITUTE('worker file'!$A$2:$A$406,_xlfn.UNICHAR(160)," ")),'worker file'!$L$2:$L$406,"Not found")</f>
        <v>US Biweekly</v>
      </c>
      <c r="C109" s="36" t="str">
        <f t="array" ref="C109">_xlfn.XLOOKUP($A109,TRIM(SUBSTITUTE('worker file'!$A$2:$A$406,_xlfn.UNICHAR(160)," ")),'worker file'!$D$2:$D$406,"Not found")</f>
        <v>CA</v>
      </c>
      <c r="D109" s="36" t="str">
        <f t="array" ref="D109">_xlfn.XLOOKUP($A109,TRIM(SUBSTITUTE('worker file'!$A$2:$A$406,_xlfn.UNICHAR(160)," ")),'worker file'!$Q$2:$Q$406,"Not found")</f>
        <v>Active</v>
      </c>
      <c r="E109" s="35" t="s">
        <v>618</v>
      </c>
      <c r="F109" t="str">
        <f t="shared" si="8"/>
        <v>401(k) Employee Deferral</v>
      </c>
      <c r="G109" t="str">
        <f t="shared" si="9"/>
        <v>Pre-tax (exempt from FIT/SIT; subject to FICA)</v>
      </c>
      <c r="H109" t="str">
        <f t="shared" si="10"/>
        <v>Percent</v>
      </c>
      <c r="I109" s="37">
        <v>0</v>
      </c>
      <c r="J109" s="38" t="str">
        <f t="shared" si="11"/>
        <v/>
      </c>
      <c r="K109" t="str">
        <f t="shared" si="12"/>
        <v>Gross pay</v>
      </c>
      <c r="L109" t="str">
        <f t="shared" si="13"/>
        <v>Every pay period (ongoing)</v>
      </c>
      <c r="M109" s="39">
        <f t="array" ref="M109">MAX(_xlfn.XLOOKUP($A109,TRIM(SUBSTITUTE('worker file'!$A$2:$A$406,_xlfn.UNICHAR(160)," ")),'worker file'!$M$2:$M$406,0),_xlfn.XLOOKUP($B109,TRIM('pay group &amp; schedule'!$A$2:$A$6),'pay group &amp; schedule'!$D$2:$D$6,0))</f>
        <v>46299</v>
      </c>
      <c r="N109" s="39" t="str">
        <f t="array" ref="N109">_xlfn.LET(_xlpm.t,_xlfn.XLOOKUP($A109,TRIM(SUBSTITUTE('worker file'!$A$2:$A$406,_xlfn.UNICHAR(160)," ")),'worker file'!$N$2:$N$406,""),IF(N(_xlpm.t)=0,"",_xlpm.t))</f>
        <v/>
      </c>
    </row>
    <row r="110" spans="1:14" x14ac:dyDescent="0.2">
      <c r="A110" s="35" t="s">
        <v>134</v>
      </c>
      <c r="B110" s="36" t="str">
        <f t="array" ref="B110">_xlfn.XLOOKUP($A110,TRIM(SUBSTITUTE('worker file'!$A$2:$A$406,_xlfn.UNICHAR(160)," ")),'worker file'!$L$2:$L$406,"Not found")</f>
        <v>US Biweekly</v>
      </c>
      <c r="C110" s="36" t="str">
        <f t="array" ref="C110">_xlfn.XLOOKUP($A110,TRIM(SUBSTITUTE('worker file'!$A$2:$A$406,_xlfn.UNICHAR(160)," ")),'worker file'!$D$2:$D$406,"Not found")</f>
        <v>CA</v>
      </c>
      <c r="D110" s="36" t="str">
        <f t="array" ref="D110">_xlfn.XLOOKUP($A110,TRIM(SUBSTITUTE('worker file'!$A$2:$A$406,_xlfn.UNICHAR(160)," ")),'worker file'!$Q$2:$Q$406,"Not found")</f>
        <v>Active</v>
      </c>
      <c r="E110" s="35" t="s">
        <v>626</v>
      </c>
      <c r="F110" t="str">
        <f t="shared" si="8"/>
        <v>Medical (Health) – Employee</v>
      </c>
      <c r="G110" t="str">
        <f t="shared" si="9"/>
        <v>Pre-tax Section 125 (exempt from FIT/SIT/FICA)</v>
      </c>
      <c r="H110" t="str">
        <f t="shared" si="10"/>
        <v>Flat</v>
      </c>
      <c r="I110" s="40" t="str">
        <f>IF($H110="Percent",_xlfn.XLOOKUP($E110,$A$5:$A$8,$F$5:$F$8,""),"")</f>
        <v/>
      </c>
      <c r="J110" s="38">
        <f t="shared" si="11"/>
        <v>200</v>
      </c>
      <c r="K110" t="str">
        <f t="shared" si="12"/>
        <v>Per pay period</v>
      </c>
      <c r="L110" t="str">
        <f t="shared" si="13"/>
        <v>Every pay period (ongoing)</v>
      </c>
      <c r="M110" s="39">
        <f t="array" ref="M110">MAX(_xlfn.XLOOKUP($A110,TRIM(SUBSTITUTE('worker file'!$A$2:$A$406,_xlfn.UNICHAR(160)," ")),'worker file'!$M$2:$M$406,0),_xlfn.XLOOKUP($B110,TRIM('pay group &amp; schedule'!$A$2:$A$6),'pay group &amp; schedule'!$D$2:$D$6,0))</f>
        <v>46299</v>
      </c>
      <c r="N110" s="39" t="str">
        <f t="array" ref="N110">_xlfn.LET(_xlpm.t,_xlfn.XLOOKUP($A110,TRIM(SUBSTITUTE('worker file'!$A$2:$A$406,_xlfn.UNICHAR(160)," ")),'worker file'!$N$2:$N$406,""),IF(N(_xlpm.t)=0,"",_xlpm.t))</f>
        <v/>
      </c>
    </row>
    <row r="111" spans="1:14" x14ac:dyDescent="0.2">
      <c r="A111" s="35" t="s">
        <v>134</v>
      </c>
      <c r="B111" s="36" t="str">
        <f t="array" ref="B111">_xlfn.XLOOKUP($A111,TRIM(SUBSTITUTE('worker file'!$A$2:$A$406,_xlfn.UNICHAR(160)," ")),'worker file'!$L$2:$L$406,"Not found")</f>
        <v>US Biweekly</v>
      </c>
      <c r="C111" s="36" t="str">
        <f t="array" ref="C111">_xlfn.XLOOKUP($A111,TRIM(SUBSTITUTE('worker file'!$A$2:$A$406,_xlfn.UNICHAR(160)," ")),'worker file'!$D$2:$D$406,"Not found")</f>
        <v>CA</v>
      </c>
      <c r="D111" s="36" t="str">
        <f t="array" ref="D111">_xlfn.XLOOKUP($A111,TRIM(SUBSTITUTE('worker file'!$A$2:$A$406,_xlfn.UNICHAR(160)," ")),'worker file'!$Q$2:$Q$406,"Not found")</f>
        <v>Active</v>
      </c>
      <c r="E111" s="35" t="s">
        <v>632</v>
      </c>
      <c r="F111" t="str">
        <f t="shared" si="8"/>
        <v>Dental – Employee</v>
      </c>
      <c r="G111" t="str">
        <f t="shared" si="9"/>
        <v>Pre-tax Section 125 (exempt from FIT/SIT/FICA)</v>
      </c>
      <c r="H111" t="str">
        <f t="shared" si="10"/>
        <v>Flat</v>
      </c>
      <c r="I111" s="40" t="str">
        <f>IF($H111="Percent",_xlfn.XLOOKUP($E111,$A$5:$A$8,$F$5:$F$8,""),"")</f>
        <v/>
      </c>
      <c r="J111" s="38">
        <f t="shared" si="11"/>
        <v>44</v>
      </c>
      <c r="K111" t="str">
        <f t="shared" si="12"/>
        <v>Per pay period</v>
      </c>
      <c r="L111" t="str">
        <f t="shared" si="13"/>
        <v>Every pay period (ongoing)</v>
      </c>
      <c r="M111" s="39">
        <f t="array" ref="M111">MAX(_xlfn.XLOOKUP($A111,TRIM(SUBSTITUTE('worker file'!$A$2:$A$406,_xlfn.UNICHAR(160)," ")),'worker file'!$M$2:$M$406,0),_xlfn.XLOOKUP($B111,TRIM('pay group &amp; schedule'!$A$2:$A$6),'pay group &amp; schedule'!$D$2:$D$6,0))</f>
        <v>46299</v>
      </c>
      <c r="N111" s="39" t="str">
        <f t="array" ref="N111">_xlfn.LET(_xlpm.t,_xlfn.XLOOKUP($A111,TRIM(SUBSTITUTE('worker file'!$A$2:$A$406,_xlfn.UNICHAR(160)," ")),'worker file'!$N$2:$N$406,""),IF(N(_xlpm.t)=0,"",_xlpm.t))</f>
        <v/>
      </c>
    </row>
    <row r="112" spans="1:14" x14ac:dyDescent="0.2">
      <c r="A112" s="35" t="s">
        <v>134</v>
      </c>
      <c r="B112" s="36" t="str">
        <f t="array" ref="B112">_xlfn.XLOOKUP($A112,TRIM(SUBSTITUTE('worker file'!$A$2:$A$406,_xlfn.UNICHAR(160)," ")),'worker file'!$L$2:$L$406,"Not found")</f>
        <v>US Biweekly</v>
      </c>
      <c r="C112" s="36" t="str">
        <f t="array" ref="C112">_xlfn.XLOOKUP($A112,TRIM(SUBSTITUTE('worker file'!$A$2:$A$406,_xlfn.UNICHAR(160)," ")),'worker file'!$D$2:$D$406,"Not found")</f>
        <v>CA</v>
      </c>
      <c r="D112" s="36" t="str">
        <f t="array" ref="D112">_xlfn.XLOOKUP($A112,TRIM(SUBSTITUTE('worker file'!$A$2:$A$406,_xlfn.UNICHAR(160)," ")),'worker file'!$Q$2:$Q$406,"Not found")</f>
        <v>Active</v>
      </c>
      <c r="E112" s="35" t="s">
        <v>634</v>
      </c>
      <c r="F112" t="str">
        <f t="shared" si="8"/>
        <v>Vision – Employee</v>
      </c>
      <c r="G112" t="str">
        <f t="shared" si="9"/>
        <v>Pre-tax Section 125 (exempt from FIT/SIT/FICA)</v>
      </c>
      <c r="H112" t="str">
        <f t="shared" si="10"/>
        <v>Flat</v>
      </c>
      <c r="I112" s="40" t="str">
        <f>IF($H112="Percent",_xlfn.XLOOKUP($E112,$A$5:$A$8,$F$5:$F$8,""),"")</f>
        <v/>
      </c>
      <c r="J112" s="38">
        <f t="shared" si="11"/>
        <v>30</v>
      </c>
      <c r="K112" t="str">
        <f t="shared" si="12"/>
        <v>Per pay period</v>
      </c>
      <c r="L112" t="str">
        <f t="shared" si="13"/>
        <v>Every pay period (ongoing)</v>
      </c>
      <c r="M112" s="39">
        <f t="array" ref="M112">MAX(_xlfn.XLOOKUP($A112,TRIM(SUBSTITUTE('worker file'!$A$2:$A$406,_xlfn.UNICHAR(160)," ")),'worker file'!$M$2:$M$406,0),_xlfn.XLOOKUP($B112,TRIM('pay group &amp; schedule'!$A$2:$A$6),'pay group &amp; schedule'!$D$2:$D$6,0))</f>
        <v>46299</v>
      </c>
      <c r="N112" s="39" t="str">
        <f t="array" ref="N112">_xlfn.LET(_xlpm.t,_xlfn.XLOOKUP($A112,TRIM(SUBSTITUTE('worker file'!$A$2:$A$406,_xlfn.UNICHAR(160)," ")),'worker file'!$N$2:$N$406,""),IF(N(_xlpm.t)=0,"",_xlpm.t))</f>
        <v/>
      </c>
    </row>
    <row r="113" spans="1:15" x14ac:dyDescent="0.2">
      <c r="A113" s="35" t="s">
        <v>135</v>
      </c>
      <c r="B113" s="36" t="str">
        <f t="array" ref="B113">_xlfn.XLOOKUP($A113,TRIM(SUBSTITUTE('worker file'!$A$2:$A$406,_xlfn.UNICHAR(160)," ")),'worker file'!$L$2:$L$406,"Not found")</f>
        <v>US Semi-monthly</v>
      </c>
      <c r="C113" s="36" t="str">
        <f t="array" ref="C113">_xlfn.XLOOKUP($A113,TRIM(SUBSTITUTE('worker file'!$A$2:$A$406,_xlfn.UNICHAR(160)," ")),'worker file'!$D$2:$D$406,"Not found")</f>
        <v>CA</v>
      </c>
      <c r="D113" s="36" t="str">
        <f t="array" ref="D113">_xlfn.XLOOKUP($A113,TRIM(SUBSTITUTE('worker file'!$A$2:$A$406,_xlfn.UNICHAR(160)," ")),'worker file'!$Q$2:$Q$406,"Not found")</f>
        <v>Active</v>
      </c>
      <c r="E113" s="35" t="s">
        <v>618</v>
      </c>
      <c r="F113" t="str">
        <f t="shared" si="8"/>
        <v>401(k) Employee Deferral</v>
      </c>
      <c r="G113" t="str">
        <f t="shared" si="9"/>
        <v>Pre-tax (exempt from FIT/SIT; subject to FICA)</v>
      </c>
      <c r="H113" t="str">
        <f t="shared" si="10"/>
        <v>Percent</v>
      </c>
      <c r="I113" s="37">
        <v>0.05</v>
      </c>
      <c r="J113" s="38" t="str">
        <f t="shared" si="11"/>
        <v/>
      </c>
      <c r="K113" t="str">
        <f t="shared" si="12"/>
        <v>Gross pay</v>
      </c>
      <c r="L113" t="str">
        <f t="shared" si="13"/>
        <v>Every pay period (ongoing)</v>
      </c>
      <c r="M113" s="39">
        <f t="array" ref="M113">MAX(_xlfn.XLOOKUP($A113,TRIM(SUBSTITUTE('worker file'!$A$2:$A$406,_xlfn.UNICHAR(160)," ")),'worker file'!$M$2:$M$406,0),_xlfn.XLOOKUP($B113,TRIM('pay group &amp; schedule'!$A$2:$A$6),'pay group &amp; schedule'!$D$2:$D$6,0))</f>
        <v>46311</v>
      </c>
      <c r="N113" s="39" t="str">
        <f t="array" ref="N113">_xlfn.LET(_xlpm.t,_xlfn.XLOOKUP($A113,TRIM(SUBSTITUTE('worker file'!$A$2:$A$406,_xlfn.UNICHAR(160)," ")),'worker file'!$N$2:$N$406,""),IF(N(_xlpm.t)=0,"",_xlpm.t))</f>
        <v/>
      </c>
    </row>
    <row r="114" spans="1:15" x14ac:dyDescent="0.2">
      <c r="A114" s="35" t="s">
        <v>135</v>
      </c>
      <c r="B114" s="36" t="str">
        <f t="array" ref="B114">_xlfn.XLOOKUP($A114,TRIM(SUBSTITUTE('worker file'!$A$2:$A$406,_xlfn.UNICHAR(160)," ")),'worker file'!$L$2:$L$406,"Not found")</f>
        <v>US Semi-monthly</v>
      </c>
      <c r="C114" s="36" t="str">
        <f t="array" ref="C114">_xlfn.XLOOKUP($A114,TRIM(SUBSTITUTE('worker file'!$A$2:$A$406,_xlfn.UNICHAR(160)," ")),'worker file'!$D$2:$D$406,"Not found")</f>
        <v>CA</v>
      </c>
      <c r="D114" s="36" t="str">
        <f t="array" ref="D114">_xlfn.XLOOKUP($A114,TRIM(SUBSTITUTE('worker file'!$A$2:$A$406,_xlfn.UNICHAR(160)," ")),'worker file'!$Q$2:$Q$406,"Not found")</f>
        <v>Active</v>
      </c>
      <c r="E114" s="35" t="s">
        <v>626</v>
      </c>
      <c r="F114" t="str">
        <f t="shared" si="8"/>
        <v>Medical (Health) – Employee</v>
      </c>
      <c r="G114" t="str">
        <f t="shared" si="9"/>
        <v>Pre-tax Section 125 (exempt from FIT/SIT/FICA)</v>
      </c>
      <c r="H114" t="str">
        <f t="shared" si="10"/>
        <v>Flat</v>
      </c>
      <c r="I114" s="40" t="str">
        <f>IF($H114="Percent",_xlfn.XLOOKUP($E114,$A$5:$A$8,$F$5:$F$8,""),"")</f>
        <v/>
      </c>
      <c r="J114" s="38">
        <f t="shared" si="11"/>
        <v>200</v>
      </c>
      <c r="K114" t="str">
        <f t="shared" si="12"/>
        <v>Per pay period</v>
      </c>
      <c r="L114" t="str">
        <f t="shared" si="13"/>
        <v>Every pay period (ongoing)</v>
      </c>
      <c r="M114" s="39">
        <f t="array" ref="M114">MAX(_xlfn.XLOOKUP($A114,TRIM(SUBSTITUTE('worker file'!$A$2:$A$406,_xlfn.UNICHAR(160)," ")),'worker file'!$M$2:$M$406,0),_xlfn.XLOOKUP($B114,TRIM('pay group &amp; schedule'!$A$2:$A$6),'pay group &amp; schedule'!$D$2:$D$6,0))</f>
        <v>46311</v>
      </c>
      <c r="N114" s="39" t="str">
        <f t="array" ref="N114">_xlfn.LET(_xlpm.t,_xlfn.XLOOKUP($A114,TRIM(SUBSTITUTE('worker file'!$A$2:$A$406,_xlfn.UNICHAR(160)," ")),'worker file'!$N$2:$N$406,""),IF(N(_xlpm.t)=0,"",_xlpm.t))</f>
        <v/>
      </c>
    </row>
    <row r="115" spans="1:15" x14ac:dyDescent="0.2">
      <c r="A115" s="35" t="s">
        <v>135</v>
      </c>
      <c r="B115" s="36" t="str">
        <f t="array" ref="B115">_xlfn.XLOOKUP($A115,TRIM(SUBSTITUTE('worker file'!$A$2:$A$406,_xlfn.UNICHAR(160)," ")),'worker file'!$L$2:$L$406,"Not found")</f>
        <v>US Semi-monthly</v>
      </c>
      <c r="C115" s="36" t="str">
        <f t="array" ref="C115">_xlfn.XLOOKUP($A115,TRIM(SUBSTITUTE('worker file'!$A$2:$A$406,_xlfn.UNICHAR(160)," ")),'worker file'!$D$2:$D$406,"Not found")</f>
        <v>CA</v>
      </c>
      <c r="D115" s="36" t="str">
        <f t="array" ref="D115">_xlfn.XLOOKUP($A115,TRIM(SUBSTITUTE('worker file'!$A$2:$A$406,_xlfn.UNICHAR(160)," ")),'worker file'!$Q$2:$Q$406,"Not found")</f>
        <v>Active</v>
      </c>
      <c r="E115" s="35" t="s">
        <v>632</v>
      </c>
      <c r="F115" t="str">
        <f t="shared" si="8"/>
        <v>Dental – Employee</v>
      </c>
      <c r="G115" t="str">
        <f t="shared" si="9"/>
        <v>Pre-tax Section 125 (exempt from FIT/SIT/FICA)</v>
      </c>
      <c r="H115" t="str">
        <f t="shared" si="10"/>
        <v>Flat</v>
      </c>
      <c r="I115" s="40" t="str">
        <f>IF($H115="Percent",_xlfn.XLOOKUP($E115,$A$5:$A$8,$F$5:$F$8,""),"")</f>
        <v/>
      </c>
      <c r="J115" s="38">
        <f t="shared" si="11"/>
        <v>44</v>
      </c>
      <c r="K115" t="str">
        <f t="shared" si="12"/>
        <v>Per pay period</v>
      </c>
      <c r="L115" t="str">
        <f t="shared" si="13"/>
        <v>Every pay period (ongoing)</v>
      </c>
      <c r="M115" s="39">
        <f t="array" ref="M115">MAX(_xlfn.XLOOKUP($A115,TRIM(SUBSTITUTE('worker file'!$A$2:$A$406,_xlfn.UNICHAR(160)," ")),'worker file'!$M$2:$M$406,0),_xlfn.XLOOKUP($B115,TRIM('pay group &amp; schedule'!$A$2:$A$6),'pay group &amp; schedule'!$D$2:$D$6,0))</f>
        <v>46311</v>
      </c>
      <c r="N115" s="39" t="str">
        <f t="array" ref="N115">_xlfn.LET(_xlpm.t,_xlfn.XLOOKUP($A115,TRIM(SUBSTITUTE('worker file'!$A$2:$A$406,_xlfn.UNICHAR(160)," ")),'worker file'!$N$2:$N$406,""),IF(N(_xlpm.t)=0,"",_xlpm.t))</f>
        <v/>
      </c>
    </row>
    <row r="116" spans="1:15" x14ac:dyDescent="0.2">
      <c r="A116" s="35" t="s">
        <v>135</v>
      </c>
      <c r="B116" s="36" t="str">
        <f t="array" ref="B116">_xlfn.XLOOKUP($A116,TRIM(SUBSTITUTE('worker file'!$A$2:$A$406,_xlfn.UNICHAR(160)," ")),'worker file'!$L$2:$L$406,"Not found")</f>
        <v>US Semi-monthly</v>
      </c>
      <c r="C116" s="36" t="str">
        <f t="array" ref="C116">_xlfn.XLOOKUP($A116,TRIM(SUBSTITUTE('worker file'!$A$2:$A$406,_xlfn.UNICHAR(160)," ")),'worker file'!$D$2:$D$406,"Not found")</f>
        <v>CA</v>
      </c>
      <c r="D116" s="36" t="str">
        <f t="array" ref="D116">_xlfn.XLOOKUP($A116,TRIM(SUBSTITUTE('worker file'!$A$2:$A$406,_xlfn.UNICHAR(160)," ")),'worker file'!$Q$2:$Q$406,"Not found")</f>
        <v>Active</v>
      </c>
      <c r="E116" s="35" t="s">
        <v>634</v>
      </c>
      <c r="F116" t="str">
        <f t="shared" si="8"/>
        <v>Vision – Employee</v>
      </c>
      <c r="G116" t="str">
        <f t="shared" si="9"/>
        <v>Pre-tax Section 125 (exempt from FIT/SIT/FICA)</v>
      </c>
      <c r="H116" t="str">
        <f t="shared" si="10"/>
        <v>Flat</v>
      </c>
      <c r="I116" s="40" t="str">
        <f>IF($H116="Percent",_xlfn.XLOOKUP($E116,$A$5:$A$8,$F$5:$F$8,""),"")</f>
        <v/>
      </c>
      <c r="J116" s="38">
        <f t="shared" si="11"/>
        <v>30</v>
      </c>
      <c r="K116" t="str">
        <f t="shared" si="12"/>
        <v>Per pay period</v>
      </c>
      <c r="L116" t="str">
        <f t="shared" si="13"/>
        <v>Every pay period (ongoing)</v>
      </c>
      <c r="M116" s="39">
        <f t="array" ref="M116">MAX(_xlfn.XLOOKUP($A116,TRIM(SUBSTITUTE('worker file'!$A$2:$A$406,_xlfn.UNICHAR(160)," ")),'worker file'!$M$2:$M$406,0),_xlfn.XLOOKUP($B116,TRIM('pay group &amp; schedule'!$A$2:$A$6),'pay group &amp; schedule'!$D$2:$D$6,0))</f>
        <v>46311</v>
      </c>
      <c r="N116" s="39" t="str">
        <f t="array" ref="N116">_xlfn.LET(_xlpm.t,_xlfn.XLOOKUP($A116,TRIM(SUBSTITUTE('worker file'!$A$2:$A$406,_xlfn.UNICHAR(160)," ")),'worker file'!$N$2:$N$406,""),IF(N(_xlpm.t)=0,"",_xlpm.t))</f>
        <v/>
      </c>
    </row>
    <row r="117" spans="1:15" x14ac:dyDescent="0.2">
      <c r="A117" s="35" t="s">
        <v>136</v>
      </c>
      <c r="B117" s="36" t="str">
        <f t="array" ref="B117">_xlfn.XLOOKUP($A117,TRIM(SUBSTITUTE('worker file'!$A$2:$A$406,_xlfn.UNICHAR(160)," ")),'worker file'!$L$2:$L$406,"Not found")</f>
        <v>US Semi-monthly</v>
      </c>
      <c r="C117" s="36" t="str">
        <f t="array" ref="C117">_xlfn.XLOOKUP($A117,TRIM(SUBSTITUTE('worker file'!$A$2:$A$406,_xlfn.UNICHAR(160)," ")),'worker file'!$D$2:$D$406,"Not found")</f>
        <v>CA</v>
      </c>
      <c r="D117" s="36" t="str">
        <f t="array" ref="D117">_xlfn.XLOOKUP($A117,TRIM(SUBSTITUTE('worker file'!$A$2:$A$406,_xlfn.UNICHAR(160)," ")),'worker file'!$Q$2:$Q$406,"Not found")</f>
        <v>Active</v>
      </c>
      <c r="E117" s="35" t="s">
        <v>618</v>
      </c>
      <c r="F117" t="str">
        <f t="shared" si="8"/>
        <v>401(k) Employee Deferral</v>
      </c>
      <c r="G117" t="str">
        <f t="shared" si="9"/>
        <v>Pre-tax (exempt from FIT/SIT; subject to FICA)</v>
      </c>
      <c r="H117" t="str">
        <f t="shared" si="10"/>
        <v>Percent</v>
      </c>
      <c r="I117" s="37">
        <v>0.02</v>
      </c>
      <c r="J117" s="38" t="str">
        <f t="shared" si="11"/>
        <v/>
      </c>
      <c r="K117" t="str">
        <f t="shared" si="12"/>
        <v>Gross pay</v>
      </c>
      <c r="L117" t="str">
        <f t="shared" si="13"/>
        <v>Every pay period (ongoing)</v>
      </c>
      <c r="M117" s="39">
        <f t="array" ref="M117">MAX(_xlfn.XLOOKUP($A117,TRIM(SUBSTITUTE('worker file'!$A$2:$A$406,_xlfn.UNICHAR(160)," ")),'worker file'!$M$2:$M$406,0),_xlfn.XLOOKUP($B117,TRIM('pay group &amp; schedule'!$A$2:$A$6),'pay group &amp; schedule'!$D$2:$D$6,0))</f>
        <v>46311</v>
      </c>
      <c r="N117" s="39" t="str">
        <f t="array" ref="N117">_xlfn.LET(_xlpm.t,_xlfn.XLOOKUP($A117,TRIM(SUBSTITUTE('worker file'!$A$2:$A$406,_xlfn.UNICHAR(160)," ")),'worker file'!$N$2:$N$406,""),IF(N(_xlpm.t)=0,"",_xlpm.t))</f>
        <v/>
      </c>
    </row>
    <row r="118" spans="1:15" x14ac:dyDescent="0.2">
      <c r="A118" s="35" t="s">
        <v>136</v>
      </c>
      <c r="B118" s="36" t="str">
        <f t="array" ref="B118">_xlfn.XLOOKUP($A118,TRIM(SUBSTITUTE('worker file'!$A$2:$A$406,_xlfn.UNICHAR(160)," ")),'worker file'!$L$2:$L$406,"Not found")</f>
        <v>US Semi-monthly</v>
      </c>
      <c r="C118" s="36" t="str">
        <f t="array" ref="C118">_xlfn.XLOOKUP($A118,TRIM(SUBSTITUTE('worker file'!$A$2:$A$406,_xlfn.UNICHAR(160)," ")),'worker file'!$D$2:$D$406,"Not found")</f>
        <v>CA</v>
      </c>
      <c r="D118" s="36" t="str">
        <f t="array" ref="D118">_xlfn.XLOOKUP($A118,TRIM(SUBSTITUTE('worker file'!$A$2:$A$406,_xlfn.UNICHAR(160)," ")),'worker file'!$Q$2:$Q$406,"Not found")</f>
        <v>Active</v>
      </c>
      <c r="E118" s="35" t="s">
        <v>626</v>
      </c>
      <c r="F118" t="str">
        <f t="shared" si="8"/>
        <v>Medical (Health) – Employee</v>
      </c>
      <c r="G118" t="str">
        <f t="shared" si="9"/>
        <v>Pre-tax Section 125 (exempt from FIT/SIT/FICA)</v>
      </c>
      <c r="H118" t="str">
        <f t="shared" si="10"/>
        <v>Flat</v>
      </c>
      <c r="I118" s="40" t="str">
        <f>IF($H118="Percent",_xlfn.XLOOKUP($E118,$A$5:$A$8,$F$5:$F$8,""),"")</f>
        <v/>
      </c>
      <c r="J118" s="38">
        <f t="shared" si="11"/>
        <v>200</v>
      </c>
      <c r="K118" t="str">
        <f t="shared" si="12"/>
        <v>Per pay period</v>
      </c>
      <c r="L118" t="str">
        <f t="shared" si="13"/>
        <v>Every pay period (ongoing)</v>
      </c>
      <c r="M118" s="39">
        <f t="array" ref="M118">MAX(_xlfn.XLOOKUP($A118,TRIM(SUBSTITUTE('worker file'!$A$2:$A$406,_xlfn.UNICHAR(160)," ")),'worker file'!$M$2:$M$406,0),_xlfn.XLOOKUP($B118,TRIM('pay group &amp; schedule'!$A$2:$A$6),'pay group &amp; schedule'!$D$2:$D$6,0))</f>
        <v>46311</v>
      </c>
      <c r="N118" s="39" t="str">
        <f t="array" ref="N118">_xlfn.LET(_xlpm.t,_xlfn.XLOOKUP($A118,TRIM(SUBSTITUTE('worker file'!$A$2:$A$406,_xlfn.UNICHAR(160)," ")),'worker file'!$N$2:$N$406,""),IF(N(_xlpm.t)=0,"",_xlpm.t))</f>
        <v/>
      </c>
    </row>
    <row r="119" spans="1:15" x14ac:dyDescent="0.2">
      <c r="A119" s="35" t="s">
        <v>136</v>
      </c>
      <c r="B119" s="36" t="str">
        <f t="array" ref="B119">_xlfn.XLOOKUP($A119,TRIM(SUBSTITUTE('worker file'!$A$2:$A$406,_xlfn.UNICHAR(160)," ")),'worker file'!$L$2:$L$406,"Not found")</f>
        <v>US Semi-monthly</v>
      </c>
      <c r="C119" s="36" t="str">
        <f t="array" ref="C119">_xlfn.XLOOKUP($A119,TRIM(SUBSTITUTE('worker file'!$A$2:$A$406,_xlfn.UNICHAR(160)," ")),'worker file'!$D$2:$D$406,"Not found")</f>
        <v>CA</v>
      </c>
      <c r="D119" s="36" t="str">
        <f t="array" ref="D119">_xlfn.XLOOKUP($A119,TRIM(SUBSTITUTE('worker file'!$A$2:$A$406,_xlfn.UNICHAR(160)," ")),'worker file'!$Q$2:$Q$406,"Not found")</f>
        <v>Active</v>
      </c>
      <c r="E119" s="35" t="s">
        <v>632</v>
      </c>
      <c r="F119" t="str">
        <f t="shared" si="8"/>
        <v>Dental – Employee</v>
      </c>
      <c r="G119" t="str">
        <f t="shared" si="9"/>
        <v>Pre-tax Section 125 (exempt from FIT/SIT/FICA)</v>
      </c>
      <c r="H119" t="str">
        <f t="shared" si="10"/>
        <v>Flat</v>
      </c>
      <c r="I119" s="40" t="str">
        <f>IF($H119="Percent",_xlfn.XLOOKUP($E119,$A$5:$A$8,$F$5:$F$8,""),"")</f>
        <v/>
      </c>
      <c r="J119" s="38">
        <f t="shared" si="11"/>
        <v>44</v>
      </c>
      <c r="K119" t="str">
        <f t="shared" si="12"/>
        <v>Per pay period</v>
      </c>
      <c r="L119" t="str">
        <f t="shared" si="13"/>
        <v>Every pay period (ongoing)</v>
      </c>
      <c r="M119" s="39">
        <f t="array" ref="M119">MAX(_xlfn.XLOOKUP($A119,TRIM(SUBSTITUTE('worker file'!$A$2:$A$406,_xlfn.UNICHAR(160)," ")),'worker file'!$M$2:$M$406,0),_xlfn.XLOOKUP($B119,TRIM('pay group &amp; schedule'!$A$2:$A$6),'pay group &amp; schedule'!$D$2:$D$6,0))</f>
        <v>46311</v>
      </c>
      <c r="N119" s="39" t="str">
        <f t="array" ref="N119">_xlfn.LET(_xlpm.t,_xlfn.XLOOKUP($A119,TRIM(SUBSTITUTE('worker file'!$A$2:$A$406,_xlfn.UNICHAR(160)," ")),'worker file'!$N$2:$N$406,""),IF(N(_xlpm.t)=0,"",_xlpm.t))</f>
        <v/>
      </c>
    </row>
    <row r="120" spans="1:15" x14ac:dyDescent="0.2">
      <c r="A120" s="35" t="s">
        <v>136</v>
      </c>
      <c r="B120" s="36" t="str">
        <f t="array" ref="B120">_xlfn.XLOOKUP($A120,TRIM(SUBSTITUTE('worker file'!$A$2:$A$406,_xlfn.UNICHAR(160)," ")),'worker file'!$L$2:$L$406,"Not found")</f>
        <v>US Semi-monthly</v>
      </c>
      <c r="C120" s="36" t="str">
        <f t="array" ref="C120">_xlfn.XLOOKUP($A120,TRIM(SUBSTITUTE('worker file'!$A$2:$A$406,_xlfn.UNICHAR(160)," ")),'worker file'!$D$2:$D$406,"Not found")</f>
        <v>CA</v>
      </c>
      <c r="D120" s="36" t="str">
        <f t="array" ref="D120">_xlfn.XLOOKUP($A120,TRIM(SUBSTITUTE('worker file'!$A$2:$A$406,_xlfn.UNICHAR(160)," ")),'worker file'!$Q$2:$Q$406,"Not found")</f>
        <v>Active</v>
      </c>
      <c r="E120" s="35" t="s">
        <v>634</v>
      </c>
      <c r="F120" t="str">
        <f t="shared" si="8"/>
        <v>Vision – Employee</v>
      </c>
      <c r="G120" t="str">
        <f t="shared" si="9"/>
        <v>Pre-tax Section 125 (exempt from FIT/SIT/FICA)</v>
      </c>
      <c r="H120" t="str">
        <f t="shared" si="10"/>
        <v>Flat</v>
      </c>
      <c r="I120" s="40" t="str">
        <f>IF($H120="Percent",_xlfn.XLOOKUP($E120,$A$5:$A$8,$F$5:$F$8,""),"")</f>
        <v/>
      </c>
      <c r="J120" s="38">
        <f t="shared" si="11"/>
        <v>30</v>
      </c>
      <c r="K120" t="str">
        <f t="shared" si="12"/>
        <v>Per pay period</v>
      </c>
      <c r="L120" t="str">
        <f t="shared" si="13"/>
        <v>Every pay period (ongoing)</v>
      </c>
      <c r="M120" s="39">
        <f t="array" ref="M120">MAX(_xlfn.XLOOKUP($A120,TRIM(SUBSTITUTE('worker file'!$A$2:$A$406,_xlfn.UNICHAR(160)," ")),'worker file'!$M$2:$M$406,0),_xlfn.XLOOKUP($B120,TRIM('pay group &amp; schedule'!$A$2:$A$6),'pay group &amp; schedule'!$D$2:$D$6,0))</f>
        <v>46311</v>
      </c>
      <c r="N120" s="39" t="str">
        <f t="array" ref="N120">_xlfn.LET(_xlpm.t,_xlfn.XLOOKUP($A120,TRIM(SUBSTITUTE('worker file'!$A$2:$A$406,_xlfn.UNICHAR(160)," ")),'worker file'!$N$2:$N$406,""),IF(N(_xlpm.t)=0,"",_xlpm.t))</f>
        <v/>
      </c>
    </row>
    <row r="121" spans="1:15" x14ac:dyDescent="0.2">
      <c r="A121" s="35" t="s">
        <v>137</v>
      </c>
      <c r="B121" s="36" t="str">
        <f t="array" ref="B121">_xlfn.XLOOKUP($A121,TRIM(SUBSTITUTE('worker file'!$A$2:$A$406,_xlfn.UNICHAR(160)," ")),'worker file'!$L$2:$L$406,"Not found")</f>
        <v>US Biweekly</v>
      </c>
      <c r="C121" s="36" t="str">
        <f t="array" ref="C121">_xlfn.XLOOKUP($A121,TRIM(SUBSTITUTE('worker file'!$A$2:$A$406,_xlfn.UNICHAR(160)," ")),'worker file'!$D$2:$D$406,"Not found")</f>
        <v>CA</v>
      </c>
      <c r="D121" s="36" t="str">
        <f t="array" ref="D121">_xlfn.XLOOKUP($A121,TRIM(SUBSTITUTE('worker file'!$A$2:$A$406,_xlfn.UNICHAR(160)," ")),'worker file'!$Q$2:$Q$406,"Not found")</f>
        <v>Termination pending</v>
      </c>
      <c r="E121" s="35" t="s">
        <v>618</v>
      </c>
      <c r="F121" t="str">
        <f t="shared" si="8"/>
        <v>401(k) Employee Deferral</v>
      </c>
      <c r="G121" t="str">
        <f t="shared" si="9"/>
        <v>Pre-tax (exempt from FIT/SIT; subject to FICA)</v>
      </c>
      <c r="H121" t="str">
        <f t="shared" si="10"/>
        <v>Percent</v>
      </c>
      <c r="I121" s="37">
        <v>7.0000000000000007E-2</v>
      </c>
      <c r="J121" s="38" t="str">
        <f t="shared" si="11"/>
        <v/>
      </c>
      <c r="K121" t="str">
        <f t="shared" si="12"/>
        <v>Gross pay</v>
      </c>
      <c r="L121" t="str">
        <f t="shared" si="13"/>
        <v>Every pay period (ongoing)</v>
      </c>
      <c r="M121" s="39">
        <f t="array" ref="M121">MAX(_xlfn.XLOOKUP($A121,TRIM(SUBSTITUTE('worker file'!$A$2:$A$406,_xlfn.UNICHAR(160)," ")),'worker file'!$M$2:$M$406,0),_xlfn.XLOOKUP($B121,TRIM('pay group &amp; schedule'!$A$2:$A$6),'pay group &amp; schedule'!$D$2:$D$6,0))</f>
        <v>46299</v>
      </c>
      <c r="N121" s="39">
        <f t="array" ref="N121">_xlfn.LET(_xlpm.t,_xlfn.XLOOKUP($A121,TRIM(SUBSTITUTE('worker file'!$A$2:$A$406,_xlfn.UNICHAR(160)," ")),'worker file'!$N$2:$N$406,""),IF(N(_xlpm.t)=0,"",_xlpm.t))</f>
        <v>46308</v>
      </c>
      <c r="O121" t="s">
        <v>644</v>
      </c>
    </row>
    <row r="122" spans="1:15" x14ac:dyDescent="0.2">
      <c r="A122" s="35" t="s">
        <v>137</v>
      </c>
      <c r="B122" s="36" t="str">
        <f t="array" ref="B122">_xlfn.XLOOKUP($A122,TRIM(SUBSTITUTE('worker file'!$A$2:$A$406,_xlfn.UNICHAR(160)," ")),'worker file'!$L$2:$L$406,"Not found")</f>
        <v>US Biweekly</v>
      </c>
      <c r="C122" s="36" t="str">
        <f t="array" ref="C122">_xlfn.XLOOKUP($A122,TRIM(SUBSTITUTE('worker file'!$A$2:$A$406,_xlfn.UNICHAR(160)," ")),'worker file'!$D$2:$D$406,"Not found")</f>
        <v>CA</v>
      </c>
      <c r="D122" s="36" t="str">
        <f t="array" ref="D122">_xlfn.XLOOKUP($A122,TRIM(SUBSTITUTE('worker file'!$A$2:$A$406,_xlfn.UNICHAR(160)," ")),'worker file'!$Q$2:$Q$406,"Not found")</f>
        <v>Termination pending</v>
      </c>
      <c r="E122" s="35" t="s">
        <v>626</v>
      </c>
      <c r="F122" t="str">
        <f t="shared" si="8"/>
        <v>Medical (Health) – Employee</v>
      </c>
      <c r="G122" t="str">
        <f t="shared" si="9"/>
        <v>Pre-tax Section 125 (exempt from FIT/SIT/FICA)</v>
      </c>
      <c r="H122" t="str">
        <f t="shared" si="10"/>
        <v>Flat</v>
      </c>
      <c r="I122" s="40" t="str">
        <f>IF($H122="Percent",_xlfn.XLOOKUP($E122,$A$5:$A$8,$F$5:$F$8,""),"")</f>
        <v/>
      </c>
      <c r="J122" s="38">
        <f t="shared" si="11"/>
        <v>200</v>
      </c>
      <c r="K122" t="str">
        <f t="shared" si="12"/>
        <v>Per pay period</v>
      </c>
      <c r="L122" t="str">
        <f t="shared" si="13"/>
        <v>Every pay period (ongoing)</v>
      </c>
      <c r="M122" s="39">
        <f t="array" ref="M122">MAX(_xlfn.XLOOKUP($A122,TRIM(SUBSTITUTE('worker file'!$A$2:$A$406,_xlfn.UNICHAR(160)," ")),'worker file'!$M$2:$M$406,0),_xlfn.XLOOKUP($B122,TRIM('pay group &amp; schedule'!$A$2:$A$6),'pay group &amp; schedule'!$D$2:$D$6,0))</f>
        <v>46299</v>
      </c>
      <c r="N122" s="39">
        <f t="array" ref="N122">_xlfn.LET(_xlpm.t,_xlfn.XLOOKUP($A122,TRIM(SUBSTITUTE('worker file'!$A$2:$A$406,_xlfn.UNICHAR(160)," ")),'worker file'!$N$2:$N$406,""),IF(N(_xlpm.t)=0,"",_xlpm.t))</f>
        <v>46308</v>
      </c>
      <c r="O122" t="s">
        <v>644</v>
      </c>
    </row>
    <row r="123" spans="1:15" x14ac:dyDescent="0.2">
      <c r="A123" s="35" t="s">
        <v>137</v>
      </c>
      <c r="B123" s="36" t="str">
        <f t="array" ref="B123">_xlfn.XLOOKUP($A123,TRIM(SUBSTITUTE('worker file'!$A$2:$A$406,_xlfn.UNICHAR(160)," ")),'worker file'!$L$2:$L$406,"Not found")</f>
        <v>US Biweekly</v>
      </c>
      <c r="C123" s="36" t="str">
        <f t="array" ref="C123">_xlfn.XLOOKUP($A123,TRIM(SUBSTITUTE('worker file'!$A$2:$A$406,_xlfn.UNICHAR(160)," ")),'worker file'!$D$2:$D$406,"Not found")</f>
        <v>CA</v>
      </c>
      <c r="D123" s="36" t="str">
        <f t="array" ref="D123">_xlfn.XLOOKUP($A123,TRIM(SUBSTITUTE('worker file'!$A$2:$A$406,_xlfn.UNICHAR(160)," ")),'worker file'!$Q$2:$Q$406,"Not found")</f>
        <v>Termination pending</v>
      </c>
      <c r="E123" s="35" t="s">
        <v>632</v>
      </c>
      <c r="F123" t="str">
        <f t="shared" si="8"/>
        <v>Dental – Employee</v>
      </c>
      <c r="G123" t="str">
        <f t="shared" si="9"/>
        <v>Pre-tax Section 125 (exempt from FIT/SIT/FICA)</v>
      </c>
      <c r="H123" t="str">
        <f t="shared" si="10"/>
        <v>Flat</v>
      </c>
      <c r="I123" s="40" t="str">
        <f>IF($H123="Percent",_xlfn.XLOOKUP($E123,$A$5:$A$8,$F$5:$F$8,""),"")</f>
        <v/>
      </c>
      <c r="J123" s="38">
        <f t="shared" si="11"/>
        <v>44</v>
      </c>
      <c r="K123" t="str">
        <f t="shared" si="12"/>
        <v>Per pay period</v>
      </c>
      <c r="L123" t="str">
        <f t="shared" si="13"/>
        <v>Every pay period (ongoing)</v>
      </c>
      <c r="M123" s="39">
        <f t="array" ref="M123">MAX(_xlfn.XLOOKUP($A123,TRIM(SUBSTITUTE('worker file'!$A$2:$A$406,_xlfn.UNICHAR(160)," ")),'worker file'!$M$2:$M$406,0),_xlfn.XLOOKUP($B123,TRIM('pay group &amp; schedule'!$A$2:$A$6),'pay group &amp; schedule'!$D$2:$D$6,0))</f>
        <v>46299</v>
      </c>
      <c r="N123" s="39">
        <f t="array" ref="N123">_xlfn.LET(_xlpm.t,_xlfn.XLOOKUP($A123,TRIM(SUBSTITUTE('worker file'!$A$2:$A$406,_xlfn.UNICHAR(160)," ")),'worker file'!$N$2:$N$406,""),IF(N(_xlpm.t)=0,"",_xlpm.t))</f>
        <v>46308</v>
      </c>
      <c r="O123" t="s">
        <v>644</v>
      </c>
    </row>
    <row r="124" spans="1:15" x14ac:dyDescent="0.2">
      <c r="A124" s="35" t="s">
        <v>137</v>
      </c>
      <c r="B124" s="36" t="str">
        <f t="array" ref="B124">_xlfn.XLOOKUP($A124,TRIM(SUBSTITUTE('worker file'!$A$2:$A$406,_xlfn.UNICHAR(160)," ")),'worker file'!$L$2:$L$406,"Not found")</f>
        <v>US Biweekly</v>
      </c>
      <c r="C124" s="36" t="str">
        <f t="array" ref="C124">_xlfn.XLOOKUP($A124,TRIM(SUBSTITUTE('worker file'!$A$2:$A$406,_xlfn.UNICHAR(160)," ")),'worker file'!$D$2:$D$406,"Not found")</f>
        <v>CA</v>
      </c>
      <c r="D124" s="36" t="str">
        <f t="array" ref="D124">_xlfn.XLOOKUP($A124,TRIM(SUBSTITUTE('worker file'!$A$2:$A$406,_xlfn.UNICHAR(160)," ")),'worker file'!$Q$2:$Q$406,"Not found")</f>
        <v>Termination pending</v>
      </c>
      <c r="E124" s="35" t="s">
        <v>634</v>
      </c>
      <c r="F124" t="str">
        <f t="shared" si="8"/>
        <v>Vision – Employee</v>
      </c>
      <c r="G124" t="str">
        <f t="shared" si="9"/>
        <v>Pre-tax Section 125 (exempt from FIT/SIT/FICA)</v>
      </c>
      <c r="H124" t="str">
        <f t="shared" si="10"/>
        <v>Flat</v>
      </c>
      <c r="I124" s="40" t="str">
        <f>IF($H124="Percent",_xlfn.XLOOKUP($E124,$A$5:$A$8,$F$5:$F$8,""),"")</f>
        <v/>
      </c>
      <c r="J124" s="38">
        <f t="shared" si="11"/>
        <v>30</v>
      </c>
      <c r="K124" t="str">
        <f t="shared" si="12"/>
        <v>Per pay period</v>
      </c>
      <c r="L124" t="str">
        <f t="shared" si="13"/>
        <v>Every pay period (ongoing)</v>
      </c>
      <c r="M124" s="39">
        <f t="array" ref="M124">MAX(_xlfn.XLOOKUP($A124,TRIM(SUBSTITUTE('worker file'!$A$2:$A$406,_xlfn.UNICHAR(160)," ")),'worker file'!$M$2:$M$406,0),_xlfn.XLOOKUP($B124,TRIM('pay group &amp; schedule'!$A$2:$A$6),'pay group &amp; schedule'!$D$2:$D$6,0))</f>
        <v>46299</v>
      </c>
      <c r="N124" s="39">
        <f t="array" ref="N124">_xlfn.LET(_xlpm.t,_xlfn.XLOOKUP($A124,TRIM(SUBSTITUTE('worker file'!$A$2:$A$406,_xlfn.UNICHAR(160)," ")),'worker file'!$N$2:$N$406,""),IF(N(_xlpm.t)=0,"",_xlpm.t))</f>
        <v>46308</v>
      </c>
      <c r="O124" t="s">
        <v>644</v>
      </c>
    </row>
    <row r="125" spans="1:15" x14ac:dyDescent="0.2">
      <c r="A125" s="35" t="s">
        <v>139</v>
      </c>
      <c r="B125" s="36" t="str">
        <f t="array" ref="B125">_xlfn.XLOOKUP($A125,TRIM(SUBSTITUTE('worker file'!$A$2:$A$406,_xlfn.UNICHAR(160)," ")),'worker file'!$L$2:$L$406,"Not found")</f>
        <v>US Biweekly</v>
      </c>
      <c r="C125" s="36" t="str">
        <f t="array" ref="C125">_xlfn.XLOOKUP($A125,TRIM(SUBSTITUTE('worker file'!$A$2:$A$406,_xlfn.UNICHAR(160)," ")),'worker file'!$D$2:$D$406,"Not found")</f>
        <v>CA</v>
      </c>
      <c r="D125" s="36" t="str">
        <f t="array" ref="D125">_xlfn.XLOOKUP($A125,TRIM(SUBSTITUTE('worker file'!$A$2:$A$406,_xlfn.UNICHAR(160)," ")),'worker file'!$Q$2:$Q$406,"Not found")</f>
        <v>Termination pending</v>
      </c>
      <c r="E125" s="35" t="s">
        <v>618</v>
      </c>
      <c r="F125" t="str">
        <f t="shared" si="8"/>
        <v>401(k) Employee Deferral</v>
      </c>
      <c r="G125" t="str">
        <f t="shared" si="9"/>
        <v>Pre-tax (exempt from FIT/SIT; subject to FICA)</v>
      </c>
      <c r="H125" t="str">
        <f t="shared" si="10"/>
        <v>Percent</v>
      </c>
      <c r="I125" s="37">
        <v>0.04</v>
      </c>
      <c r="J125" s="38" t="str">
        <f t="shared" si="11"/>
        <v/>
      </c>
      <c r="K125" t="str">
        <f t="shared" si="12"/>
        <v>Gross pay</v>
      </c>
      <c r="L125" t="str">
        <f t="shared" si="13"/>
        <v>Every pay period (ongoing)</v>
      </c>
      <c r="M125" s="39">
        <f t="array" ref="M125">MAX(_xlfn.XLOOKUP($A125,TRIM(SUBSTITUTE('worker file'!$A$2:$A$406,_xlfn.UNICHAR(160)," ")),'worker file'!$M$2:$M$406,0),_xlfn.XLOOKUP($B125,TRIM('pay group &amp; schedule'!$A$2:$A$6),'pay group &amp; schedule'!$D$2:$D$6,0))</f>
        <v>46299</v>
      </c>
      <c r="N125" s="39">
        <f t="array" ref="N125">_xlfn.LET(_xlpm.t,_xlfn.XLOOKUP($A125,TRIM(SUBSTITUTE('worker file'!$A$2:$A$406,_xlfn.UNICHAR(160)," ")),'worker file'!$N$2:$N$406,""),IF(N(_xlpm.t)=0,"",_xlpm.t))</f>
        <v>46312</v>
      </c>
      <c r="O125" t="s">
        <v>644</v>
      </c>
    </row>
    <row r="126" spans="1:15" x14ac:dyDescent="0.2">
      <c r="A126" s="35" t="s">
        <v>139</v>
      </c>
      <c r="B126" s="36" t="str">
        <f t="array" ref="B126">_xlfn.XLOOKUP($A126,TRIM(SUBSTITUTE('worker file'!$A$2:$A$406,_xlfn.UNICHAR(160)," ")),'worker file'!$L$2:$L$406,"Not found")</f>
        <v>US Biweekly</v>
      </c>
      <c r="C126" s="36" t="str">
        <f t="array" ref="C126">_xlfn.XLOOKUP($A126,TRIM(SUBSTITUTE('worker file'!$A$2:$A$406,_xlfn.UNICHAR(160)," ")),'worker file'!$D$2:$D$406,"Not found")</f>
        <v>CA</v>
      </c>
      <c r="D126" s="36" t="str">
        <f t="array" ref="D126">_xlfn.XLOOKUP($A126,TRIM(SUBSTITUTE('worker file'!$A$2:$A$406,_xlfn.UNICHAR(160)," ")),'worker file'!$Q$2:$Q$406,"Not found")</f>
        <v>Termination pending</v>
      </c>
      <c r="E126" s="35" t="s">
        <v>626</v>
      </c>
      <c r="F126" t="str">
        <f t="shared" si="8"/>
        <v>Medical (Health) – Employee</v>
      </c>
      <c r="G126" t="str">
        <f t="shared" si="9"/>
        <v>Pre-tax Section 125 (exempt from FIT/SIT/FICA)</v>
      </c>
      <c r="H126" t="str">
        <f t="shared" si="10"/>
        <v>Flat</v>
      </c>
      <c r="I126" s="40" t="str">
        <f>IF($H126="Percent",_xlfn.XLOOKUP($E126,$A$5:$A$8,$F$5:$F$8,""),"")</f>
        <v/>
      </c>
      <c r="J126" s="38">
        <f t="shared" si="11"/>
        <v>200</v>
      </c>
      <c r="K126" t="str">
        <f t="shared" si="12"/>
        <v>Per pay period</v>
      </c>
      <c r="L126" t="str">
        <f t="shared" si="13"/>
        <v>Every pay period (ongoing)</v>
      </c>
      <c r="M126" s="39">
        <f t="array" ref="M126">MAX(_xlfn.XLOOKUP($A126,TRIM(SUBSTITUTE('worker file'!$A$2:$A$406,_xlfn.UNICHAR(160)," ")),'worker file'!$M$2:$M$406,0),_xlfn.XLOOKUP($B126,TRIM('pay group &amp; schedule'!$A$2:$A$6),'pay group &amp; schedule'!$D$2:$D$6,0))</f>
        <v>46299</v>
      </c>
      <c r="N126" s="39">
        <f t="array" ref="N126">_xlfn.LET(_xlpm.t,_xlfn.XLOOKUP($A126,TRIM(SUBSTITUTE('worker file'!$A$2:$A$406,_xlfn.UNICHAR(160)," ")),'worker file'!$N$2:$N$406,""),IF(N(_xlpm.t)=0,"",_xlpm.t))</f>
        <v>46312</v>
      </c>
      <c r="O126" t="s">
        <v>644</v>
      </c>
    </row>
    <row r="127" spans="1:15" x14ac:dyDescent="0.2">
      <c r="A127" s="35" t="s">
        <v>139</v>
      </c>
      <c r="B127" s="36" t="str">
        <f t="array" ref="B127">_xlfn.XLOOKUP($A127,TRIM(SUBSTITUTE('worker file'!$A$2:$A$406,_xlfn.UNICHAR(160)," ")),'worker file'!$L$2:$L$406,"Not found")</f>
        <v>US Biweekly</v>
      </c>
      <c r="C127" s="36" t="str">
        <f t="array" ref="C127">_xlfn.XLOOKUP($A127,TRIM(SUBSTITUTE('worker file'!$A$2:$A$406,_xlfn.UNICHAR(160)," ")),'worker file'!$D$2:$D$406,"Not found")</f>
        <v>CA</v>
      </c>
      <c r="D127" s="36" t="str">
        <f t="array" ref="D127">_xlfn.XLOOKUP($A127,TRIM(SUBSTITUTE('worker file'!$A$2:$A$406,_xlfn.UNICHAR(160)," ")),'worker file'!$Q$2:$Q$406,"Not found")</f>
        <v>Termination pending</v>
      </c>
      <c r="E127" s="35" t="s">
        <v>632</v>
      </c>
      <c r="F127" t="str">
        <f t="shared" si="8"/>
        <v>Dental – Employee</v>
      </c>
      <c r="G127" t="str">
        <f t="shared" si="9"/>
        <v>Pre-tax Section 125 (exempt from FIT/SIT/FICA)</v>
      </c>
      <c r="H127" t="str">
        <f t="shared" si="10"/>
        <v>Flat</v>
      </c>
      <c r="I127" s="40" t="str">
        <f>IF($H127="Percent",_xlfn.XLOOKUP($E127,$A$5:$A$8,$F$5:$F$8,""),"")</f>
        <v/>
      </c>
      <c r="J127" s="38">
        <f t="shared" si="11"/>
        <v>44</v>
      </c>
      <c r="K127" t="str">
        <f t="shared" si="12"/>
        <v>Per pay period</v>
      </c>
      <c r="L127" t="str">
        <f t="shared" si="13"/>
        <v>Every pay period (ongoing)</v>
      </c>
      <c r="M127" s="39">
        <f t="array" ref="M127">MAX(_xlfn.XLOOKUP($A127,TRIM(SUBSTITUTE('worker file'!$A$2:$A$406,_xlfn.UNICHAR(160)," ")),'worker file'!$M$2:$M$406,0),_xlfn.XLOOKUP($B127,TRIM('pay group &amp; schedule'!$A$2:$A$6),'pay group &amp; schedule'!$D$2:$D$6,0))</f>
        <v>46299</v>
      </c>
      <c r="N127" s="39">
        <f t="array" ref="N127">_xlfn.LET(_xlpm.t,_xlfn.XLOOKUP($A127,TRIM(SUBSTITUTE('worker file'!$A$2:$A$406,_xlfn.UNICHAR(160)," ")),'worker file'!$N$2:$N$406,""),IF(N(_xlpm.t)=0,"",_xlpm.t))</f>
        <v>46312</v>
      </c>
      <c r="O127" t="s">
        <v>644</v>
      </c>
    </row>
    <row r="128" spans="1:15" x14ac:dyDescent="0.2">
      <c r="A128" s="35" t="s">
        <v>139</v>
      </c>
      <c r="B128" s="36" t="str">
        <f t="array" ref="B128">_xlfn.XLOOKUP($A128,TRIM(SUBSTITUTE('worker file'!$A$2:$A$406,_xlfn.UNICHAR(160)," ")),'worker file'!$L$2:$L$406,"Not found")</f>
        <v>US Biweekly</v>
      </c>
      <c r="C128" s="36" t="str">
        <f t="array" ref="C128">_xlfn.XLOOKUP($A128,TRIM(SUBSTITUTE('worker file'!$A$2:$A$406,_xlfn.UNICHAR(160)," ")),'worker file'!$D$2:$D$406,"Not found")</f>
        <v>CA</v>
      </c>
      <c r="D128" s="36" t="str">
        <f t="array" ref="D128">_xlfn.XLOOKUP($A128,TRIM(SUBSTITUTE('worker file'!$A$2:$A$406,_xlfn.UNICHAR(160)," ")),'worker file'!$Q$2:$Q$406,"Not found")</f>
        <v>Termination pending</v>
      </c>
      <c r="E128" s="35" t="s">
        <v>634</v>
      </c>
      <c r="F128" t="str">
        <f t="shared" si="8"/>
        <v>Vision – Employee</v>
      </c>
      <c r="G128" t="str">
        <f t="shared" si="9"/>
        <v>Pre-tax Section 125 (exempt from FIT/SIT/FICA)</v>
      </c>
      <c r="H128" t="str">
        <f t="shared" si="10"/>
        <v>Flat</v>
      </c>
      <c r="I128" s="40" t="str">
        <f>IF($H128="Percent",_xlfn.XLOOKUP($E128,$A$5:$A$8,$F$5:$F$8,""),"")</f>
        <v/>
      </c>
      <c r="J128" s="38">
        <f t="shared" si="11"/>
        <v>30</v>
      </c>
      <c r="K128" t="str">
        <f t="shared" si="12"/>
        <v>Per pay period</v>
      </c>
      <c r="L128" t="str">
        <f t="shared" si="13"/>
        <v>Every pay period (ongoing)</v>
      </c>
      <c r="M128" s="39">
        <f t="array" ref="M128">MAX(_xlfn.XLOOKUP($A128,TRIM(SUBSTITUTE('worker file'!$A$2:$A$406,_xlfn.UNICHAR(160)," ")),'worker file'!$M$2:$M$406,0),_xlfn.XLOOKUP($B128,TRIM('pay group &amp; schedule'!$A$2:$A$6),'pay group &amp; schedule'!$D$2:$D$6,0))</f>
        <v>46299</v>
      </c>
      <c r="N128" s="39">
        <f t="array" ref="N128">_xlfn.LET(_xlpm.t,_xlfn.XLOOKUP($A128,TRIM(SUBSTITUTE('worker file'!$A$2:$A$406,_xlfn.UNICHAR(160)," ")),'worker file'!$N$2:$N$406,""),IF(N(_xlpm.t)=0,"",_xlpm.t))</f>
        <v>46312</v>
      </c>
      <c r="O128" t="s">
        <v>644</v>
      </c>
    </row>
    <row r="129" spans="1:15" x14ac:dyDescent="0.2">
      <c r="A129" s="35" t="s">
        <v>143</v>
      </c>
      <c r="B129" s="36" t="str">
        <f t="array" ref="B129">_xlfn.XLOOKUP($A129,TRIM(SUBSTITUTE('worker file'!$A$2:$A$406,_xlfn.UNICHAR(160)," ")),'worker file'!$L$2:$L$406,"Not found")</f>
        <v>US Semi-monthly</v>
      </c>
      <c r="C129" s="36" t="str">
        <f t="array" ref="C129">_xlfn.XLOOKUP($A129,TRIM(SUBSTITUTE('worker file'!$A$2:$A$406,_xlfn.UNICHAR(160)," ")),'worker file'!$D$2:$D$406,"Not found")</f>
        <v>CA</v>
      </c>
      <c r="D129" s="36" t="str">
        <f t="array" ref="D129">_xlfn.XLOOKUP($A129,TRIM(SUBSTITUTE('worker file'!$A$2:$A$406,_xlfn.UNICHAR(160)," ")),'worker file'!$Q$2:$Q$406,"Not found")</f>
        <v>Active</v>
      </c>
      <c r="E129" s="35" t="s">
        <v>618</v>
      </c>
      <c r="F129" t="str">
        <f t="shared" si="8"/>
        <v>401(k) Employee Deferral</v>
      </c>
      <c r="G129" t="str">
        <f t="shared" si="9"/>
        <v>Pre-tax (exempt from FIT/SIT; subject to FICA)</v>
      </c>
      <c r="H129" t="str">
        <f t="shared" si="10"/>
        <v>Percent</v>
      </c>
      <c r="I129" s="37">
        <v>0.01</v>
      </c>
      <c r="J129" s="38" t="str">
        <f t="shared" si="11"/>
        <v/>
      </c>
      <c r="K129" t="str">
        <f t="shared" si="12"/>
        <v>Gross pay</v>
      </c>
      <c r="L129" t="str">
        <f t="shared" si="13"/>
        <v>Every pay period (ongoing)</v>
      </c>
      <c r="M129" s="39">
        <f t="array" ref="M129">MAX(_xlfn.XLOOKUP($A129,TRIM(SUBSTITUTE('worker file'!$A$2:$A$406,_xlfn.UNICHAR(160)," ")),'worker file'!$M$2:$M$406,0),_xlfn.XLOOKUP($B129,TRIM('pay group &amp; schedule'!$A$2:$A$6),'pay group &amp; schedule'!$D$2:$D$6,0))</f>
        <v>46311</v>
      </c>
      <c r="N129" s="39" t="str">
        <f t="array" ref="N129">_xlfn.LET(_xlpm.t,_xlfn.XLOOKUP($A129,TRIM(SUBSTITUTE('worker file'!$A$2:$A$406,_xlfn.UNICHAR(160)," ")),'worker file'!$N$2:$N$406,""),IF(N(_xlpm.t)=0,"",_xlpm.t))</f>
        <v/>
      </c>
    </row>
    <row r="130" spans="1:15" x14ac:dyDescent="0.2">
      <c r="A130" s="35" t="s">
        <v>143</v>
      </c>
      <c r="B130" s="36" t="str">
        <f t="array" ref="B130">_xlfn.XLOOKUP($A130,TRIM(SUBSTITUTE('worker file'!$A$2:$A$406,_xlfn.UNICHAR(160)," ")),'worker file'!$L$2:$L$406,"Not found")</f>
        <v>US Semi-monthly</v>
      </c>
      <c r="C130" s="36" t="str">
        <f t="array" ref="C130">_xlfn.XLOOKUP($A130,TRIM(SUBSTITUTE('worker file'!$A$2:$A$406,_xlfn.UNICHAR(160)," ")),'worker file'!$D$2:$D$406,"Not found")</f>
        <v>CA</v>
      </c>
      <c r="D130" s="36" t="str">
        <f t="array" ref="D130">_xlfn.XLOOKUP($A130,TRIM(SUBSTITUTE('worker file'!$A$2:$A$406,_xlfn.UNICHAR(160)," ")),'worker file'!$Q$2:$Q$406,"Not found")</f>
        <v>Active</v>
      </c>
      <c r="E130" s="35" t="s">
        <v>626</v>
      </c>
      <c r="F130" t="str">
        <f t="shared" si="8"/>
        <v>Medical (Health) – Employee</v>
      </c>
      <c r="G130" t="str">
        <f t="shared" si="9"/>
        <v>Pre-tax Section 125 (exempt from FIT/SIT/FICA)</v>
      </c>
      <c r="H130" t="str">
        <f t="shared" si="10"/>
        <v>Flat</v>
      </c>
      <c r="I130" s="40" t="str">
        <f t="shared" ref="I130:I135" si="15">IF($H130="Percent",_xlfn.XLOOKUP($E130,$A$5:$A$8,$F$5:$F$8,""),"")</f>
        <v/>
      </c>
      <c r="J130" s="38">
        <f t="shared" si="11"/>
        <v>200</v>
      </c>
      <c r="K130" t="str">
        <f t="shared" si="12"/>
        <v>Per pay period</v>
      </c>
      <c r="L130" t="str">
        <f t="shared" si="13"/>
        <v>Every pay period (ongoing)</v>
      </c>
      <c r="M130" s="39">
        <f t="array" ref="M130">MAX(_xlfn.XLOOKUP($A130,TRIM(SUBSTITUTE('worker file'!$A$2:$A$406,_xlfn.UNICHAR(160)," ")),'worker file'!$M$2:$M$406,0),_xlfn.XLOOKUP($B130,TRIM('pay group &amp; schedule'!$A$2:$A$6),'pay group &amp; schedule'!$D$2:$D$6,0))</f>
        <v>46311</v>
      </c>
      <c r="N130" s="39" t="str">
        <f t="array" ref="N130">_xlfn.LET(_xlpm.t,_xlfn.XLOOKUP($A130,TRIM(SUBSTITUTE('worker file'!$A$2:$A$406,_xlfn.UNICHAR(160)," ")),'worker file'!$N$2:$N$406,""),IF(N(_xlpm.t)=0,"",_xlpm.t))</f>
        <v/>
      </c>
    </row>
    <row r="131" spans="1:15" x14ac:dyDescent="0.2">
      <c r="A131" s="35" t="s">
        <v>143</v>
      </c>
      <c r="B131" s="36" t="str">
        <f t="array" ref="B131">_xlfn.XLOOKUP($A131,TRIM(SUBSTITUTE('worker file'!$A$2:$A$406,_xlfn.UNICHAR(160)," ")),'worker file'!$L$2:$L$406,"Not found")</f>
        <v>US Semi-monthly</v>
      </c>
      <c r="C131" s="36" t="str">
        <f t="array" ref="C131">_xlfn.XLOOKUP($A131,TRIM(SUBSTITUTE('worker file'!$A$2:$A$406,_xlfn.UNICHAR(160)," ")),'worker file'!$D$2:$D$406,"Not found")</f>
        <v>CA</v>
      </c>
      <c r="D131" s="36" t="str">
        <f t="array" ref="D131">_xlfn.XLOOKUP($A131,TRIM(SUBSTITUTE('worker file'!$A$2:$A$406,_xlfn.UNICHAR(160)," ")),'worker file'!$Q$2:$Q$406,"Not found")</f>
        <v>Active</v>
      </c>
      <c r="E131" s="35" t="s">
        <v>632</v>
      </c>
      <c r="F131" t="str">
        <f t="shared" si="8"/>
        <v>Dental – Employee</v>
      </c>
      <c r="G131" t="str">
        <f t="shared" si="9"/>
        <v>Pre-tax Section 125 (exempt from FIT/SIT/FICA)</v>
      </c>
      <c r="H131" t="str">
        <f t="shared" si="10"/>
        <v>Flat</v>
      </c>
      <c r="I131" s="40" t="str">
        <f t="shared" si="15"/>
        <v/>
      </c>
      <c r="J131" s="38">
        <f t="shared" si="11"/>
        <v>44</v>
      </c>
      <c r="K131" t="str">
        <f t="shared" si="12"/>
        <v>Per pay period</v>
      </c>
      <c r="L131" t="str">
        <f t="shared" si="13"/>
        <v>Every pay period (ongoing)</v>
      </c>
      <c r="M131" s="39">
        <f t="array" ref="M131">MAX(_xlfn.XLOOKUP($A131,TRIM(SUBSTITUTE('worker file'!$A$2:$A$406,_xlfn.UNICHAR(160)," ")),'worker file'!$M$2:$M$406,0),_xlfn.XLOOKUP($B131,TRIM('pay group &amp; schedule'!$A$2:$A$6),'pay group &amp; schedule'!$D$2:$D$6,0))</f>
        <v>46311</v>
      </c>
      <c r="N131" s="39" t="str">
        <f t="array" ref="N131">_xlfn.LET(_xlpm.t,_xlfn.XLOOKUP($A131,TRIM(SUBSTITUTE('worker file'!$A$2:$A$406,_xlfn.UNICHAR(160)," ")),'worker file'!$N$2:$N$406,""),IF(N(_xlpm.t)=0,"",_xlpm.t))</f>
        <v/>
      </c>
    </row>
    <row r="132" spans="1:15" x14ac:dyDescent="0.2">
      <c r="A132" s="35" t="s">
        <v>143</v>
      </c>
      <c r="B132" s="36" t="str">
        <f t="array" ref="B132">_xlfn.XLOOKUP($A132,TRIM(SUBSTITUTE('worker file'!$A$2:$A$406,_xlfn.UNICHAR(160)," ")),'worker file'!$L$2:$L$406,"Not found")</f>
        <v>US Semi-monthly</v>
      </c>
      <c r="C132" s="36" t="str">
        <f t="array" ref="C132">_xlfn.XLOOKUP($A132,TRIM(SUBSTITUTE('worker file'!$A$2:$A$406,_xlfn.UNICHAR(160)," ")),'worker file'!$D$2:$D$406,"Not found")</f>
        <v>CA</v>
      </c>
      <c r="D132" s="36" t="str">
        <f t="array" ref="D132">_xlfn.XLOOKUP($A132,TRIM(SUBSTITUTE('worker file'!$A$2:$A$406,_xlfn.UNICHAR(160)," ")),'worker file'!$Q$2:$Q$406,"Not found")</f>
        <v>Active</v>
      </c>
      <c r="E132" s="35" t="s">
        <v>634</v>
      </c>
      <c r="F132" t="str">
        <f t="shared" si="8"/>
        <v>Vision – Employee</v>
      </c>
      <c r="G132" t="str">
        <f t="shared" si="9"/>
        <v>Pre-tax Section 125 (exempt from FIT/SIT/FICA)</v>
      </c>
      <c r="H132" t="str">
        <f t="shared" si="10"/>
        <v>Flat</v>
      </c>
      <c r="I132" s="40" t="str">
        <f t="shared" si="15"/>
        <v/>
      </c>
      <c r="J132" s="38">
        <f t="shared" si="11"/>
        <v>30</v>
      </c>
      <c r="K132" t="str">
        <f t="shared" si="12"/>
        <v>Per pay period</v>
      </c>
      <c r="L132" t="str">
        <f t="shared" si="13"/>
        <v>Every pay period (ongoing)</v>
      </c>
      <c r="M132" s="39">
        <f t="array" ref="M132">MAX(_xlfn.XLOOKUP($A132,TRIM(SUBSTITUTE('worker file'!$A$2:$A$406,_xlfn.UNICHAR(160)," ")),'worker file'!$M$2:$M$406,0),_xlfn.XLOOKUP($B132,TRIM('pay group &amp; schedule'!$A$2:$A$6),'pay group &amp; schedule'!$D$2:$D$6,0))</f>
        <v>46311</v>
      </c>
      <c r="N132" s="39" t="str">
        <f t="array" ref="N132">_xlfn.LET(_xlpm.t,_xlfn.XLOOKUP($A132,TRIM(SUBSTITUTE('worker file'!$A$2:$A$406,_xlfn.UNICHAR(160)," ")),'worker file'!$N$2:$N$406,""),IF(N(_xlpm.t)=0,"",_xlpm.t))</f>
        <v/>
      </c>
    </row>
    <row r="133" spans="1:15" x14ac:dyDescent="0.2">
      <c r="A133" s="35" t="s">
        <v>144</v>
      </c>
      <c r="B133" s="36" t="str">
        <f t="array" ref="B133">_xlfn.XLOOKUP($A133,TRIM(SUBSTITUTE('worker file'!$A$2:$A$406,_xlfn.UNICHAR(160)," ")),'worker file'!$L$2:$L$406,"Not found")</f>
        <v>US Semi-monthly</v>
      </c>
      <c r="C133" s="36" t="str">
        <f t="array" ref="C133">_xlfn.XLOOKUP($A133,TRIM(SUBSTITUTE('worker file'!$A$2:$A$406,_xlfn.UNICHAR(160)," ")),'worker file'!$D$2:$D$406,"Not found")</f>
        <v>CA</v>
      </c>
      <c r="D133" s="36" t="str">
        <f t="array" ref="D133">_xlfn.XLOOKUP($A133,TRIM(SUBSTITUTE('worker file'!$A$2:$A$406,_xlfn.UNICHAR(160)," ")),'worker file'!$Q$2:$Q$406,"Not found")</f>
        <v>On Leave(unpaid)</v>
      </c>
      <c r="E133" s="35" t="s">
        <v>626</v>
      </c>
      <c r="F133" t="str">
        <f t="shared" si="8"/>
        <v>Medical (Health) – Employee</v>
      </c>
      <c r="G133" t="str">
        <f t="shared" si="9"/>
        <v>Pre-tax Section 125 (exempt from FIT/SIT/FICA)</v>
      </c>
      <c r="H133" t="str">
        <f t="shared" si="10"/>
        <v>Flat</v>
      </c>
      <c r="I133" s="40" t="str">
        <f t="shared" si="15"/>
        <v/>
      </c>
      <c r="J133" s="38">
        <f t="shared" si="11"/>
        <v>200</v>
      </c>
      <c r="K133" t="str">
        <f t="shared" si="12"/>
        <v>Per pay period</v>
      </c>
      <c r="L133" t="str">
        <f t="shared" si="13"/>
        <v>Every pay period (ongoing)</v>
      </c>
      <c r="M133" s="39">
        <f t="array" ref="M133">MAX(_xlfn.XLOOKUP($A133,TRIM(SUBSTITUTE('worker file'!$A$2:$A$406,_xlfn.UNICHAR(160)," ")),'worker file'!$M$2:$M$406,0),_xlfn.XLOOKUP($B133,TRIM('pay group &amp; schedule'!$A$2:$A$6),'pay group &amp; schedule'!$D$2:$D$6,0))</f>
        <v>46311</v>
      </c>
      <c r="N133" s="39" t="str">
        <f t="array" ref="N133">_xlfn.LET(_xlpm.t,_xlfn.XLOOKUP($A133,TRIM(SUBSTITUTE('worker file'!$A$2:$A$406,_xlfn.UNICHAR(160)," ")),'worker file'!$N$2:$N$406,""),IF(N(_xlpm.t)=0,"",_xlpm.t))</f>
        <v/>
      </c>
      <c r="O133" t="s">
        <v>646</v>
      </c>
    </row>
    <row r="134" spans="1:15" x14ac:dyDescent="0.2">
      <c r="A134" s="35" t="s">
        <v>144</v>
      </c>
      <c r="B134" s="36" t="str">
        <f t="array" ref="B134">_xlfn.XLOOKUP($A134,TRIM(SUBSTITUTE('worker file'!$A$2:$A$406,_xlfn.UNICHAR(160)," ")),'worker file'!$L$2:$L$406,"Not found")</f>
        <v>US Semi-monthly</v>
      </c>
      <c r="C134" s="36" t="str">
        <f t="array" ref="C134">_xlfn.XLOOKUP($A134,TRIM(SUBSTITUTE('worker file'!$A$2:$A$406,_xlfn.UNICHAR(160)," ")),'worker file'!$D$2:$D$406,"Not found")</f>
        <v>CA</v>
      </c>
      <c r="D134" s="36" t="str">
        <f t="array" ref="D134">_xlfn.XLOOKUP($A134,TRIM(SUBSTITUTE('worker file'!$A$2:$A$406,_xlfn.UNICHAR(160)," ")),'worker file'!$Q$2:$Q$406,"Not found")</f>
        <v>On Leave(unpaid)</v>
      </c>
      <c r="E134" s="35" t="s">
        <v>632</v>
      </c>
      <c r="F134" t="str">
        <f t="shared" si="8"/>
        <v>Dental – Employee</v>
      </c>
      <c r="G134" t="str">
        <f t="shared" si="9"/>
        <v>Pre-tax Section 125 (exempt from FIT/SIT/FICA)</v>
      </c>
      <c r="H134" t="str">
        <f t="shared" si="10"/>
        <v>Flat</v>
      </c>
      <c r="I134" s="40" t="str">
        <f t="shared" si="15"/>
        <v/>
      </c>
      <c r="J134" s="38">
        <f t="shared" si="11"/>
        <v>44</v>
      </c>
      <c r="K134" t="str">
        <f t="shared" si="12"/>
        <v>Per pay period</v>
      </c>
      <c r="L134" t="str">
        <f t="shared" si="13"/>
        <v>Every pay period (ongoing)</v>
      </c>
      <c r="M134" s="39">
        <f t="array" ref="M134">MAX(_xlfn.XLOOKUP($A134,TRIM(SUBSTITUTE('worker file'!$A$2:$A$406,_xlfn.UNICHAR(160)," ")),'worker file'!$M$2:$M$406,0),_xlfn.XLOOKUP($B134,TRIM('pay group &amp; schedule'!$A$2:$A$6),'pay group &amp; schedule'!$D$2:$D$6,0))</f>
        <v>46311</v>
      </c>
      <c r="N134" s="39" t="str">
        <f t="array" ref="N134">_xlfn.LET(_xlpm.t,_xlfn.XLOOKUP($A134,TRIM(SUBSTITUTE('worker file'!$A$2:$A$406,_xlfn.UNICHAR(160)," ")),'worker file'!$N$2:$N$406,""),IF(N(_xlpm.t)=0,"",_xlpm.t))</f>
        <v/>
      </c>
      <c r="O134" t="s">
        <v>646</v>
      </c>
    </row>
    <row r="135" spans="1:15" x14ac:dyDescent="0.2">
      <c r="A135" s="35" t="s">
        <v>144</v>
      </c>
      <c r="B135" s="36" t="str">
        <f t="array" ref="B135">_xlfn.XLOOKUP($A135,TRIM(SUBSTITUTE('worker file'!$A$2:$A$406,_xlfn.UNICHAR(160)," ")),'worker file'!$L$2:$L$406,"Not found")</f>
        <v>US Semi-monthly</v>
      </c>
      <c r="C135" s="36" t="str">
        <f t="array" ref="C135">_xlfn.XLOOKUP($A135,TRIM(SUBSTITUTE('worker file'!$A$2:$A$406,_xlfn.UNICHAR(160)," ")),'worker file'!$D$2:$D$406,"Not found")</f>
        <v>CA</v>
      </c>
      <c r="D135" s="36" t="str">
        <f t="array" ref="D135">_xlfn.XLOOKUP($A135,TRIM(SUBSTITUTE('worker file'!$A$2:$A$406,_xlfn.UNICHAR(160)," ")),'worker file'!$Q$2:$Q$406,"Not found")</f>
        <v>On Leave(unpaid)</v>
      </c>
      <c r="E135" s="35" t="s">
        <v>634</v>
      </c>
      <c r="F135" t="str">
        <f t="shared" si="8"/>
        <v>Vision – Employee</v>
      </c>
      <c r="G135" t="str">
        <f t="shared" si="9"/>
        <v>Pre-tax Section 125 (exempt from FIT/SIT/FICA)</v>
      </c>
      <c r="H135" t="str">
        <f t="shared" si="10"/>
        <v>Flat</v>
      </c>
      <c r="I135" s="40" t="str">
        <f t="shared" si="15"/>
        <v/>
      </c>
      <c r="J135" s="38">
        <f t="shared" si="11"/>
        <v>30</v>
      </c>
      <c r="K135" t="str">
        <f t="shared" si="12"/>
        <v>Per pay period</v>
      </c>
      <c r="L135" t="str">
        <f t="shared" si="13"/>
        <v>Every pay period (ongoing)</v>
      </c>
      <c r="M135" s="39">
        <f t="array" ref="M135">MAX(_xlfn.XLOOKUP($A135,TRIM(SUBSTITUTE('worker file'!$A$2:$A$406,_xlfn.UNICHAR(160)," ")),'worker file'!$M$2:$M$406,0),_xlfn.XLOOKUP($B135,TRIM('pay group &amp; schedule'!$A$2:$A$6),'pay group &amp; schedule'!$D$2:$D$6,0))</f>
        <v>46311</v>
      </c>
      <c r="N135" s="39" t="str">
        <f t="array" ref="N135">_xlfn.LET(_xlpm.t,_xlfn.XLOOKUP($A135,TRIM(SUBSTITUTE('worker file'!$A$2:$A$406,_xlfn.UNICHAR(160)," ")),'worker file'!$N$2:$N$406,""),IF(N(_xlpm.t)=0,"",_xlpm.t))</f>
        <v/>
      </c>
      <c r="O135" t="s">
        <v>646</v>
      </c>
    </row>
    <row r="136" spans="1:15" x14ac:dyDescent="0.2">
      <c r="A136" s="35" t="s">
        <v>145</v>
      </c>
      <c r="B136" s="36" t="str">
        <f t="array" ref="B136">_xlfn.XLOOKUP($A136,TRIM(SUBSTITUTE('worker file'!$A$2:$A$406,_xlfn.UNICHAR(160)," ")),'worker file'!$L$2:$L$406,"Not found")</f>
        <v>US Semi-monthly</v>
      </c>
      <c r="C136" s="36" t="str">
        <f t="array" ref="C136">_xlfn.XLOOKUP($A136,TRIM(SUBSTITUTE('worker file'!$A$2:$A$406,_xlfn.UNICHAR(160)," ")),'worker file'!$D$2:$D$406,"Not found")</f>
        <v>WA</v>
      </c>
      <c r="D136" s="36" t="str">
        <f t="array" ref="D136">_xlfn.XLOOKUP($A136,TRIM(SUBSTITUTE('worker file'!$A$2:$A$406,_xlfn.UNICHAR(160)," ")),'worker file'!$Q$2:$Q$406,"Not found")</f>
        <v>Active</v>
      </c>
      <c r="E136" s="35" t="s">
        <v>618</v>
      </c>
      <c r="F136" t="str">
        <f t="shared" si="8"/>
        <v>401(k) Employee Deferral</v>
      </c>
      <c r="G136" t="str">
        <f t="shared" si="9"/>
        <v>Pre-tax (exempt from FIT/SIT; subject to FICA)</v>
      </c>
      <c r="H136" t="str">
        <f t="shared" si="10"/>
        <v>Percent</v>
      </c>
      <c r="I136" s="37">
        <v>0.03</v>
      </c>
      <c r="J136" s="38" t="str">
        <f t="shared" si="11"/>
        <v/>
      </c>
      <c r="K136" t="str">
        <f t="shared" si="12"/>
        <v>Gross pay</v>
      </c>
      <c r="L136" t="str">
        <f t="shared" si="13"/>
        <v>Every pay period (ongoing)</v>
      </c>
      <c r="M136" s="39">
        <f t="array" ref="M136">MAX(_xlfn.XLOOKUP($A136,TRIM(SUBSTITUTE('worker file'!$A$2:$A$406,_xlfn.UNICHAR(160)," ")),'worker file'!$M$2:$M$406,0),_xlfn.XLOOKUP($B136,TRIM('pay group &amp; schedule'!$A$2:$A$6),'pay group &amp; schedule'!$D$2:$D$6,0))</f>
        <v>46311</v>
      </c>
      <c r="N136" s="39" t="str">
        <f t="array" ref="N136">_xlfn.LET(_xlpm.t,_xlfn.XLOOKUP($A136,TRIM(SUBSTITUTE('worker file'!$A$2:$A$406,_xlfn.UNICHAR(160)," ")),'worker file'!$N$2:$N$406,""),IF(N(_xlpm.t)=0,"",_xlpm.t))</f>
        <v/>
      </c>
    </row>
    <row r="137" spans="1:15" x14ac:dyDescent="0.2">
      <c r="A137" s="35" t="s">
        <v>145</v>
      </c>
      <c r="B137" s="36" t="str">
        <f t="array" ref="B137">_xlfn.XLOOKUP($A137,TRIM(SUBSTITUTE('worker file'!$A$2:$A$406,_xlfn.UNICHAR(160)," ")),'worker file'!$L$2:$L$406,"Not found")</f>
        <v>US Semi-monthly</v>
      </c>
      <c r="C137" s="36" t="str">
        <f t="array" ref="C137">_xlfn.XLOOKUP($A137,TRIM(SUBSTITUTE('worker file'!$A$2:$A$406,_xlfn.UNICHAR(160)," ")),'worker file'!$D$2:$D$406,"Not found")</f>
        <v>WA</v>
      </c>
      <c r="D137" s="36" t="str">
        <f t="array" ref="D137">_xlfn.XLOOKUP($A137,TRIM(SUBSTITUTE('worker file'!$A$2:$A$406,_xlfn.UNICHAR(160)," ")),'worker file'!$Q$2:$Q$406,"Not found")</f>
        <v>Active</v>
      </c>
      <c r="E137" s="35" t="s">
        <v>626</v>
      </c>
      <c r="F137" t="str">
        <f t="shared" si="8"/>
        <v>Medical (Health) – Employee</v>
      </c>
      <c r="G137" t="str">
        <f t="shared" si="9"/>
        <v>Pre-tax Section 125 (exempt from FIT/SIT/FICA)</v>
      </c>
      <c r="H137" t="str">
        <f t="shared" si="10"/>
        <v>Flat</v>
      </c>
      <c r="I137" s="40" t="str">
        <f>IF($H137="Percent",_xlfn.XLOOKUP($E137,$A$5:$A$8,$F$5:$F$8,""),"")</f>
        <v/>
      </c>
      <c r="J137" s="38">
        <f t="shared" si="11"/>
        <v>200</v>
      </c>
      <c r="K137" t="str">
        <f t="shared" si="12"/>
        <v>Per pay period</v>
      </c>
      <c r="L137" t="str">
        <f t="shared" si="13"/>
        <v>Every pay period (ongoing)</v>
      </c>
      <c r="M137" s="39">
        <f t="array" ref="M137">MAX(_xlfn.XLOOKUP($A137,TRIM(SUBSTITUTE('worker file'!$A$2:$A$406,_xlfn.UNICHAR(160)," ")),'worker file'!$M$2:$M$406,0),_xlfn.XLOOKUP($B137,TRIM('pay group &amp; schedule'!$A$2:$A$6),'pay group &amp; schedule'!$D$2:$D$6,0))</f>
        <v>46311</v>
      </c>
      <c r="N137" s="39" t="str">
        <f t="array" ref="N137">_xlfn.LET(_xlpm.t,_xlfn.XLOOKUP($A137,TRIM(SUBSTITUTE('worker file'!$A$2:$A$406,_xlfn.UNICHAR(160)," ")),'worker file'!$N$2:$N$406,""),IF(N(_xlpm.t)=0,"",_xlpm.t))</f>
        <v/>
      </c>
    </row>
    <row r="138" spans="1:15" x14ac:dyDescent="0.2">
      <c r="A138" s="35" t="s">
        <v>145</v>
      </c>
      <c r="B138" s="36" t="str">
        <f t="array" ref="B138">_xlfn.XLOOKUP($A138,TRIM(SUBSTITUTE('worker file'!$A$2:$A$406,_xlfn.UNICHAR(160)," ")),'worker file'!$L$2:$L$406,"Not found")</f>
        <v>US Semi-monthly</v>
      </c>
      <c r="C138" s="36" t="str">
        <f t="array" ref="C138">_xlfn.XLOOKUP($A138,TRIM(SUBSTITUTE('worker file'!$A$2:$A$406,_xlfn.UNICHAR(160)," ")),'worker file'!$D$2:$D$406,"Not found")</f>
        <v>WA</v>
      </c>
      <c r="D138" s="36" t="str">
        <f t="array" ref="D138">_xlfn.XLOOKUP($A138,TRIM(SUBSTITUTE('worker file'!$A$2:$A$406,_xlfn.UNICHAR(160)," ")),'worker file'!$Q$2:$Q$406,"Not found")</f>
        <v>Active</v>
      </c>
      <c r="E138" s="35" t="s">
        <v>632</v>
      </c>
      <c r="F138" t="str">
        <f t="shared" si="8"/>
        <v>Dental – Employee</v>
      </c>
      <c r="G138" t="str">
        <f t="shared" si="9"/>
        <v>Pre-tax Section 125 (exempt from FIT/SIT/FICA)</v>
      </c>
      <c r="H138" t="str">
        <f t="shared" si="10"/>
        <v>Flat</v>
      </c>
      <c r="I138" s="40" t="str">
        <f>IF($H138="Percent",_xlfn.XLOOKUP($E138,$A$5:$A$8,$F$5:$F$8,""),"")</f>
        <v/>
      </c>
      <c r="J138" s="38">
        <f t="shared" si="11"/>
        <v>44</v>
      </c>
      <c r="K138" t="str">
        <f t="shared" si="12"/>
        <v>Per pay period</v>
      </c>
      <c r="L138" t="str">
        <f t="shared" si="13"/>
        <v>Every pay period (ongoing)</v>
      </c>
      <c r="M138" s="39">
        <f t="array" ref="M138">MAX(_xlfn.XLOOKUP($A138,TRIM(SUBSTITUTE('worker file'!$A$2:$A$406,_xlfn.UNICHAR(160)," ")),'worker file'!$M$2:$M$406,0),_xlfn.XLOOKUP($B138,TRIM('pay group &amp; schedule'!$A$2:$A$6),'pay group &amp; schedule'!$D$2:$D$6,0))</f>
        <v>46311</v>
      </c>
      <c r="N138" s="39" t="str">
        <f t="array" ref="N138">_xlfn.LET(_xlpm.t,_xlfn.XLOOKUP($A138,TRIM(SUBSTITUTE('worker file'!$A$2:$A$406,_xlfn.UNICHAR(160)," ")),'worker file'!$N$2:$N$406,""),IF(N(_xlpm.t)=0,"",_xlpm.t))</f>
        <v/>
      </c>
    </row>
    <row r="139" spans="1:15" x14ac:dyDescent="0.2">
      <c r="A139" s="35" t="s">
        <v>145</v>
      </c>
      <c r="B139" s="36" t="str">
        <f t="array" ref="B139">_xlfn.XLOOKUP($A139,TRIM(SUBSTITUTE('worker file'!$A$2:$A$406,_xlfn.UNICHAR(160)," ")),'worker file'!$L$2:$L$406,"Not found")</f>
        <v>US Semi-monthly</v>
      </c>
      <c r="C139" s="36" t="str">
        <f t="array" ref="C139">_xlfn.XLOOKUP($A139,TRIM(SUBSTITUTE('worker file'!$A$2:$A$406,_xlfn.UNICHAR(160)," ")),'worker file'!$D$2:$D$406,"Not found")</f>
        <v>WA</v>
      </c>
      <c r="D139" s="36" t="str">
        <f t="array" ref="D139">_xlfn.XLOOKUP($A139,TRIM(SUBSTITUTE('worker file'!$A$2:$A$406,_xlfn.UNICHAR(160)," ")),'worker file'!$Q$2:$Q$406,"Not found")</f>
        <v>Active</v>
      </c>
      <c r="E139" s="35" t="s">
        <v>634</v>
      </c>
      <c r="F139" t="str">
        <f t="shared" si="8"/>
        <v>Vision – Employee</v>
      </c>
      <c r="G139" t="str">
        <f t="shared" si="9"/>
        <v>Pre-tax Section 125 (exempt from FIT/SIT/FICA)</v>
      </c>
      <c r="H139" t="str">
        <f t="shared" si="10"/>
        <v>Flat</v>
      </c>
      <c r="I139" s="40" t="str">
        <f>IF($H139="Percent",_xlfn.XLOOKUP($E139,$A$5:$A$8,$F$5:$F$8,""),"")</f>
        <v/>
      </c>
      <c r="J139" s="38">
        <f t="shared" si="11"/>
        <v>30</v>
      </c>
      <c r="K139" t="str">
        <f t="shared" si="12"/>
        <v>Per pay period</v>
      </c>
      <c r="L139" t="str">
        <f t="shared" si="13"/>
        <v>Every pay period (ongoing)</v>
      </c>
      <c r="M139" s="39">
        <f t="array" ref="M139">MAX(_xlfn.XLOOKUP($A139,TRIM(SUBSTITUTE('worker file'!$A$2:$A$406,_xlfn.UNICHAR(160)," ")),'worker file'!$M$2:$M$406,0),_xlfn.XLOOKUP($B139,TRIM('pay group &amp; schedule'!$A$2:$A$6),'pay group &amp; schedule'!$D$2:$D$6,0))</f>
        <v>46311</v>
      </c>
      <c r="N139" s="39" t="str">
        <f t="array" ref="N139">_xlfn.LET(_xlpm.t,_xlfn.XLOOKUP($A139,TRIM(SUBSTITUTE('worker file'!$A$2:$A$406,_xlfn.UNICHAR(160)," ")),'worker file'!$N$2:$N$406,""),IF(N(_xlpm.t)=0,"",_xlpm.t))</f>
        <v/>
      </c>
    </row>
    <row r="140" spans="1:15" x14ac:dyDescent="0.2">
      <c r="A140" s="35" t="s">
        <v>146</v>
      </c>
      <c r="B140" s="36" t="str">
        <f t="array" ref="B140">_xlfn.XLOOKUP($A140,TRIM(SUBSTITUTE('worker file'!$A$2:$A$406,_xlfn.UNICHAR(160)," ")),'worker file'!$L$2:$L$406,"Not found")</f>
        <v>US Semi-monthly</v>
      </c>
      <c r="C140" s="36" t="str">
        <f t="array" ref="C140">_xlfn.XLOOKUP($A140,TRIM(SUBSTITUTE('worker file'!$A$2:$A$406,_xlfn.UNICHAR(160)," ")),'worker file'!$D$2:$D$406,"Not found")</f>
        <v>WA</v>
      </c>
      <c r="D140" s="36" t="str">
        <f t="array" ref="D140">_xlfn.XLOOKUP($A140,TRIM(SUBSTITUTE('worker file'!$A$2:$A$406,_xlfn.UNICHAR(160)," ")),'worker file'!$Q$2:$Q$406,"Not found")</f>
        <v>Active</v>
      </c>
      <c r="E140" s="35" t="s">
        <v>618</v>
      </c>
      <c r="F140" t="str">
        <f t="shared" ref="F140:F203" si="16">_xlfn.XLOOKUP($E140,$A$5:$A$8,$B$5:$B$8,"")</f>
        <v>401(k) Employee Deferral</v>
      </c>
      <c r="G140" t="str">
        <f t="shared" ref="G140:G203" si="17">_xlfn.XLOOKUP($E140,$A$5:$A$8,$D$5:$D$8,"")</f>
        <v>Pre-tax (exempt from FIT/SIT; subject to FICA)</v>
      </c>
      <c r="H140" t="str">
        <f t="shared" ref="H140:H203" si="18">_xlfn.XLOOKUP($E140,$A$5:$A$8,$E$5:$E$8,"")</f>
        <v>Percent</v>
      </c>
      <c r="I140" s="37">
        <v>0</v>
      </c>
      <c r="J140" s="38" t="str">
        <f t="shared" ref="J140:J203" si="19">IF($H140="Flat",_xlfn.XLOOKUP($E140,$A$5:$A$8,$F$5:$F$8,""),"")</f>
        <v/>
      </c>
      <c r="K140" t="str">
        <f t="shared" ref="K140:K203" si="20">_xlfn.XLOOKUP($E140,$A$5:$A$8,$G$5:$G$8,"")</f>
        <v>Gross pay</v>
      </c>
      <c r="L140" t="str">
        <f t="shared" ref="L140:L203" si="21">_xlfn.XLOOKUP($E140,$A$5:$A$8,$H$5:$H$8,"")</f>
        <v>Every pay period (ongoing)</v>
      </c>
      <c r="M140" s="39">
        <f t="array" ref="M140">MAX(_xlfn.XLOOKUP($A140,TRIM(SUBSTITUTE('worker file'!$A$2:$A$406,_xlfn.UNICHAR(160)," ")),'worker file'!$M$2:$M$406,0),_xlfn.XLOOKUP($B140,TRIM('pay group &amp; schedule'!$A$2:$A$6),'pay group &amp; schedule'!$D$2:$D$6,0))</f>
        <v>46311</v>
      </c>
      <c r="N140" s="39" t="str">
        <f t="array" ref="N140">_xlfn.LET(_xlpm.t,_xlfn.XLOOKUP($A140,TRIM(SUBSTITUTE('worker file'!$A$2:$A$406,_xlfn.UNICHAR(160)," ")),'worker file'!$N$2:$N$406,""),IF(N(_xlpm.t)=0,"",_xlpm.t))</f>
        <v/>
      </c>
    </row>
    <row r="141" spans="1:15" x14ac:dyDescent="0.2">
      <c r="A141" s="35" t="s">
        <v>146</v>
      </c>
      <c r="B141" s="36" t="str">
        <f t="array" ref="B141">_xlfn.XLOOKUP($A141,TRIM(SUBSTITUTE('worker file'!$A$2:$A$406,_xlfn.UNICHAR(160)," ")),'worker file'!$L$2:$L$406,"Not found")</f>
        <v>US Semi-monthly</v>
      </c>
      <c r="C141" s="36" t="str">
        <f t="array" ref="C141">_xlfn.XLOOKUP($A141,TRIM(SUBSTITUTE('worker file'!$A$2:$A$406,_xlfn.UNICHAR(160)," ")),'worker file'!$D$2:$D$406,"Not found")</f>
        <v>WA</v>
      </c>
      <c r="D141" s="36" t="str">
        <f t="array" ref="D141">_xlfn.XLOOKUP($A141,TRIM(SUBSTITUTE('worker file'!$A$2:$A$406,_xlfn.UNICHAR(160)," ")),'worker file'!$Q$2:$Q$406,"Not found")</f>
        <v>Active</v>
      </c>
      <c r="E141" s="35" t="s">
        <v>626</v>
      </c>
      <c r="F141" t="str">
        <f t="shared" si="16"/>
        <v>Medical (Health) – Employee</v>
      </c>
      <c r="G141" t="str">
        <f t="shared" si="17"/>
        <v>Pre-tax Section 125 (exempt from FIT/SIT/FICA)</v>
      </c>
      <c r="H141" t="str">
        <f t="shared" si="18"/>
        <v>Flat</v>
      </c>
      <c r="I141" s="40" t="str">
        <f>IF($H141="Percent",_xlfn.XLOOKUP($E141,$A$5:$A$8,$F$5:$F$8,""),"")</f>
        <v/>
      </c>
      <c r="J141" s="38">
        <f t="shared" si="19"/>
        <v>200</v>
      </c>
      <c r="K141" t="str">
        <f t="shared" si="20"/>
        <v>Per pay period</v>
      </c>
      <c r="L141" t="str">
        <f t="shared" si="21"/>
        <v>Every pay period (ongoing)</v>
      </c>
      <c r="M141" s="39">
        <f t="array" ref="M141">MAX(_xlfn.XLOOKUP($A141,TRIM(SUBSTITUTE('worker file'!$A$2:$A$406,_xlfn.UNICHAR(160)," ")),'worker file'!$M$2:$M$406,0),_xlfn.XLOOKUP($B141,TRIM('pay group &amp; schedule'!$A$2:$A$6),'pay group &amp; schedule'!$D$2:$D$6,0))</f>
        <v>46311</v>
      </c>
      <c r="N141" s="39" t="str">
        <f t="array" ref="N141">_xlfn.LET(_xlpm.t,_xlfn.XLOOKUP($A141,TRIM(SUBSTITUTE('worker file'!$A$2:$A$406,_xlfn.UNICHAR(160)," ")),'worker file'!$N$2:$N$406,""),IF(N(_xlpm.t)=0,"",_xlpm.t))</f>
        <v/>
      </c>
    </row>
    <row r="142" spans="1:15" x14ac:dyDescent="0.2">
      <c r="A142" s="35" t="s">
        <v>146</v>
      </c>
      <c r="B142" s="36" t="str">
        <f t="array" ref="B142">_xlfn.XLOOKUP($A142,TRIM(SUBSTITUTE('worker file'!$A$2:$A$406,_xlfn.UNICHAR(160)," ")),'worker file'!$L$2:$L$406,"Not found")</f>
        <v>US Semi-monthly</v>
      </c>
      <c r="C142" s="36" t="str">
        <f t="array" ref="C142">_xlfn.XLOOKUP($A142,TRIM(SUBSTITUTE('worker file'!$A$2:$A$406,_xlfn.UNICHAR(160)," ")),'worker file'!$D$2:$D$406,"Not found")</f>
        <v>WA</v>
      </c>
      <c r="D142" s="36" t="str">
        <f t="array" ref="D142">_xlfn.XLOOKUP($A142,TRIM(SUBSTITUTE('worker file'!$A$2:$A$406,_xlfn.UNICHAR(160)," ")),'worker file'!$Q$2:$Q$406,"Not found")</f>
        <v>Active</v>
      </c>
      <c r="E142" s="35" t="s">
        <v>632</v>
      </c>
      <c r="F142" t="str">
        <f t="shared" si="16"/>
        <v>Dental – Employee</v>
      </c>
      <c r="G142" t="str">
        <f t="shared" si="17"/>
        <v>Pre-tax Section 125 (exempt from FIT/SIT/FICA)</v>
      </c>
      <c r="H142" t="str">
        <f t="shared" si="18"/>
        <v>Flat</v>
      </c>
      <c r="I142" s="40" t="str">
        <f>IF($H142="Percent",_xlfn.XLOOKUP($E142,$A$5:$A$8,$F$5:$F$8,""),"")</f>
        <v/>
      </c>
      <c r="J142" s="38">
        <f t="shared" si="19"/>
        <v>44</v>
      </c>
      <c r="K142" t="str">
        <f t="shared" si="20"/>
        <v>Per pay period</v>
      </c>
      <c r="L142" t="str">
        <f t="shared" si="21"/>
        <v>Every pay period (ongoing)</v>
      </c>
      <c r="M142" s="39">
        <f t="array" ref="M142">MAX(_xlfn.XLOOKUP($A142,TRIM(SUBSTITUTE('worker file'!$A$2:$A$406,_xlfn.UNICHAR(160)," ")),'worker file'!$M$2:$M$406,0),_xlfn.XLOOKUP($B142,TRIM('pay group &amp; schedule'!$A$2:$A$6),'pay group &amp; schedule'!$D$2:$D$6,0))</f>
        <v>46311</v>
      </c>
      <c r="N142" s="39" t="str">
        <f t="array" ref="N142">_xlfn.LET(_xlpm.t,_xlfn.XLOOKUP($A142,TRIM(SUBSTITUTE('worker file'!$A$2:$A$406,_xlfn.UNICHAR(160)," ")),'worker file'!$N$2:$N$406,""),IF(N(_xlpm.t)=0,"",_xlpm.t))</f>
        <v/>
      </c>
    </row>
    <row r="143" spans="1:15" x14ac:dyDescent="0.2">
      <c r="A143" s="35" t="s">
        <v>146</v>
      </c>
      <c r="B143" s="36" t="str">
        <f t="array" ref="B143">_xlfn.XLOOKUP($A143,TRIM(SUBSTITUTE('worker file'!$A$2:$A$406,_xlfn.UNICHAR(160)," ")),'worker file'!$L$2:$L$406,"Not found")</f>
        <v>US Semi-monthly</v>
      </c>
      <c r="C143" s="36" t="str">
        <f t="array" ref="C143">_xlfn.XLOOKUP($A143,TRIM(SUBSTITUTE('worker file'!$A$2:$A$406,_xlfn.UNICHAR(160)," ")),'worker file'!$D$2:$D$406,"Not found")</f>
        <v>WA</v>
      </c>
      <c r="D143" s="36" t="str">
        <f t="array" ref="D143">_xlfn.XLOOKUP($A143,TRIM(SUBSTITUTE('worker file'!$A$2:$A$406,_xlfn.UNICHAR(160)," ")),'worker file'!$Q$2:$Q$406,"Not found")</f>
        <v>Active</v>
      </c>
      <c r="E143" s="35" t="s">
        <v>634</v>
      </c>
      <c r="F143" t="str">
        <f t="shared" si="16"/>
        <v>Vision – Employee</v>
      </c>
      <c r="G143" t="str">
        <f t="shared" si="17"/>
        <v>Pre-tax Section 125 (exempt from FIT/SIT/FICA)</v>
      </c>
      <c r="H143" t="str">
        <f t="shared" si="18"/>
        <v>Flat</v>
      </c>
      <c r="I143" s="40" t="str">
        <f>IF($H143="Percent",_xlfn.XLOOKUP($E143,$A$5:$A$8,$F$5:$F$8,""),"")</f>
        <v/>
      </c>
      <c r="J143" s="38">
        <f t="shared" si="19"/>
        <v>30</v>
      </c>
      <c r="K143" t="str">
        <f t="shared" si="20"/>
        <v>Per pay period</v>
      </c>
      <c r="L143" t="str">
        <f t="shared" si="21"/>
        <v>Every pay period (ongoing)</v>
      </c>
      <c r="M143" s="39">
        <f t="array" ref="M143">MAX(_xlfn.XLOOKUP($A143,TRIM(SUBSTITUTE('worker file'!$A$2:$A$406,_xlfn.UNICHAR(160)," ")),'worker file'!$M$2:$M$406,0),_xlfn.XLOOKUP($B143,TRIM('pay group &amp; schedule'!$A$2:$A$6),'pay group &amp; schedule'!$D$2:$D$6,0))</f>
        <v>46311</v>
      </c>
      <c r="N143" s="39" t="str">
        <f t="array" ref="N143">_xlfn.LET(_xlpm.t,_xlfn.XLOOKUP($A143,TRIM(SUBSTITUTE('worker file'!$A$2:$A$406,_xlfn.UNICHAR(160)," ")),'worker file'!$N$2:$N$406,""),IF(N(_xlpm.t)=0,"",_xlpm.t))</f>
        <v/>
      </c>
    </row>
    <row r="144" spans="1:15" x14ac:dyDescent="0.2">
      <c r="A144" s="35" t="s">
        <v>147</v>
      </c>
      <c r="B144" s="36" t="str">
        <f t="array" ref="B144">_xlfn.XLOOKUP($A144,TRIM(SUBSTITUTE('worker file'!$A$2:$A$406,_xlfn.UNICHAR(160)," ")),'worker file'!$L$2:$L$406,"Not found")</f>
        <v>US Biweekly</v>
      </c>
      <c r="C144" s="36" t="str">
        <f t="array" ref="C144">_xlfn.XLOOKUP($A144,TRIM(SUBSTITUTE('worker file'!$A$2:$A$406,_xlfn.UNICHAR(160)," ")),'worker file'!$D$2:$D$406,"Not found")</f>
        <v>CA</v>
      </c>
      <c r="D144" s="36" t="str">
        <f t="array" ref="D144">_xlfn.XLOOKUP($A144,TRIM(SUBSTITUTE('worker file'!$A$2:$A$406,_xlfn.UNICHAR(160)," ")),'worker file'!$Q$2:$Q$406,"Not found")</f>
        <v>Active</v>
      </c>
      <c r="E144" s="35" t="s">
        <v>618</v>
      </c>
      <c r="F144" t="str">
        <f t="shared" si="16"/>
        <v>401(k) Employee Deferral</v>
      </c>
      <c r="G144" t="str">
        <f t="shared" si="17"/>
        <v>Pre-tax (exempt from FIT/SIT; subject to FICA)</v>
      </c>
      <c r="H144" t="str">
        <f t="shared" si="18"/>
        <v>Percent</v>
      </c>
      <c r="I144" s="37">
        <v>0.05</v>
      </c>
      <c r="J144" s="38" t="str">
        <f t="shared" si="19"/>
        <v/>
      </c>
      <c r="K144" t="str">
        <f t="shared" si="20"/>
        <v>Gross pay</v>
      </c>
      <c r="L144" t="str">
        <f t="shared" si="21"/>
        <v>Every pay period (ongoing)</v>
      </c>
      <c r="M144" s="39">
        <f t="array" ref="M144">MAX(_xlfn.XLOOKUP($A144,TRIM(SUBSTITUTE('worker file'!$A$2:$A$406,_xlfn.UNICHAR(160)," ")),'worker file'!$M$2:$M$406,0),_xlfn.XLOOKUP($B144,TRIM('pay group &amp; schedule'!$A$2:$A$6),'pay group &amp; schedule'!$D$2:$D$6,0))</f>
        <v>46299</v>
      </c>
      <c r="N144" s="39" t="str">
        <f t="array" ref="N144">_xlfn.LET(_xlpm.t,_xlfn.XLOOKUP($A144,TRIM(SUBSTITUTE('worker file'!$A$2:$A$406,_xlfn.UNICHAR(160)," ")),'worker file'!$N$2:$N$406,""),IF(N(_xlpm.t)=0,"",_xlpm.t))</f>
        <v/>
      </c>
    </row>
    <row r="145" spans="1:14" x14ac:dyDescent="0.2">
      <c r="A145" s="35" t="s">
        <v>147</v>
      </c>
      <c r="B145" s="36" t="str">
        <f t="array" ref="B145">_xlfn.XLOOKUP($A145,TRIM(SUBSTITUTE('worker file'!$A$2:$A$406,_xlfn.UNICHAR(160)," ")),'worker file'!$L$2:$L$406,"Not found")</f>
        <v>US Biweekly</v>
      </c>
      <c r="C145" s="36" t="str">
        <f t="array" ref="C145">_xlfn.XLOOKUP($A145,TRIM(SUBSTITUTE('worker file'!$A$2:$A$406,_xlfn.UNICHAR(160)," ")),'worker file'!$D$2:$D$406,"Not found")</f>
        <v>CA</v>
      </c>
      <c r="D145" s="36" t="str">
        <f t="array" ref="D145">_xlfn.XLOOKUP($A145,TRIM(SUBSTITUTE('worker file'!$A$2:$A$406,_xlfn.UNICHAR(160)," ")),'worker file'!$Q$2:$Q$406,"Not found")</f>
        <v>Active</v>
      </c>
      <c r="E145" s="35" t="s">
        <v>626</v>
      </c>
      <c r="F145" t="str">
        <f t="shared" si="16"/>
        <v>Medical (Health) – Employee</v>
      </c>
      <c r="G145" t="str">
        <f t="shared" si="17"/>
        <v>Pre-tax Section 125 (exempt from FIT/SIT/FICA)</v>
      </c>
      <c r="H145" t="str">
        <f t="shared" si="18"/>
        <v>Flat</v>
      </c>
      <c r="I145" s="40" t="str">
        <f>IF($H145="Percent",_xlfn.XLOOKUP($E145,$A$5:$A$8,$F$5:$F$8,""),"")</f>
        <v/>
      </c>
      <c r="J145" s="38">
        <f t="shared" si="19"/>
        <v>200</v>
      </c>
      <c r="K145" t="str">
        <f t="shared" si="20"/>
        <v>Per pay period</v>
      </c>
      <c r="L145" t="str">
        <f t="shared" si="21"/>
        <v>Every pay period (ongoing)</v>
      </c>
      <c r="M145" s="39">
        <f t="array" ref="M145">MAX(_xlfn.XLOOKUP($A145,TRIM(SUBSTITUTE('worker file'!$A$2:$A$406,_xlfn.UNICHAR(160)," ")),'worker file'!$M$2:$M$406,0),_xlfn.XLOOKUP($B145,TRIM('pay group &amp; schedule'!$A$2:$A$6),'pay group &amp; schedule'!$D$2:$D$6,0))</f>
        <v>46299</v>
      </c>
      <c r="N145" s="39" t="str">
        <f t="array" ref="N145">_xlfn.LET(_xlpm.t,_xlfn.XLOOKUP($A145,TRIM(SUBSTITUTE('worker file'!$A$2:$A$406,_xlfn.UNICHAR(160)," ")),'worker file'!$N$2:$N$406,""),IF(N(_xlpm.t)=0,"",_xlpm.t))</f>
        <v/>
      </c>
    </row>
    <row r="146" spans="1:14" x14ac:dyDescent="0.2">
      <c r="A146" s="35" t="s">
        <v>147</v>
      </c>
      <c r="B146" s="36" t="str">
        <f t="array" ref="B146">_xlfn.XLOOKUP($A146,TRIM(SUBSTITUTE('worker file'!$A$2:$A$406,_xlfn.UNICHAR(160)," ")),'worker file'!$L$2:$L$406,"Not found")</f>
        <v>US Biweekly</v>
      </c>
      <c r="C146" s="36" t="str">
        <f t="array" ref="C146">_xlfn.XLOOKUP($A146,TRIM(SUBSTITUTE('worker file'!$A$2:$A$406,_xlfn.UNICHAR(160)," ")),'worker file'!$D$2:$D$406,"Not found")</f>
        <v>CA</v>
      </c>
      <c r="D146" s="36" t="str">
        <f t="array" ref="D146">_xlfn.XLOOKUP($A146,TRIM(SUBSTITUTE('worker file'!$A$2:$A$406,_xlfn.UNICHAR(160)," ")),'worker file'!$Q$2:$Q$406,"Not found")</f>
        <v>Active</v>
      </c>
      <c r="E146" s="35" t="s">
        <v>632</v>
      </c>
      <c r="F146" t="str">
        <f t="shared" si="16"/>
        <v>Dental – Employee</v>
      </c>
      <c r="G146" t="str">
        <f t="shared" si="17"/>
        <v>Pre-tax Section 125 (exempt from FIT/SIT/FICA)</v>
      </c>
      <c r="H146" t="str">
        <f t="shared" si="18"/>
        <v>Flat</v>
      </c>
      <c r="I146" s="40" t="str">
        <f>IF($H146="Percent",_xlfn.XLOOKUP($E146,$A$5:$A$8,$F$5:$F$8,""),"")</f>
        <v/>
      </c>
      <c r="J146" s="38">
        <f t="shared" si="19"/>
        <v>44</v>
      </c>
      <c r="K146" t="str">
        <f t="shared" si="20"/>
        <v>Per pay period</v>
      </c>
      <c r="L146" t="str">
        <f t="shared" si="21"/>
        <v>Every pay period (ongoing)</v>
      </c>
      <c r="M146" s="39">
        <f t="array" ref="M146">MAX(_xlfn.XLOOKUP($A146,TRIM(SUBSTITUTE('worker file'!$A$2:$A$406,_xlfn.UNICHAR(160)," ")),'worker file'!$M$2:$M$406,0),_xlfn.XLOOKUP($B146,TRIM('pay group &amp; schedule'!$A$2:$A$6),'pay group &amp; schedule'!$D$2:$D$6,0))</f>
        <v>46299</v>
      </c>
      <c r="N146" s="39" t="str">
        <f t="array" ref="N146">_xlfn.LET(_xlpm.t,_xlfn.XLOOKUP($A146,TRIM(SUBSTITUTE('worker file'!$A$2:$A$406,_xlfn.UNICHAR(160)," ")),'worker file'!$N$2:$N$406,""),IF(N(_xlpm.t)=0,"",_xlpm.t))</f>
        <v/>
      </c>
    </row>
    <row r="147" spans="1:14" x14ac:dyDescent="0.2">
      <c r="A147" s="35" t="s">
        <v>147</v>
      </c>
      <c r="B147" s="36" t="str">
        <f t="array" ref="B147">_xlfn.XLOOKUP($A147,TRIM(SUBSTITUTE('worker file'!$A$2:$A$406,_xlfn.UNICHAR(160)," ")),'worker file'!$L$2:$L$406,"Not found")</f>
        <v>US Biweekly</v>
      </c>
      <c r="C147" s="36" t="str">
        <f t="array" ref="C147">_xlfn.XLOOKUP($A147,TRIM(SUBSTITUTE('worker file'!$A$2:$A$406,_xlfn.UNICHAR(160)," ")),'worker file'!$D$2:$D$406,"Not found")</f>
        <v>CA</v>
      </c>
      <c r="D147" s="36" t="str">
        <f t="array" ref="D147">_xlfn.XLOOKUP($A147,TRIM(SUBSTITUTE('worker file'!$A$2:$A$406,_xlfn.UNICHAR(160)," ")),'worker file'!$Q$2:$Q$406,"Not found")</f>
        <v>Active</v>
      </c>
      <c r="E147" s="35" t="s">
        <v>634</v>
      </c>
      <c r="F147" t="str">
        <f t="shared" si="16"/>
        <v>Vision – Employee</v>
      </c>
      <c r="G147" t="str">
        <f t="shared" si="17"/>
        <v>Pre-tax Section 125 (exempt from FIT/SIT/FICA)</v>
      </c>
      <c r="H147" t="str">
        <f t="shared" si="18"/>
        <v>Flat</v>
      </c>
      <c r="I147" s="40" t="str">
        <f>IF($H147="Percent",_xlfn.XLOOKUP($E147,$A$5:$A$8,$F$5:$F$8,""),"")</f>
        <v/>
      </c>
      <c r="J147" s="38">
        <f t="shared" si="19"/>
        <v>30</v>
      </c>
      <c r="K147" t="str">
        <f t="shared" si="20"/>
        <v>Per pay period</v>
      </c>
      <c r="L147" t="str">
        <f t="shared" si="21"/>
        <v>Every pay period (ongoing)</v>
      </c>
      <c r="M147" s="39">
        <f t="array" ref="M147">MAX(_xlfn.XLOOKUP($A147,TRIM(SUBSTITUTE('worker file'!$A$2:$A$406,_xlfn.UNICHAR(160)," ")),'worker file'!$M$2:$M$406,0),_xlfn.XLOOKUP($B147,TRIM('pay group &amp; schedule'!$A$2:$A$6),'pay group &amp; schedule'!$D$2:$D$6,0))</f>
        <v>46299</v>
      </c>
      <c r="N147" s="39" t="str">
        <f t="array" ref="N147">_xlfn.LET(_xlpm.t,_xlfn.XLOOKUP($A147,TRIM(SUBSTITUTE('worker file'!$A$2:$A$406,_xlfn.UNICHAR(160)," ")),'worker file'!$N$2:$N$406,""),IF(N(_xlpm.t)=0,"",_xlpm.t))</f>
        <v/>
      </c>
    </row>
    <row r="148" spans="1:14" x14ac:dyDescent="0.2">
      <c r="A148" s="35" t="s">
        <v>148</v>
      </c>
      <c r="B148" s="36" t="str">
        <f t="array" ref="B148">_xlfn.XLOOKUP($A148,TRIM(SUBSTITUTE('worker file'!$A$2:$A$406,_xlfn.UNICHAR(160)," ")),'worker file'!$L$2:$L$406,"Not found")</f>
        <v>US Semi-monthly</v>
      </c>
      <c r="C148" s="36" t="str">
        <f t="array" ref="C148">_xlfn.XLOOKUP($A148,TRIM(SUBSTITUTE('worker file'!$A$2:$A$406,_xlfn.UNICHAR(160)," ")),'worker file'!$D$2:$D$406,"Not found")</f>
        <v>CA</v>
      </c>
      <c r="D148" s="36" t="str">
        <f t="array" ref="D148">_xlfn.XLOOKUP($A148,TRIM(SUBSTITUTE('worker file'!$A$2:$A$406,_xlfn.UNICHAR(160)," ")),'worker file'!$Q$2:$Q$406,"Not found")</f>
        <v>Active</v>
      </c>
      <c r="E148" s="35" t="s">
        <v>618</v>
      </c>
      <c r="F148" t="str">
        <f t="shared" si="16"/>
        <v>401(k) Employee Deferral</v>
      </c>
      <c r="G148" t="str">
        <f t="shared" si="17"/>
        <v>Pre-tax (exempt from FIT/SIT; subject to FICA)</v>
      </c>
      <c r="H148" t="str">
        <f t="shared" si="18"/>
        <v>Percent</v>
      </c>
      <c r="I148" s="37">
        <v>0.02</v>
      </c>
      <c r="J148" s="38" t="str">
        <f t="shared" si="19"/>
        <v/>
      </c>
      <c r="K148" t="str">
        <f t="shared" si="20"/>
        <v>Gross pay</v>
      </c>
      <c r="L148" t="str">
        <f t="shared" si="21"/>
        <v>Every pay period (ongoing)</v>
      </c>
      <c r="M148" s="39">
        <f t="array" ref="M148">MAX(_xlfn.XLOOKUP($A148,TRIM(SUBSTITUTE('worker file'!$A$2:$A$406,_xlfn.UNICHAR(160)," ")),'worker file'!$M$2:$M$406,0),_xlfn.XLOOKUP($B148,TRIM('pay group &amp; schedule'!$A$2:$A$6),'pay group &amp; schedule'!$D$2:$D$6,0))</f>
        <v>46311</v>
      </c>
      <c r="N148" s="39" t="str">
        <f t="array" ref="N148">_xlfn.LET(_xlpm.t,_xlfn.XLOOKUP($A148,TRIM(SUBSTITUTE('worker file'!$A$2:$A$406,_xlfn.UNICHAR(160)," ")),'worker file'!$N$2:$N$406,""),IF(N(_xlpm.t)=0,"",_xlpm.t))</f>
        <v/>
      </c>
    </row>
    <row r="149" spans="1:14" x14ac:dyDescent="0.2">
      <c r="A149" s="35" t="s">
        <v>148</v>
      </c>
      <c r="B149" s="36" t="str">
        <f t="array" ref="B149">_xlfn.XLOOKUP($A149,TRIM(SUBSTITUTE('worker file'!$A$2:$A$406,_xlfn.UNICHAR(160)," ")),'worker file'!$L$2:$L$406,"Not found")</f>
        <v>US Semi-monthly</v>
      </c>
      <c r="C149" s="36" t="str">
        <f t="array" ref="C149">_xlfn.XLOOKUP($A149,TRIM(SUBSTITUTE('worker file'!$A$2:$A$406,_xlfn.UNICHAR(160)," ")),'worker file'!$D$2:$D$406,"Not found")</f>
        <v>CA</v>
      </c>
      <c r="D149" s="36" t="str">
        <f t="array" ref="D149">_xlfn.XLOOKUP($A149,TRIM(SUBSTITUTE('worker file'!$A$2:$A$406,_xlfn.UNICHAR(160)," ")),'worker file'!$Q$2:$Q$406,"Not found")</f>
        <v>Active</v>
      </c>
      <c r="E149" s="35" t="s">
        <v>626</v>
      </c>
      <c r="F149" t="str">
        <f t="shared" si="16"/>
        <v>Medical (Health) – Employee</v>
      </c>
      <c r="G149" t="str">
        <f t="shared" si="17"/>
        <v>Pre-tax Section 125 (exempt from FIT/SIT/FICA)</v>
      </c>
      <c r="H149" t="str">
        <f t="shared" si="18"/>
        <v>Flat</v>
      </c>
      <c r="I149" s="40" t="str">
        <f>IF($H149="Percent",_xlfn.XLOOKUP($E149,$A$5:$A$8,$F$5:$F$8,""),"")</f>
        <v/>
      </c>
      <c r="J149" s="38">
        <f t="shared" si="19"/>
        <v>200</v>
      </c>
      <c r="K149" t="str">
        <f t="shared" si="20"/>
        <v>Per pay period</v>
      </c>
      <c r="L149" t="str">
        <f t="shared" si="21"/>
        <v>Every pay period (ongoing)</v>
      </c>
      <c r="M149" s="39">
        <f t="array" ref="M149">MAX(_xlfn.XLOOKUP($A149,TRIM(SUBSTITUTE('worker file'!$A$2:$A$406,_xlfn.UNICHAR(160)," ")),'worker file'!$M$2:$M$406,0),_xlfn.XLOOKUP($B149,TRIM('pay group &amp; schedule'!$A$2:$A$6),'pay group &amp; schedule'!$D$2:$D$6,0))</f>
        <v>46311</v>
      </c>
      <c r="N149" s="39" t="str">
        <f t="array" ref="N149">_xlfn.LET(_xlpm.t,_xlfn.XLOOKUP($A149,TRIM(SUBSTITUTE('worker file'!$A$2:$A$406,_xlfn.UNICHAR(160)," ")),'worker file'!$N$2:$N$406,""),IF(N(_xlpm.t)=0,"",_xlpm.t))</f>
        <v/>
      </c>
    </row>
    <row r="150" spans="1:14" x14ac:dyDescent="0.2">
      <c r="A150" s="35" t="s">
        <v>148</v>
      </c>
      <c r="B150" s="36" t="str">
        <f t="array" ref="B150">_xlfn.XLOOKUP($A150,TRIM(SUBSTITUTE('worker file'!$A$2:$A$406,_xlfn.UNICHAR(160)," ")),'worker file'!$L$2:$L$406,"Not found")</f>
        <v>US Semi-monthly</v>
      </c>
      <c r="C150" s="36" t="str">
        <f t="array" ref="C150">_xlfn.XLOOKUP($A150,TRIM(SUBSTITUTE('worker file'!$A$2:$A$406,_xlfn.UNICHAR(160)," ")),'worker file'!$D$2:$D$406,"Not found")</f>
        <v>CA</v>
      </c>
      <c r="D150" s="36" t="str">
        <f t="array" ref="D150">_xlfn.XLOOKUP($A150,TRIM(SUBSTITUTE('worker file'!$A$2:$A$406,_xlfn.UNICHAR(160)," ")),'worker file'!$Q$2:$Q$406,"Not found")</f>
        <v>Active</v>
      </c>
      <c r="E150" s="35" t="s">
        <v>632</v>
      </c>
      <c r="F150" t="str">
        <f t="shared" si="16"/>
        <v>Dental – Employee</v>
      </c>
      <c r="G150" t="str">
        <f t="shared" si="17"/>
        <v>Pre-tax Section 125 (exempt from FIT/SIT/FICA)</v>
      </c>
      <c r="H150" t="str">
        <f t="shared" si="18"/>
        <v>Flat</v>
      </c>
      <c r="I150" s="40" t="str">
        <f>IF($H150="Percent",_xlfn.XLOOKUP($E150,$A$5:$A$8,$F$5:$F$8,""),"")</f>
        <v/>
      </c>
      <c r="J150" s="38">
        <f t="shared" si="19"/>
        <v>44</v>
      </c>
      <c r="K150" t="str">
        <f t="shared" si="20"/>
        <v>Per pay period</v>
      </c>
      <c r="L150" t="str">
        <f t="shared" si="21"/>
        <v>Every pay period (ongoing)</v>
      </c>
      <c r="M150" s="39">
        <f t="array" ref="M150">MAX(_xlfn.XLOOKUP($A150,TRIM(SUBSTITUTE('worker file'!$A$2:$A$406,_xlfn.UNICHAR(160)," ")),'worker file'!$M$2:$M$406,0),_xlfn.XLOOKUP($B150,TRIM('pay group &amp; schedule'!$A$2:$A$6),'pay group &amp; schedule'!$D$2:$D$6,0))</f>
        <v>46311</v>
      </c>
      <c r="N150" s="39" t="str">
        <f t="array" ref="N150">_xlfn.LET(_xlpm.t,_xlfn.XLOOKUP($A150,TRIM(SUBSTITUTE('worker file'!$A$2:$A$406,_xlfn.UNICHAR(160)," ")),'worker file'!$N$2:$N$406,""),IF(N(_xlpm.t)=0,"",_xlpm.t))</f>
        <v/>
      </c>
    </row>
    <row r="151" spans="1:14" x14ac:dyDescent="0.2">
      <c r="A151" s="35" t="s">
        <v>148</v>
      </c>
      <c r="B151" s="36" t="str">
        <f t="array" ref="B151">_xlfn.XLOOKUP($A151,TRIM(SUBSTITUTE('worker file'!$A$2:$A$406,_xlfn.UNICHAR(160)," ")),'worker file'!$L$2:$L$406,"Not found")</f>
        <v>US Semi-monthly</v>
      </c>
      <c r="C151" s="36" t="str">
        <f t="array" ref="C151">_xlfn.XLOOKUP($A151,TRIM(SUBSTITUTE('worker file'!$A$2:$A$406,_xlfn.UNICHAR(160)," ")),'worker file'!$D$2:$D$406,"Not found")</f>
        <v>CA</v>
      </c>
      <c r="D151" s="36" t="str">
        <f t="array" ref="D151">_xlfn.XLOOKUP($A151,TRIM(SUBSTITUTE('worker file'!$A$2:$A$406,_xlfn.UNICHAR(160)," ")),'worker file'!$Q$2:$Q$406,"Not found")</f>
        <v>Active</v>
      </c>
      <c r="E151" s="35" t="s">
        <v>634</v>
      </c>
      <c r="F151" t="str">
        <f t="shared" si="16"/>
        <v>Vision – Employee</v>
      </c>
      <c r="G151" t="str">
        <f t="shared" si="17"/>
        <v>Pre-tax Section 125 (exempt from FIT/SIT/FICA)</v>
      </c>
      <c r="H151" t="str">
        <f t="shared" si="18"/>
        <v>Flat</v>
      </c>
      <c r="I151" s="40" t="str">
        <f>IF($H151="Percent",_xlfn.XLOOKUP($E151,$A$5:$A$8,$F$5:$F$8,""),"")</f>
        <v/>
      </c>
      <c r="J151" s="38">
        <f t="shared" si="19"/>
        <v>30</v>
      </c>
      <c r="K151" t="str">
        <f t="shared" si="20"/>
        <v>Per pay period</v>
      </c>
      <c r="L151" t="str">
        <f t="shared" si="21"/>
        <v>Every pay period (ongoing)</v>
      </c>
      <c r="M151" s="39">
        <f t="array" ref="M151">MAX(_xlfn.XLOOKUP($A151,TRIM(SUBSTITUTE('worker file'!$A$2:$A$406,_xlfn.UNICHAR(160)," ")),'worker file'!$M$2:$M$406,0),_xlfn.XLOOKUP($B151,TRIM('pay group &amp; schedule'!$A$2:$A$6),'pay group &amp; schedule'!$D$2:$D$6,0))</f>
        <v>46311</v>
      </c>
      <c r="N151" s="39" t="str">
        <f t="array" ref="N151">_xlfn.LET(_xlpm.t,_xlfn.XLOOKUP($A151,TRIM(SUBSTITUTE('worker file'!$A$2:$A$406,_xlfn.UNICHAR(160)," ")),'worker file'!$N$2:$N$406,""),IF(N(_xlpm.t)=0,"",_xlpm.t))</f>
        <v/>
      </c>
    </row>
    <row r="152" spans="1:14" x14ac:dyDescent="0.2">
      <c r="A152" s="35" t="s">
        <v>150</v>
      </c>
      <c r="B152" s="36" t="str">
        <f t="array" ref="B152">_xlfn.XLOOKUP($A152,TRIM(SUBSTITUTE('worker file'!$A$2:$A$406,_xlfn.UNICHAR(160)," ")),'worker file'!$L$2:$L$406,"Not found")</f>
        <v>US Biweekly</v>
      </c>
      <c r="C152" s="36" t="str">
        <f t="array" ref="C152">_xlfn.XLOOKUP($A152,TRIM(SUBSTITUTE('worker file'!$A$2:$A$406,_xlfn.UNICHAR(160)," ")),'worker file'!$D$2:$D$406,"Not found")</f>
        <v>TX</v>
      </c>
      <c r="D152" s="36" t="str">
        <f t="array" ref="D152">_xlfn.XLOOKUP($A152,TRIM(SUBSTITUTE('worker file'!$A$2:$A$406,_xlfn.UNICHAR(160)," ")),'worker file'!$Q$2:$Q$406,"Not found")</f>
        <v>Active</v>
      </c>
      <c r="E152" s="35" t="s">
        <v>618</v>
      </c>
      <c r="F152" t="str">
        <f t="shared" si="16"/>
        <v>401(k) Employee Deferral</v>
      </c>
      <c r="G152" t="str">
        <f t="shared" si="17"/>
        <v>Pre-tax (exempt from FIT/SIT; subject to FICA)</v>
      </c>
      <c r="H152" t="str">
        <f t="shared" si="18"/>
        <v>Percent</v>
      </c>
      <c r="I152" s="37">
        <v>7.0000000000000007E-2</v>
      </c>
      <c r="J152" s="38" t="str">
        <f t="shared" si="19"/>
        <v/>
      </c>
      <c r="K152" t="str">
        <f t="shared" si="20"/>
        <v>Gross pay</v>
      </c>
      <c r="L152" t="str">
        <f t="shared" si="21"/>
        <v>Every pay period (ongoing)</v>
      </c>
      <c r="M152" s="39">
        <f t="array" ref="M152">MAX(_xlfn.XLOOKUP($A152,TRIM(SUBSTITUTE('worker file'!$A$2:$A$406,_xlfn.UNICHAR(160)," ")),'worker file'!$M$2:$M$406,0),_xlfn.XLOOKUP($B152,TRIM('pay group &amp; schedule'!$A$2:$A$6),'pay group &amp; schedule'!$D$2:$D$6,0))</f>
        <v>46299</v>
      </c>
      <c r="N152" s="39" t="str">
        <f t="array" ref="N152">_xlfn.LET(_xlpm.t,_xlfn.XLOOKUP($A152,TRIM(SUBSTITUTE('worker file'!$A$2:$A$406,_xlfn.UNICHAR(160)," ")),'worker file'!$N$2:$N$406,""),IF(N(_xlpm.t)=0,"",_xlpm.t))</f>
        <v/>
      </c>
    </row>
    <row r="153" spans="1:14" x14ac:dyDescent="0.2">
      <c r="A153" s="35" t="s">
        <v>150</v>
      </c>
      <c r="B153" s="36" t="str">
        <f t="array" ref="B153">_xlfn.XLOOKUP($A153,TRIM(SUBSTITUTE('worker file'!$A$2:$A$406,_xlfn.UNICHAR(160)," ")),'worker file'!$L$2:$L$406,"Not found")</f>
        <v>US Biweekly</v>
      </c>
      <c r="C153" s="36" t="str">
        <f t="array" ref="C153">_xlfn.XLOOKUP($A153,TRIM(SUBSTITUTE('worker file'!$A$2:$A$406,_xlfn.UNICHAR(160)," ")),'worker file'!$D$2:$D$406,"Not found")</f>
        <v>TX</v>
      </c>
      <c r="D153" s="36" t="str">
        <f t="array" ref="D153">_xlfn.XLOOKUP($A153,TRIM(SUBSTITUTE('worker file'!$A$2:$A$406,_xlfn.UNICHAR(160)," ")),'worker file'!$Q$2:$Q$406,"Not found")</f>
        <v>Active</v>
      </c>
      <c r="E153" s="35" t="s">
        <v>626</v>
      </c>
      <c r="F153" t="str">
        <f t="shared" si="16"/>
        <v>Medical (Health) – Employee</v>
      </c>
      <c r="G153" t="str">
        <f t="shared" si="17"/>
        <v>Pre-tax Section 125 (exempt from FIT/SIT/FICA)</v>
      </c>
      <c r="H153" t="str">
        <f t="shared" si="18"/>
        <v>Flat</v>
      </c>
      <c r="I153" s="40" t="str">
        <f>IF($H153="Percent",_xlfn.XLOOKUP($E153,$A$5:$A$8,$F$5:$F$8,""),"")</f>
        <v/>
      </c>
      <c r="J153" s="38">
        <f t="shared" si="19"/>
        <v>200</v>
      </c>
      <c r="K153" t="str">
        <f t="shared" si="20"/>
        <v>Per pay period</v>
      </c>
      <c r="L153" t="str">
        <f t="shared" si="21"/>
        <v>Every pay period (ongoing)</v>
      </c>
      <c r="M153" s="39">
        <f t="array" ref="M153">MAX(_xlfn.XLOOKUP($A153,TRIM(SUBSTITUTE('worker file'!$A$2:$A$406,_xlfn.UNICHAR(160)," ")),'worker file'!$M$2:$M$406,0),_xlfn.XLOOKUP($B153,TRIM('pay group &amp; schedule'!$A$2:$A$6),'pay group &amp; schedule'!$D$2:$D$6,0))</f>
        <v>46299</v>
      </c>
      <c r="N153" s="39" t="str">
        <f t="array" ref="N153">_xlfn.LET(_xlpm.t,_xlfn.XLOOKUP($A153,TRIM(SUBSTITUTE('worker file'!$A$2:$A$406,_xlfn.UNICHAR(160)," ")),'worker file'!$N$2:$N$406,""),IF(N(_xlpm.t)=0,"",_xlpm.t))</f>
        <v/>
      </c>
    </row>
    <row r="154" spans="1:14" x14ac:dyDescent="0.2">
      <c r="A154" s="35" t="s">
        <v>150</v>
      </c>
      <c r="B154" s="36" t="str">
        <f t="array" ref="B154">_xlfn.XLOOKUP($A154,TRIM(SUBSTITUTE('worker file'!$A$2:$A$406,_xlfn.UNICHAR(160)," ")),'worker file'!$L$2:$L$406,"Not found")</f>
        <v>US Biweekly</v>
      </c>
      <c r="C154" s="36" t="str">
        <f t="array" ref="C154">_xlfn.XLOOKUP($A154,TRIM(SUBSTITUTE('worker file'!$A$2:$A$406,_xlfn.UNICHAR(160)," ")),'worker file'!$D$2:$D$406,"Not found")</f>
        <v>TX</v>
      </c>
      <c r="D154" s="36" t="str">
        <f t="array" ref="D154">_xlfn.XLOOKUP($A154,TRIM(SUBSTITUTE('worker file'!$A$2:$A$406,_xlfn.UNICHAR(160)," ")),'worker file'!$Q$2:$Q$406,"Not found")</f>
        <v>Active</v>
      </c>
      <c r="E154" s="35" t="s">
        <v>632</v>
      </c>
      <c r="F154" t="str">
        <f t="shared" si="16"/>
        <v>Dental – Employee</v>
      </c>
      <c r="G154" t="str">
        <f t="shared" si="17"/>
        <v>Pre-tax Section 125 (exempt from FIT/SIT/FICA)</v>
      </c>
      <c r="H154" t="str">
        <f t="shared" si="18"/>
        <v>Flat</v>
      </c>
      <c r="I154" s="40" t="str">
        <f>IF($H154="Percent",_xlfn.XLOOKUP($E154,$A$5:$A$8,$F$5:$F$8,""),"")</f>
        <v/>
      </c>
      <c r="J154" s="38">
        <f t="shared" si="19"/>
        <v>44</v>
      </c>
      <c r="K154" t="str">
        <f t="shared" si="20"/>
        <v>Per pay period</v>
      </c>
      <c r="L154" t="str">
        <f t="shared" si="21"/>
        <v>Every pay period (ongoing)</v>
      </c>
      <c r="M154" s="39">
        <f t="array" ref="M154">MAX(_xlfn.XLOOKUP($A154,TRIM(SUBSTITUTE('worker file'!$A$2:$A$406,_xlfn.UNICHAR(160)," ")),'worker file'!$M$2:$M$406,0),_xlfn.XLOOKUP($B154,TRIM('pay group &amp; schedule'!$A$2:$A$6),'pay group &amp; schedule'!$D$2:$D$6,0))</f>
        <v>46299</v>
      </c>
      <c r="N154" s="39" t="str">
        <f t="array" ref="N154">_xlfn.LET(_xlpm.t,_xlfn.XLOOKUP($A154,TRIM(SUBSTITUTE('worker file'!$A$2:$A$406,_xlfn.UNICHAR(160)," ")),'worker file'!$N$2:$N$406,""),IF(N(_xlpm.t)=0,"",_xlpm.t))</f>
        <v/>
      </c>
    </row>
    <row r="155" spans="1:14" x14ac:dyDescent="0.2">
      <c r="A155" s="35" t="s">
        <v>150</v>
      </c>
      <c r="B155" s="36" t="str">
        <f t="array" ref="B155">_xlfn.XLOOKUP($A155,TRIM(SUBSTITUTE('worker file'!$A$2:$A$406,_xlfn.UNICHAR(160)," ")),'worker file'!$L$2:$L$406,"Not found")</f>
        <v>US Biweekly</v>
      </c>
      <c r="C155" s="36" t="str">
        <f t="array" ref="C155">_xlfn.XLOOKUP($A155,TRIM(SUBSTITUTE('worker file'!$A$2:$A$406,_xlfn.UNICHAR(160)," ")),'worker file'!$D$2:$D$406,"Not found")</f>
        <v>TX</v>
      </c>
      <c r="D155" s="36" t="str">
        <f t="array" ref="D155">_xlfn.XLOOKUP($A155,TRIM(SUBSTITUTE('worker file'!$A$2:$A$406,_xlfn.UNICHAR(160)," ")),'worker file'!$Q$2:$Q$406,"Not found")</f>
        <v>Active</v>
      </c>
      <c r="E155" s="35" t="s">
        <v>634</v>
      </c>
      <c r="F155" t="str">
        <f t="shared" si="16"/>
        <v>Vision – Employee</v>
      </c>
      <c r="G155" t="str">
        <f t="shared" si="17"/>
        <v>Pre-tax Section 125 (exempt from FIT/SIT/FICA)</v>
      </c>
      <c r="H155" t="str">
        <f t="shared" si="18"/>
        <v>Flat</v>
      </c>
      <c r="I155" s="40" t="str">
        <f>IF($H155="Percent",_xlfn.XLOOKUP($E155,$A$5:$A$8,$F$5:$F$8,""),"")</f>
        <v/>
      </c>
      <c r="J155" s="38">
        <f t="shared" si="19"/>
        <v>30</v>
      </c>
      <c r="K155" t="str">
        <f t="shared" si="20"/>
        <v>Per pay period</v>
      </c>
      <c r="L155" t="str">
        <f t="shared" si="21"/>
        <v>Every pay period (ongoing)</v>
      </c>
      <c r="M155" s="39">
        <f t="array" ref="M155">MAX(_xlfn.XLOOKUP($A155,TRIM(SUBSTITUTE('worker file'!$A$2:$A$406,_xlfn.UNICHAR(160)," ")),'worker file'!$M$2:$M$406,0),_xlfn.XLOOKUP($B155,TRIM('pay group &amp; schedule'!$A$2:$A$6),'pay group &amp; schedule'!$D$2:$D$6,0))</f>
        <v>46299</v>
      </c>
      <c r="N155" s="39" t="str">
        <f t="array" ref="N155">_xlfn.LET(_xlpm.t,_xlfn.XLOOKUP($A155,TRIM(SUBSTITUTE('worker file'!$A$2:$A$406,_xlfn.UNICHAR(160)," ")),'worker file'!$N$2:$N$406,""),IF(N(_xlpm.t)=0,"",_xlpm.t))</f>
        <v/>
      </c>
    </row>
    <row r="156" spans="1:14" x14ac:dyDescent="0.2">
      <c r="A156" s="35" t="s">
        <v>152</v>
      </c>
      <c r="B156" s="36" t="str">
        <f t="array" ref="B156">_xlfn.XLOOKUP($A156,TRIM(SUBSTITUTE('worker file'!$A$2:$A$406,_xlfn.UNICHAR(160)," ")),'worker file'!$L$2:$L$406,"Not found")</f>
        <v>US Semi-monthly</v>
      </c>
      <c r="C156" s="36" t="str">
        <f t="array" ref="C156">_xlfn.XLOOKUP($A156,TRIM(SUBSTITUTE('worker file'!$A$2:$A$406,_xlfn.UNICHAR(160)," ")),'worker file'!$D$2:$D$406,"Not found")</f>
        <v>CA</v>
      </c>
      <c r="D156" s="36" t="str">
        <f t="array" ref="D156">_xlfn.XLOOKUP($A156,TRIM(SUBSTITUTE('worker file'!$A$2:$A$406,_xlfn.UNICHAR(160)," ")),'worker file'!$Q$2:$Q$406,"Not found")</f>
        <v>Active</v>
      </c>
      <c r="E156" s="35" t="s">
        <v>618</v>
      </c>
      <c r="F156" t="str">
        <f t="shared" si="16"/>
        <v>401(k) Employee Deferral</v>
      </c>
      <c r="G156" t="str">
        <f t="shared" si="17"/>
        <v>Pre-tax (exempt from FIT/SIT; subject to FICA)</v>
      </c>
      <c r="H156" t="str">
        <f t="shared" si="18"/>
        <v>Percent</v>
      </c>
      <c r="I156" s="37">
        <v>0.04</v>
      </c>
      <c r="J156" s="38" t="str">
        <f t="shared" si="19"/>
        <v/>
      </c>
      <c r="K156" t="str">
        <f t="shared" si="20"/>
        <v>Gross pay</v>
      </c>
      <c r="L156" t="str">
        <f t="shared" si="21"/>
        <v>Every pay period (ongoing)</v>
      </c>
      <c r="M156" s="39">
        <f t="array" ref="M156">MAX(_xlfn.XLOOKUP($A156,TRIM(SUBSTITUTE('worker file'!$A$2:$A$406,_xlfn.UNICHAR(160)," ")),'worker file'!$M$2:$M$406,0),_xlfn.XLOOKUP($B156,TRIM('pay group &amp; schedule'!$A$2:$A$6),'pay group &amp; schedule'!$D$2:$D$6,0))</f>
        <v>46311</v>
      </c>
      <c r="N156" s="39" t="str">
        <f t="array" ref="N156">_xlfn.LET(_xlpm.t,_xlfn.XLOOKUP($A156,TRIM(SUBSTITUTE('worker file'!$A$2:$A$406,_xlfn.UNICHAR(160)," ")),'worker file'!$N$2:$N$406,""),IF(N(_xlpm.t)=0,"",_xlpm.t))</f>
        <v/>
      </c>
    </row>
    <row r="157" spans="1:14" x14ac:dyDescent="0.2">
      <c r="A157" s="35" t="s">
        <v>152</v>
      </c>
      <c r="B157" s="36" t="str">
        <f t="array" ref="B157">_xlfn.XLOOKUP($A157,TRIM(SUBSTITUTE('worker file'!$A$2:$A$406,_xlfn.UNICHAR(160)," ")),'worker file'!$L$2:$L$406,"Not found")</f>
        <v>US Semi-monthly</v>
      </c>
      <c r="C157" s="36" t="str">
        <f t="array" ref="C157">_xlfn.XLOOKUP($A157,TRIM(SUBSTITUTE('worker file'!$A$2:$A$406,_xlfn.UNICHAR(160)," ")),'worker file'!$D$2:$D$406,"Not found")</f>
        <v>CA</v>
      </c>
      <c r="D157" s="36" t="str">
        <f t="array" ref="D157">_xlfn.XLOOKUP($A157,TRIM(SUBSTITUTE('worker file'!$A$2:$A$406,_xlfn.UNICHAR(160)," ")),'worker file'!$Q$2:$Q$406,"Not found")</f>
        <v>Active</v>
      </c>
      <c r="E157" s="35" t="s">
        <v>626</v>
      </c>
      <c r="F157" t="str">
        <f t="shared" si="16"/>
        <v>Medical (Health) – Employee</v>
      </c>
      <c r="G157" t="str">
        <f t="shared" si="17"/>
        <v>Pre-tax Section 125 (exempt from FIT/SIT/FICA)</v>
      </c>
      <c r="H157" t="str">
        <f t="shared" si="18"/>
        <v>Flat</v>
      </c>
      <c r="I157" s="40" t="str">
        <f>IF($H157="Percent",_xlfn.XLOOKUP($E157,$A$5:$A$8,$F$5:$F$8,""),"")</f>
        <v/>
      </c>
      <c r="J157" s="38">
        <f t="shared" si="19"/>
        <v>200</v>
      </c>
      <c r="K157" t="str">
        <f t="shared" si="20"/>
        <v>Per pay period</v>
      </c>
      <c r="L157" t="str">
        <f t="shared" si="21"/>
        <v>Every pay period (ongoing)</v>
      </c>
      <c r="M157" s="39">
        <f t="array" ref="M157">MAX(_xlfn.XLOOKUP($A157,TRIM(SUBSTITUTE('worker file'!$A$2:$A$406,_xlfn.UNICHAR(160)," ")),'worker file'!$M$2:$M$406,0),_xlfn.XLOOKUP($B157,TRIM('pay group &amp; schedule'!$A$2:$A$6),'pay group &amp; schedule'!$D$2:$D$6,0))</f>
        <v>46311</v>
      </c>
      <c r="N157" s="39" t="str">
        <f t="array" ref="N157">_xlfn.LET(_xlpm.t,_xlfn.XLOOKUP($A157,TRIM(SUBSTITUTE('worker file'!$A$2:$A$406,_xlfn.UNICHAR(160)," ")),'worker file'!$N$2:$N$406,""),IF(N(_xlpm.t)=0,"",_xlpm.t))</f>
        <v/>
      </c>
    </row>
    <row r="158" spans="1:14" x14ac:dyDescent="0.2">
      <c r="A158" s="35" t="s">
        <v>152</v>
      </c>
      <c r="B158" s="36" t="str">
        <f t="array" ref="B158">_xlfn.XLOOKUP($A158,TRIM(SUBSTITUTE('worker file'!$A$2:$A$406,_xlfn.UNICHAR(160)," ")),'worker file'!$L$2:$L$406,"Not found")</f>
        <v>US Semi-monthly</v>
      </c>
      <c r="C158" s="36" t="str">
        <f t="array" ref="C158">_xlfn.XLOOKUP($A158,TRIM(SUBSTITUTE('worker file'!$A$2:$A$406,_xlfn.UNICHAR(160)," ")),'worker file'!$D$2:$D$406,"Not found")</f>
        <v>CA</v>
      </c>
      <c r="D158" s="36" t="str">
        <f t="array" ref="D158">_xlfn.XLOOKUP($A158,TRIM(SUBSTITUTE('worker file'!$A$2:$A$406,_xlfn.UNICHAR(160)," ")),'worker file'!$Q$2:$Q$406,"Not found")</f>
        <v>Active</v>
      </c>
      <c r="E158" s="35" t="s">
        <v>632</v>
      </c>
      <c r="F158" t="str">
        <f t="shared" si="16"/>
        <v>Dental – Employee</v>
      </c>
      <c r="G158" t="str">
        <f t="shared" si="17"/>
        <v>Pre-tax Section 125 (exempt from FIT/SIT/FICA)</v>
      </c>
      <c r="H158" t="str">
        <f t="shared" si="18"/>
        <v>Flat</v>
      </c>
      <c r="I158" s="40" t="str">
        <f>IF($H158="Percent",_xlfn.XLOOKUP($E158,$A$5:$A$8,$F$5:$F$8,""),"")</f>
        <v/>
      </c>
      <c r="J158" s="38">
        <f t="shared" si="19"/>
        <v>44</v>
      </c>
      <c r="K158" t="str">
        <f t="shared" si="20"/>
        <v>Per pay period</v>
      </c>
      <c r="L158" t="str">
        <f t="shared" si="21"/>
        <v>Every pay period (ongoing)</v>
      </c>
      <c r="M158" s="39">
        <f t="array" ref="M158">MAX(_xlfn.XLOOKUP($A158,TRIM(SUBSTITUTE('worker file'!$A$2:$A$406,_xlfn.UNICHAR(160)," ")),'worker file'!$M$2:$M$406,0),_xlfn.XLOOKUP($B158,TRIM('pay group &amp; schedule'!$A$2:$A$6),'pay group &amp; schedule'!$D$2:$D$6,0))</f>
        <v>46311</v>
      </c>
      <c r="N158" s="39" t="str">
        <f t="array" ref="N158">_xlfn.LET(_xlpm.t,_xlfn.XLOOKUP($A158,TRIM(SUBSTITUTE('worker file'!$A$2:$A$406,_xlfn.UNICHAR(160)," ")),'worker file'!$N$2:$N$406,""),IF(N(_xlpm.t)=0,"",_xlpm.t))</f>
        <v/>
      </c>
    </row>
    <row r="159" spans="1:14" x14ac:dyDescent="0.2">
      <c r="A159" s="35" t="s">
        <v>152</v>
      </c>
      <c r="B159" s="36" t="str">
        <f t="array" ref="B159">_xlfn.XLOOKUP($A159,TRIM(SUBSTITUTE('worker file'!$A$2:$A$406,_xlfn.UNICHAR(160)," ")),'worker file'!$L$2:$L$406,"Not found")</f>
        <v>US Semi-monthly</v>
      </c>
      <c r="C159" s="36" t="str">
        <f t="array" ref="C159">_xlfn.XLOOKUP($A159,TRIM(SUBSTITUTE('worker file'!$A$2:$A$406,_xlfn.UNICHAR(160)," ")),'worker file'!$D$2:$D$406,"Not found")</f>
        <v>CA</v>
      </c>
      <c r="D159" s="36" t="str">
        <f t="array" ref="D159">_xlfn.XLOOKUP($A159,TRIM(SUBSTITUTE('worker file'!$A$2:$A$406,_xlfn.UNICHAR(160)," ")),'worker file'!$Q$2:$Q$406,"Not found")</f>
        <v>Active</v>
      </c>
      <c r="E159" s="35" t="s">
        <v>634</v>
      </c>
      <c r="F159" t="str">
        <f t="shared" si="16"/>
        <v>Vision – Employee</v>
      </c>
      <c r="G159" t="str">
        <f t="shared" si="17"/>
        <v>Pre-tax Section 125 (exempt from FIT/SIT/FICA)</v>
      </c>
      <c r="H159" t="str">
        <f t="shared" si="18"/>
        <v>Flat</v>
      </c>
      <c r="I159" s="40" t="str">
        <f>IF($H159="Percent",_xlfn.XLOOKUP($E159,$A$5:$A$8,$F$5:$F$8,""),"")</f>
        <v/>
      </c>
      <c r="J159" s="38">
        <f t="shared" si="19"/>
        <v>30</v>
      </c>
      <c r="K159" t="str">
        <f t="shared" si="20"/>
        <v>Per pay period</v>
      </c>
      <c r="L159" t="str">
        <f t="shared" si="21"/>
        <v>Every pay period (ongoing)</v>
      </c>
      <c r="M159" s="39">
        <f t="array" ref="M159">MAX(_xlfn.XLOOKUP($A159,TRIM(SUBSTITUTE('worker file'!$A$2:$A$406,_xlfn.UNICHAR(160)," ")),'worker file'!$M$2:$M$406,0),_xlfn.XLOOKUP($B159,TRIM('pay group &amp; schedule'!$A$2:$A$6),'pay group &amp; schedule'!$D$2:$D$6,0))</f>
        <v>46311</v>
      </c>
      <c r="N159" s="39" t="str">
        <f t="array" ref="N159">_xlfn.LET(_xlpm.t,_xlfn.XLOOKUP($A159,TRIM(SUBSTITUTE('worker file'!$A$2:$A$406,_xlfn.UNICHAR(160)," ")),'worker file'!$N$2:$N$406,""),IF(N(_xlpm.t)=0,"",_xlpm.t))</f>
        <v/>
      </c>
    </row>
    <row r="160" spans="1:14" x14ac:dyDescent="0.2">
      <c r="A160" s="35" t="s">
        <v>153</v>
      </c>
      <c r="B160" s="36" t="str">
        <f t="array" ref="B160">_xlfn.XLOOKUP($A160,TRIM(SUBSTITUTE('worker file'!$A$2:$A$406,_xlfn.UNICHAR(160)," ")),'worker file'!$L$2:$L$406,"Not found")</f>
        <v>US Semi-monthly</v>
      </c>
      <c r="C160" s="36" t="str">
        <f t="array" ref="C160">_xlfn.XLOOKUP($A160,TRIM(SUBSTITUTE('worker file'!$A$2:$A$406,_xlfn.UNICHAR(160)," ")),'worker file'!$D$2:$D$406,"Not found")</f>
        <v>MA</v>
      </c>
      <c r="D160" s="36" t="str">
        <f t="array" ref="D160">_xlfn.XLOOKUP($A160,TRIM(SUBSTITUTE('worker file'!$A$2:$A$406,_xlfn.UNICHAR(160)," ")),'worker file'!$Q$2:$Q$406,"Not found")</f>
        <v>Active</v>
      </c>
      <c r="E160" s="35" t="s">
        <v>618</v>
      </c>
      <c r="F160" t="str">
        <f t="shared" si="16"/>
        <v>401(k) Employee Deferral</v>
      </c>
      <c r="G160" t="str">
        <f t="shared" si="17"/>
        <v>Pre-tax (exempt from FIT/SIT; subject to FICA)</v>
      </c>
      <c r="H160" t="str">
        <f t="shared" si="18"/>
        <v>Percent</v>
      </c>
      <c r="I160" s="37">
        <v>0.01</v>
      </c>
      <c r="J160" s="38" t="str">
        <f t="shared" si="19"/>
        <v/>
      </c>
      <c r="K160" t="str">
        <f t="shared" si="20"/>
        <v>Gross pay</v>
      </c>
      <c r="L160" t="str">
        <f t="shared" si="21"/>
        <v>Every pay period (ongoing)</v>
      </c>
      <c r="M160" s="39">
        <f t="array" ref="M160">MAX(_xlfn.XLOOKUP($A160,TRIM(SUBSTITUTE('worker file'!$A$2:$A$406,_xlfn.UNICHAR(160)," ")),'worker file'!$M$2:$M$406,0),_xlfn.XLOOKUP($B160,TRIM('pay group &amp; schedule'!$A$2:$A$6),'pay group &amp; schedule'!$D$2:$D$6,0))</f>
        <v>46311</v>
      </c>
      <c r="N160" s="39" t="str">
        <f t="array" ref="N160">_xlfn.LET(_xlpm.t,_xlfn.XLOOKUP($A160,TRIM(SUBSTITUTE('worker file'!$A$2:$A$406,_xlfn.UNICHAR(160)," ")),'worker file'!$N$2:$N$406,""),IF(N(_xlpm.t)=0,"",_xlpm.t))</f>
        <v/>
      </c>
    </row>
    <row r="161" spans="1:14" x14ac:dyDescent="0.2">
      <c r="A161" s="35" t="s">
        <v>153</v>
      </c>
      <c r="B161" s="36" t="str">
        <f t="array" ref="B161">_xlfn.XLOOKUP($A161,TRIM(SUBSTITUTE('worker file'!$A$2:$A$406,_xlfn.UNICHAR(160)," ")),'worker file'!$L$2:$L$406,"Not found")</f>
        <v>US Semi-monthly</v>
      </c>
      <c r="C161" s="36" t="str">
        <f t="array" ref="C161">_xlfn.XLOOKUP($A161,TRIM(SUBSTITUTE('worker file'!$A$2:$A$406,_xlfn.UNICHAR(160)," ")),'worker file'!$D$2:$D$406,"Not found")</f>
        <v>MA</v>
      </c>
      <c r="D161" s="36" t="str">
        <f t="array" ref="D161">_xlfn.XLOOKUP($A161,TRIM(SUBSTITUTE('worker file'!$A$2:$A$406,_xlfn.UNICHAR(160)," ")),'worker file'!$Q$2:$Q$406,"Not found")</f>
        <v>Active</v>
      </c>
      <c r="E161" s="35" t="s">
        <v>626</v>
      </c>
      <c r="F161" t="str">
        <f t="shared" si="16"/>
        <v>Medical (Health) – Employee</v>
      </c>
      <c r="G161" t="str">
        <f t="shared" si="17"/>
        <v>Pre-tax Section 125 (exempt from FIT/SIT/FICA)</v>
      </c>
      <c r="H161" t="str">
        <f t="shared" si="18"/>
        <v>Flat</v>
      </c>
      <c r="I161" s="40" t="str">
        <f>IF($H161="Percent",_xlfn.XLOOKUP($E161,$A$5:$A$8,$F$5:$F$8,""),"")</f>
        <v/>
      </c>
      <c r="J161" s="38">
        <f t="shared" si="19"/>
        <v>200</v>
      </c>
      <c r="K161" t="str">
        <f t="shared" si="20"/>
        <v>Per pay period</v>
      </c>
      <c r="L161" t="str">
        <f t="shared" si="21"/>
        <v>Every pay period (ongoing)</v>
      </c>
      <c r="M161" s="39">
        <f t="array" ref="M161">MAX(_xlfn.XLOOKUP($A161,TRIM(SUBSTITUTE('worker file'!$A$2:$A$406,_xlfn.UNICHAR(160)," ")),'worker file'!$M$2:$M$406,0),_xlfn.XLOOKUP($B161,TRIM('pay group &amp; schedule'!$A$2:$A$6),'pay group &amp; schedule'!$D$2:$D$6,0))</f>
        <v>46311</v>
      </c>
      <c r="N161" s="39" t="str">
        <f t="array" ref="N161">_xlfn.LET(_xlpm.t,_xlfn.XLOOKUP($A161,TRIM(SUBSTITUTE('worker file'!$A$2:$A$406,_xlfn.UNICHAR(160)," ")),'worker file'!$N$2:$N$406,""),IF(N(_xlpm.t)=0,"",_xlpm.t))</f>
        <v/>
      </c>
    </row>
    <row r="162" spans="1:14" x14ac:dyDescent="0.2">
      <c r="A162" s="35" t="s">
        <v>153</v>
      </c>
      <c r="B162" s="36" t="str">
        <f t="array" ref="B162">_xlfn.XLOOKUP($A162,TRIM(SUBSTITUTE('worker file'!$A$2:$A$406,_xlfn.UNICHAR(160)," ")),'worker file'!$L$2:$L$406,"Not found")</f>
        <v>US Semi-monthly</v>
      </c>
      <c r="C162" s="36" t="str">
        <f t="array" ref="C162">_xlfn.XLOOKUP($A162,TRIM(SUBSTITUTE('worker file'!$A$2:$A$406,_xlfn.UNICHAR(160)," ")),'worker file'!$D$2:$D$406,"Not found")</f>
        <v>MA</v>
      </c>
      <c r="D162" s="36" t="str">
        <f t="array" ref="D162">_xlfn.XLOOKUP($A162,TRIM(SUBSTITUTE('worker file'!$A$2:$A$406,_xlfn.UNICHAR(160)," ")),'worker file'!$Q$2:$Q$406,"Not found")</f>
        <v>Active</v>
      </c>
      <c r="E162" s="35" t="s">
        <v>632</v>
      </c>
      <c r="F162" t="str">
        <f t="shared" si="16"/>
        <v>Dental – Employee</v>
      </c>
      <c r="G162" t="str">
        <f t="shared" si="17"/>
        <v>Pre-tax Section 125 (exempt from FIT/SIT/FICA)</v>
      </c>
      <c r="H162" t="str">
        <f t="shared" si="18"/>
        <v>Flat</v>
      </c>
      <c r="I162" s="40" t="str">
        <f>IF($H162="Percent",_xlfn.XLOOKUP($E162,$A$5:$A$8,$F$5:$F$8,""),"")</f>
        <v/>
      </c>
      <c r="J162" s="38">
        <f t="shared" si="19"/>
        <v>44</v>
      </c>
      <c r="K162" t="str">
        <f t="shared" si="20"/>
        <v>Per pay period</v>
      </c>
      <c r="L162" t="str">
        <f t="shared" si="21"/>
        <v>Every pay period (ongoing)</v>
      </c>
      <c r="M162" s="39">
        <f t="array" ref="M162">MAX(_xlfn.XLOOKUP($A162,TRIM(SUBSTITUTE('worker file'!$A$2:$A$406,_xlfn.UNICHAR(160)," ")),'worker file'!$M$2:$M$406,0),_xlfn.XLOOKUP($B162,TRIM('pay group &amp; schedule'!$A$2:$A$6),'pay group &amp; schedule'!$D$2:$D$6,0))</f>
        <v>46311</v>
      </c>
      <c r="N162" s="39" t="str">
        <f t="array" ref="N162">_xlfn.LET(_xlpm.t,_xlfn.XLOOKUP($A162,TRIM(SUBSTITUTE('worker file'!$A$2:$A$406,_xlfn.UNICHAR(160)," ")),'worker file'!$N$2:$N$406,""),IF(N(_xlpm.t)=0,"",_xlpm.t))</f>
        <v/>
      </c>
    </row>
    <row r="163" spans="1:14" x14ac:dyDescent="0.2">
      <c r="A163" s="35" t="s">
        <v>153</v>
      </c>
      <c r="B163" s="36" t="str">
        <f t="array" ref="B163">_xlfn.XLOOKUP($A163,TRIM(SUBSTITUTE('worker file'!$A$2:$A$406,_xlfn.UNICHAR(160)," ")),'worker file'!$L$2:$L$406,"Not found")</f>
        <v>US Semi-monthly</v>
      </c>
      <c r="C163" s="36" t="str">
        <f t="array" ref="C163">_xlfn.XLOOKUP($A163,TRIM(SUBSTITUTE('worker file'!$A$2:$A$406,_xlfn.UNICHAR(160)," ")),'worker file'!$D$2:$D$406,"Not found")</f>
        <v>MA</v>
      </c>
      <c r="D163" s="36" t="str">
        <f t="array" ref="D163">_xlfn.XLOOKUP($A163,TRIM(SUBSTITUTE('worker file'!$A$2:$A$406,_xlfn.UNICHAR(160)," ")),'worker file'!$Q$2:$Q$406,"Not found")</f>
        <v>Active</v>
      </c>
      <c r="E163" s="35" t="s">
        <v>634</v>
      </c>
      <c r="F163" t="str">
        <f t="shared" si="16"/>
        <v>Vision – Employee</v>
      </c>
      <c r="G163" t="str">
        <f t="shared" si="17"/>
        <v>Pre-tax Section 125 (exempt from FIT/SIT/FICA)</v>
      </c>
      <c r="H163" t="str">
        <f t="shared" si="18"/>
        <v>Flat</v>
      </c>
      <c r="I163" s="40" t="str">
        <f>IF($H163="Percent",_xlfn.XLOOKUP($E163,$A$5:$A$8,$F$5:$F$8,""),"")</f>
        <v/>
      </c>
      <c r="J163" s="38">
        <f t="shared" si="19"/>
        <v>30</v>
      </c>
      <c r="K163" t="str">
        <f t="shared" si="20"/>
        <v>Per pay period</v>
      </c>
      <c r="L163" t="str">
        <f t="shared" si="21"/>
        <v>Every pay period (ongoing)</v>
      </c>
      <c r="M163" s="39">
        <f t="array" ref="M163">MAX(_xlfn.XLOOKUP($A163,TRIM(SUBSTITUTE('worker file'!$A$2:$A$406,_xlfn.UNICHAR(160)," ")),'worker file'!$M$2:$M$406,0),_xlfn.XLOOKUP($B163,TRIM('pay group &amp; schedule'!$A$2:$A$6),'pay group &amp; schedule'!$D$2:$D$6,0))</f>
        <v>46311</v>
      </c>
      <c r="N163" s="39" t="str">
        <f t="array" ref="N163">_xlfn.LET(_xlpm.t,_xlfn.XLOOKUP($A163,TRIM(SUBSTITUTE('worker file'!$A$2:$A$406,_xlfn.UNICHAR(160)," ")),'worker file'!$N$2:$N$406,""),IF(N(_xlpm.t)=0,"",_xlpm.t))</f>
        <v/>
      </c>
    </row>
    <row r="164" spans="1:14" x14ac:dyDescent="0.2">
      <c r="A164" s="35" t="s">
        <v>155</v>
      </c>
      <c r="B164" s="36" t="str">
        <f t="array" ref="B164">_xlfn.XLOOKUP($A164,TRIM(SUBSTITUTE('worker file'!$A$2:$A$406,_xlfn.UNICHAR(160)," ")),'worker file'!$L$2:$L$406,"Not found")</f>
        <v>US Semi-monthly</v>
      </c>
      <c r="C164" s="36" t="str">
        <f t="array" ref="C164">_xlfn.XLOOKUP($A164,TRIM(SUBSTITUTE('worker file'!$A$2:$A$406,_xlfn.UNICHAR(160)," ")),'worker file'!$D$2:$D$406,"Not found")</f>
        <v>WA</v>
      </c>
      <c r="D164" s="36" t="str">
        <f t="array" ref="D164">_xlfn.XLOOKUP($A164,TRIM(SUBSTITUTE('worker file'!$A$2:$A$406,_xlfn.UNICHAR(160)," ")),'worker file'!$Q$2:$Q$406,"Not found")</f>
        <v>Active</v>
      </c>
      <c r="E164" s="35" t="s">
        <v>618</v>
      </c>
      <c r="F164" t="str">
        <f t="shared" si="16"/>
        <v>401(k) Employee Deferral</v>
      </c>
      <c r="G164" t="str">
        <f t="shared" si="17"/>
        <v>Pre-tax (exempt from FIT/SIT; subject to FICA)</v>
      </c>
      <c r="H164" t="str">
        <f t="shared" si="18"/>
        <v>Percent</v>
      </c>
      <c r="I164" s="37">
        <v>0.06</v>
      </c>
      <c r="J164" s="38" t="str">
        <f t="shared" si="19"/>
        <v/>
      </c>
      <c r="K164" t="str">
        <f t="shared" si="20"/>
        <v>Gross pay</v>
      </c>
      <c r="L164" t="str">
        <f t="shared" si="21"/>
        <v>Every pay period (ongoing)</v>
      </c>
      <c r="M164" s="39">
        <f t="array" ref="M164">MAX(_xlfn.XLOOKUP($A164,TRIM(SUBSTITUTE('worker file'!$A$2:$A$406,_xlfn.UNICHAR(160)," ")),'worker file'!$M$2:$M$406,0),_xlfn.XLOOKUP($B164,TRIM('pay group &amp; schedule'!$A$2:$A$6),'pay group &amp; schedule'!$D$2:$D$6,0))</f>
        <v>46311</v>
      </c>
      <c r="N164" s="39" t="str">
        <f t="array" ref="N164">_xlfn.LET(_xlpm.t,_xlfn.XLOOKUP($A164,TRIM(SUBSTITUTE('worker file'!$A$2:$A$406,_xlfn.UNICHAR(160)," ")),'worker file'!$N$2:$N$406,""),IF(N(_xlpm.t)=0,"",_xlpm.t))</f>
        <v/>
      </c>
    </row>
    <row r="165" spans="1:14" x14ac:dyDescent="0.2">
      <c r="A165" s="35" t="s">
        <v>155</v>
      </c>
      <c r="B165" s="36" t="str">
        <f t="array" ref="B165">_xlfn.XLOOKUP($A165,TRIM(SUBSTITUTE('worker file'!$A$2:$A$406,_xlfn.UNICHAR(160)," ")),'worker file'!$L$2:$L$406,"Not found")</f>
        <v>US Semi-monthly</v>
      </c>
      <c r="C165" s="36" t="str">
        <f t="array" ref="C165">_xlfn.XLOOKUP($A165,TRIM(SUBSTITUTE('worker file'!$A$2:$A$406,_xlfn.UNICHAR(160)," ")),'worker file'!$D$2:$D$406,"Not found")</f>
        <v>WA</v>
      </c>
      <c r="D165" s="36" t="str">
        <f t="array" ref="D165">_xlfn.XLOOKUP($A165,TRIM(SUBSTITUTE('worker file'!$A$2:$A$406,_xlfn.UNICHAR(160)," ")),'worker file'!$Q$2:$Q$406,"Not found")</f>
        <v>Active</v>
      </c>
      <c r="E165" s="35" t="s">
        <v>626</v>
      </c>
      <c r="F165" t="str">
        <f t="shared" si="16"/>
        <v>Medical (Health) – Employee</v>
      </c>
      <c r="G165" t="str">
        <f t="shared" si="17"/>
        <v>Pre-tax Section 125 (exempt from FIT/SIT/FICA)</v>
      </c>
      <c r="H165" t="str">
        <f t="shared" si="18"/>
        <v>Flat</v>
      </c>
      <c r="I165" s="40" t="str">
        <f>IF($H165="Percent",_xlfn.XLOOKUP($E165,$A$5:$A$8,$F$5:$F$8,""),"")</f>
        <v/>
      </c>
      <c r="J165" s="38">
        <f t="shared" si="19"/>
        <v>200</v>
      </c>
      <c r="K165" t="str">
        <f t="shared" si="20"/>
        <v>Per pay period</v>
      </c>
      <c r="L165" t="str">
        <f t="shared" si="21"/>
        <v>Every pay period (ongoing)</v>
      </c>
      <c r="M165" s="39">
        <f t="array" ref="M165">MAX(_xlfn.XLOOKUP($A165,TRIM(SUBSTITUTE('worker file'!$A$2:$A$406,_xlfn.UNICHAR(160)," ")),'worker file'!$M$2:$M$406,0),_xlfn.XLOOKUP($B165,TRIM('pay group &amp; schedule'!$A$2:$A$6),'pay group &amp; schedule'!$D$2:$D$6,0))</f>
        <v>46311</v>
      </c>
      <c r="N165" s="39" t="str">
        <f t="array" ref="N165">_xlfn.LET(_xlpm.t,_xlfn.XLOOKUP($A165,TRIM(SUBSTITUTE('worker file'!$A$2:$A$406,_xlfn.UNICHAR(160)," ")),'worker file'!$N$2:$N$406,""),IF(N(_xlpm.t)=0,"",_xlpm.t))</f>
        <v/>
      </c>
    </row>
    <row r="166" spans="1:14" x14ac:dyDescent="0.2">
      <c r="A166" s="35" t="s">
        <v>155</v>
      </c>
      <c r="B166" s="36" t="str">
        <f t="array" ref="B166">_xlfn.XLOOKUP($A166,TRIM(SUBSTITUTE('worker file'!$A$2:$A$406,_xlfn.UNICHAR(160)," ")),'worker file'!$L$2:$L$406,"Not found")</f>
        <v>US Semi-monthly</v>
      </c>
      <c r="C166" s="36" t="str">
        <f t="array" ref="C166">_xlfn.XLOOKUP($A166,TRIM(SUBSTITUTE('worker file'!$A$2:$A$406,_xlfn.UNICHAR(160)," ")),'worker file'!$D$2:$D$406,"Not found")</f>
        <v>WA</v>
      </c>
      <c r="D166" s="36" t="str">
        <f t="array" ref="D166">_xlfn.XLOOKUP($A166,TRIM(SUBSTITUTE('worker file'!$A$2:$A$406,_xlfn.UNICHAR(160)," ")),'worker file'!$Q$2:$Q$406,"Not found")</f>
        <v>Active</v>
      </c>
      <c r="E166" s="35" t="s">
        <v>632</v>
      </c>
      <c r="F166" t="str">
        <f t="shared" si="16"/>
        <v>Dental – Employee</v>
      </c>
      <c r="G166" t="str">
        <f t="shared" si="17"/>
        <v>Pre-tax Section 125 (exempt from FIT/SIT/FICA)</v>
      </c>
      <c r="H166" t="str">
        <f t="shared" si="18"/>
        <v>Flat</v>
      </c>
      <c r="I166" s="40" t="str">
        <f>IF($H166="Percent",_xlfn.XLOOKUP($E166,$A$5:$A$8,$F$5:$F$8,""),"")</f>
        <v/>
      </c>
      <c r="J166" s="38">
        <f t="shared" si="19"/>
        <v>44</v>
      </c>
      <c r="K166" t="str">
        <f t="shared" si="20"/>
        <v>Per pay period</v>
      </c>
      <c r="L166" t="str">
        <f t="shared" si="21"/>
        <v>Every pay period (ongoing)</v>
      </c>
      <c r="M166" s="39">
        <f t="array" ref="M166">MAX(_xlfn.XLOOKUP($A166,TRIM(SUBSTITUTE('worker file'!$A$2:$A$406,_xlfn.UNICHAR(160)," ")),'worker file'!$M$2:$M$406,0),_xlfn.XLOOKUP($B166,TRIM('pay group &amp; schedule'!$A$2:$A$6),'pay group &amp; schedule'!$D$2:$D$6,0))</f>
        <v>46311</v>
      </c>
      <c r="N166" s="39" t="str">
        <f t="array" ref="N166">_xlfn.LET(_xlpm.t,_xlfn.XLOOKUP($A166,TRIM(SUBSTITUTE('worker file'!$A$2:$A$406,_xlfn.UNICHAR(160)," ")),'worker file'!$N$2:$N$406,""),IF(N(_xlpm.t)=0,"",_xlpm.t))</f>
        <v/>
      </c>
    </row>
    <row r="167" spans="1:14" x14ac:dyDescent="0.2">
      <c r="A167" s="35" t="s">
        <v>155</v>
      </c>
      <c r="B167" s="36" t="str">
        <f t="array" ref="B167">_xlfn.XLOOKUP($A167,TRIM(SUBSTITUTE('worker file'!$A$2:$A$406,_xlfn.UNICHAR(160)," ")),'worker file'!$L$2:$L$406,"Not found")</f>
        <v>US Semi-monthly</v>
      </c>
      <c r="C167" s="36" t="str">
        <f t="array" ref="C167">_xlfn.XLOOKUP($A167,TRIM(SUBSTITUTE('worker file'!$A$2:$A$406,_xlfn.UNICHAR(160)," ")),'worker file'!$D$2:$D$406,"Not found")</f>
        <v>WA</v>
      </c>
      <c r="D167" s="36" t="str">
        <f t="array" ref="D167">_xlfn.XLOOKUP($A167,TRIM(SUBSTITUTE('worker file'!$A$2:$A$406,_xlfn.UNICHAR(160)," ")),'worker file'!$Q$2:$Q$406,"Not found")</f>
        <v>Active</v>
      </c>
      <c r="E167" s="35" t="s">
        <v>634</v>
      </c>
      <c r="F167" t="str">
        <f t="shared" si="16"/>
        <v>Vision – Employee</v>
      </c>
      <c r="G167" t="str">
        <f t="shared" si="17"/>
        <v>Pre-tax Section 125 (exempt from FIT/SIT/FICA)</v>
      </c>
      <c r="H167" t="str">
        <f t="shared" si="18"/>
        <v>Flat</v>
      </c>
      <c r="I167" s="40" t="str">
        <f>IF($H167="Percent",_xlfn.XLOOKUP($E167,$A$5:$A$8,$F$5:$F$8,""),"")</f>
        <v/>
      </c>
      <c r="J167" s="38">
        <f t="shared" si="19"/>
        <v>30</v>
      </c>
      <c r="K167" t="str">
        <f t="shared" si="20"/>
        <v>Per pay period</v>
      </c>
      <c r="L167" t="str">
        <f t="shared" si="21"/>
        <v>Every pay period (ongoing)</v>
      </c>
      <c r="M167" s="39">
        <f t="array" ref="M167">MAX(_xlfn.XLOOKUP($A167,TRIM(SUBSTITUTE('worker file'!$A$2:$A$406,_xlfn.UNICHAR(160)," ")),'worker file'!$M$2:$M$406,0),_xlfn.XLOOKUP($B167,TRIM('pay group &amp; schedule'!$A$2:$A$6),'pay group &amp; schedule'!$D$2:$D$6,0))</f>
        <v>46311</v>
      </c>
      <c r="N167" s="39" t="str">
        <f t="array" ref="N167">_xlfn.LET(_xlpm.t,_xlfn.XLOOKUP($A167,TRIM(SUBSTITUTE('worker file'!$A$2:$A$406,_xlfn.UNICHAR(160)," ")),'worker file'!$N$2:$N$406,""),IF(N(_xlpm.t)=0,"",_xlpm.t))</f>
        <v/>
      </c>
    </row>
    <row r="168" spans="1:14" x14ac:dyDescent="0.2">
      <c r="A168" s="35" t="s">
        <v>157</v>
      </c>
      <c r="B168" s="36" t="str">
        <f t="array" ref="B168">_xlfn.XLOOKUP($A168,TRIM(SUBSTITUTE('worker file'!$A$2:$A$406,_xlfn.UNICHAR(160)," ")),'worker file'!$L$2:$L$406,"Not found")</f>
        <v>US Biweekly</v>
      </c>
      <c r="C168" s="36" t="str">
        <f t="array" ref="C168">_xlfn.XLOOKUP($A168,TRIM(SUBSTITUTE('worker file'!$A$2:$A$406,_xlfn.UNICHAR(160)," ")),'worker file'!$D$2:$D$406,"Not found")</f>
        <v>CA</v>
      </c>
      <c r="D168" s="36" t="str">
        <f t="array" ref="D168">_xlfn.XLOOKUP($A168,TRIM(SUBSTITUTE('worker file'!$A$2:$A$406,_xlfn.UNICHAR(160)," ")),'worker file'!$Q$2:$Q$406,"Not found")</f>
        <v>Active</v>
      </c>
      <c r="E168" s="35" t="s">
        <v>618</v>
      </c>
      <c r="F168" t="str">
        <f t="shared" si="16"/>
        <v>401(k) Employee Deferral</v>
      </c>
      <c r="G168" t="str">
        <f t="shared" si="17"/>
        <v>Pre-tax (exempt from FIT/SIT; subject to FICA)</v>
      </c>
      <c r="H168" t="str">
        <f t="shared" si="18"/>
        <v>Percent</v>
      </c>
      <c r="I168" s="37">
        <v>0.03</v>
      </c>
      <c r="J168" s="38" t="str">
        <f t="shared" si="19"/>
        <v/>
      </c>
      <c r="K168" t="str">
        <f t="shared" si="20"/>
        <v>Gross pay</v>
      </c>
      <c r="L168" t="str">
        <f t="shared" si="21"/>
        <v>Every pay period (ongoing)</v>
      </c>
      <c r="M168" s="39">
        <f t="array" ref="M168">MAX(_xlfn.XLOOKUP($A168,TRIM(SUBSTITUTE('worker file'!$A$2:$A$406,_xlfn.UNICHAR(160)," ")),'worker file'!$M$2:$M$406,0),_xlfn.XLOOKUP($B168,TRIM('pay group &amp; schedule'!$A$2:$A$6),'pay group &amp; schedule'!$D$2:$D$6,0))</f>
        <v>46299</v>
      </c>
      <c r="N168" s="39" t="str">
        <f t="array" ref="N168">_xlfn.LET(_xlpm.t,_xlfn.XLOOKUP($A168,TRIM(SUBSTITUTE('worker file'!$A$2:$A$406,_xlfn.UNICHAR(160)," ")),'worker file'!$N$2:$N$406,""),IF(N(_xlpm.t)=0,"",_xlpm.t))</f>
        <v/>
      </c>
    </row>
    <row r="169" spans="1:14" x14ac:dyDescent="0.2">
      <c r="A169" s="35" t="s">
        <v>157</v>
      </c>
      <c r="B169" s="36" t="str">
        <f t="array" ref="B169">_xlfn.XLOOKUP($A169,TRIM(SUBSTITUTE('worker file'!$A$2:$A$406,_xlfn.UNICHAR(160)," ")),'worker file'!$L$2:$L$406,"Not found")</f>
        <v>US Biweekly</v>
      </c>
      <c r="C169" s="36" t="str">
        <f t="array" ref="C169">_xlfn.XLOOKUP($A169,TRIM(SUBSTITUTE('worker file'!$A$2:$A$406,_xlfn.UNICHAR(160)," ")),'worker file'!$D$2:$D$406,"Not found")</f>
        <v>CA</v>
      </c>
      <c r="D169" s="36" t="str">
        <f t="array" ref="D169">_xlfn.XLOOKUP($A169,TRIM(SUBSTITUTE('worker file'!$A$2:$A$406,_xlfn.UNICHAR(160)," ")),'worker file'!$Q$2:$Q$406,"Not found")</f>
        <v>Active</v>
      </c>
      <c r="E169" s="35" t="s">
        <v>626</v>
      </c>
      <c r="F169" t="str">
        <f t="shared" si="16"/>
        <v>Medical (Health) – Employee</v>
      </c>
      <c r="G169" t="str">
        <f t="shared" si="17"/>
        <v>Pre-tax Section 125 (exempt from FIT/SIT/FICA)</v>
      </c>
      <c r="H169" t="str">
        <f t="shared" si="18"/>
        <v>Flat</v>
      </c>
      <c r="I169" s="40" t="str">
        <f t="shared" ref="I169:I174" si="22">IF($H169="Percent",_xlfn.XLOOKUP($E169,$A$5:$A$8,$F$5:$F$8,""),"")</f>
        <v/>
      </c>
      <c r="J169" s="38">
        <f t="shared" si="19"/>
        <v>200</v>
      </c>
      <c r="K169" t="str">
        <f t="shared" si="20"/>
        <v>Per pay period</v>
      </c>
      <c r="L169" t="str">
        <f t="shared" si="21"/>
        <v>Every pay period (ongoing)</v>
      </c>
      <c r="M169" s="39">
        <f t="array" ref="M169">MAX(_xlfn.XLOOKUP($A169,TRIM(SUBSTITUTE('worker file'!$A$2:$A$406,_xlfn.UNICHAR(160)," ")),'worker file'!$M$2:$M$406,0),_xlfn.XLOOKUP($B169,TRIM('pay group &amp; schedule'!$A$2:$A$6),'pay group &amp; schedule'!$D$2:$D$6,0))</f>
        <v>46299</v>
      </c>
      <c r="N169" s="39" t="str">
        <f t="array" ref="N169">_xlfn.LET(_xlpm.t,_xlfn.XLOOKUP($A169,TRIM(SUBSTITUTE('worker file'!$A$2:$A$406,_xlfn.UNICHAR(160)," ")),'worker file'!$N$2:$N$406,""),IF(N(_xlpm.t)=0,"",_xlpm.t))</f>
        <v/>
      </c>
    </row>
    <row r="170" spans="1:14" x14ac:dyDescent="0.2">
      <c r="A170" s="35" t="s">
        <v>157</v>
      </c>
      <c r="B170" s="36" t="str">
        <f t="array" ref="B170">_xlfn.XLOOKUP($A170,TRIM(SUBSTITUTE('worker file'!$A$2:$A$406,_xlfn.UNICHAR(160)," ")),'worker file'!$L$2:$L$406,"Not found")</f>
        <v>US Biweekly</v>
      </c>
      <c r="C170" s="36" t="str">
        <f t="array" ref="C170">_xlfn.XLOOKUP($A170,TRIM(SUBSTITUTE('worker file'!$A$2:$A$406,_xlfn.UNICHAR(160)," ")),'worker file'!$D$2:$D$406,"Not found")</f>
        <v>CA</v>
      </c>
      <c r="D170" s="36" t="str">
        <f t="array" ref="D170">_xlfn.XLOOKUP($A170,TRIM(SUBSTITUTE('worker file'!$A$2:$A$406,_xlfn.UNICHAR(160)," ")),'worker file'!$Q$2:$Q$406,"Not found")</f>
        <v>Active</v>
      </c>
      <c r="E170" s="35" t="s">
        <v>632</v>
      </c>
      <c r="F170" t="str">
        <f t="shared" si="16"/>
        <v>Dental – Employee</v>
      </c>
      <c r="G170" t="str">
        <f t="shared" si="17"/>
        <v>Pre-tax Section 125 (exempt from FIT/SIT/FICA)</v>
      </c>
      <c r="H170" t="str">
        <f t="shared" si="18"/>
        <v>Flat</v>
      </c>
      <c r="I170" s="40" t="str">
        <f t="shared" si="22"/>
        <v/>
      </c>
      <c r="J170" s="38">
        <f t="shared" si="19"/>
        <v>44</v>
      </c>
      <c r="K170" t="str">
        <f t="shared" si="20"/>
        <v>Per pay period</v>
      </c>
      <c r="L170" t="str">
        <f t="shared" si="21"/>
        <v>Every pay period (ongoing)</v>
      </c>
      <c r="M170" s="39">
        <f t="array" ref="M170">MAX(_xlfn.XLOOKUP($A170,TRIM(SUBSTITUTE('worker file'!$A$2:$A$406,_xlfn.UNICHAR(160)," ")),'worker file'!$M$2:$M$406,0),_xlfn.XLOOKUP($B170,TRIM('pay group &amp; schedule'!$A$2:$A$6),'pay group &amp; schedule'!$D$2:$D$6,0))</f>
        <v>46299</v>
      </c>
      <c r="N170" s="39" t="str">
        <f t="array" ref="N170">_xlfn.LET(_xlpm.t,_xlfn.XLOOKUP($A170,TRIM(SUBSTITUTE('worker file'!$A$2:$A$406,_xlfn.UNICHAR(160)," ")),'worker file'!$N$2:$N$406,""),IF(N(_xlpm.t)=0,"",_xlpm.t))</f>
        <v/>
      </c>
    </row>
    <row r="171" spans="1:14" x14ac:dyDescent="0.2">
      <c r="A171" s="35" t="s">
        <v>157</v>
      </c>
      <c r="B171" s="36" t="str">
        <f t="array" ref="B171">_xlfn.XLOOKUP($A171,TRIM(SUBSTITUTE('worker file'!$A$2:$A$406,_xlfn.UNICHAR(160)," ")),'worker file'!$L$2:$L$406,"Not found")</f>
        <v>US Biweekly</v>
      </c>
      <c r="C171" s="36" t="str">
        <f t="array" ref="C171">_xlfn.XLOOKUP($A171,TRIM(SUBSTITUTE('worker file'!$A$2:$A$406,_xlfn.UNICHAR(160)," ")),'worker file'!$D$2:$D$406,"Not found")</f>
        <v>CA</v>
      </c>
      <c r="D171" s="36" t="str">
        <f t="array" ref="D171">_xlfn.XLOOKUP($A171,TRIM(SUBSTITUTE('worker file'!$A$2:$A$406,_xlfn.UNICHAR(160)," ")),'worker file'!$Q$2:$Q$406,"Not found")</f>
        <v>Active</v>
      </c>
      <c r="E171" s="35" t="s">
        <v>634</v>
      </c>
      <c r="F171" t="str">
        <f t="shared" si="16"/>
        <v>Vision – Employee</v>
      </c>
      <c r="G171" t="str">
        <f t="shared" si="17"/>
        <v>Pre-tax Section 125 (exempt from FIT/SIT/FICA)</v>
      </c>
      <c r="H171" t="str">
        <f t="shared" si="18"/>
        <v>Flat</v>
      </c>
      <c r="I171" s="40" t="str">
        <f t="shared" si="22"/>
        <v/>
      </c>
      <c r="J171" s="38">
        <f t="shared" si="19"/>
        <v>30</v>
      </c>
      <c r="K171" t="str">
        <f t="shared" si="20"/>
        <v>Per pay period</v>
      </c>
      <c r="L171" t="str">
        <f t="shared" si="21"/>
        <v>Every pay period (ongoing)</v>
      </c>
      <c r="M171" s="39">
        <f t="array" ref="M171">MAX(_xlfn.XLOOKUP($A171,TRIM(SUBSTITUTE('worker file'!$A$2:$A$406,_xlfn.UNICHAR(160)," ")),'worker file'!$M$2:$M$406,0),_xlfn.XLOOKUP($B171,TRIM('pay group &amp; schedule'!$A$2:$A$6),'pay group &amp; schedule'!$D$2:$D$6,0))</f>
        <v>46299</v>
      </c>
      <c r="N171" s="39" t="str">
        <f t="array" ref="N171">_xlfn.LET(_xlpm.t,_xlfn.XLOOKUP($A171,TRIM(SUBSTITUTE('worker file'!$A$2:$A$406,_xlfn.UNICHAR(160)," ")),'worker file'!$N$2:$N$406,""),IF(N(_xlpm.t)=0,"",_xlpm.t))</f>
        <v/>
      </c>
    </row>
    <row r="172" spans="1:14" x14ac:dyDescent="0.2">
      <c r="A172" s="35" t="s">
        <v>158</v>
      </c>
      <c r="B172" s="36" t="str">
        <f t="array" ref="B172">_xlfn.XLOOKUP($A172,TRIM(SUBSTITUTE('worker file'!$A$2:$A$406,_xlfn.UNICHAR(160)," ")),'worker file'!$L$2:$L$406,"Not found")</f>
        <v>US Semi-monthly</v>
      </c>
      <c r="C172" s="36" t="str">
        <f t="array" ref="C172">_xlfn.XLOOKUP($A172,TRIM(SUBSTITUTE('worker file'!$A$2:$A$406,_xlfn.UNICHAR(160)," ")),'worker file'!$D$2:$D$406,"Not found")</f>
        <v>MA</v>
      </c>
      <c r="D172" s="36" t="str">
        <f t="array" ref="D172">_xlfn.XLOOKUP($A172,TRIM(SUBSTITUTE('worker file'!$A$2:$A$406,_xlfn.UNICHAR(160)," ")),'worker file'!$Q$2:$Q$406,"Not found")</f>
        <v>Active</v>
      </c>
      <c r="E172" s="35" t="s">
        <v>626</v>
      </c>
      <c r="F172" t="str">
        <f t="shared" si="16"/>
        <v>Medical (Health) – Employee</v>
      </c>
      <c r="G172" t="str">
        <f t="shared" si="17"/>
        <v>Pre-tax Section 125 (exempt from FIT/SIT/FICA)</v>
      </c>
      <c r="H172" t="str">
        <f t="shared" si="18"/>
        <v>Flat</v>
      </c>
      <c r="I172" s="40" t="str">
        <f t="shared" si="22"/>
        <v/>
      </c>
      <c r="J172" s="38">
        <f t="shared" si="19"/>
        <v>200</v>
      </c>
      <c r="K172" t="str">
        <f t="shared" si="20"/>
        <v>Per pay period</v>
      </c>
      <c r="L172" t="str">
        <f t="shared" si="21"/>
        <v>Every pay period (ongoing)</v>
      </c>
      <c r="M172" s="39">
        <f t="array" ref="M172">MAX(_xlfn.XLOOKUP($A172,TRIM(SUBSTITUTE('worker file'!$A$2:$A$406,_xlfn.UNICHAR(160)," ")),'worker file'!$M$2:$M$406,0),_xlfn.XLOOKUP($B172,TRIM('pay group &amp; schedule'!$A$2:$A$6),'pay group &amp; schedule'!$D$2:$D$6,0))</f>
        <v>46311</v>
      </c>
      <c r="N172" s="39" t="str">
        <f t="array" ref="N172">_xlfn.LET(_xlpm.t,_xlfn.XLOOKUP($A172,TRIM(SUBSTITUTE('worker file'!$A$2:$A$406,_xlfn.UNICHAR(160)," ")),'worker file'!$N$2:$N$406,""),IF(N(_xlpm.t)=0,"",_xlpm.t))</f>
        <v/>
      </c>
    </row>
    <row r="173" spans="1:14" x14ac:dyDescent="0.2">
      <c r="A173" s="35" t="s">
        <v>158</v>
      </c>
      <c r="B173" s="36" t="str">
        <f t="array" ref="B173">_xlfn.XLOOKUP($A173,TRIM(SUBSTITUTE('worker file'!$A$2:$A$406,_xlfn.UNICHAR(160)," ")),'worker file'!$L$2:$L$406,"Not found")</f>
        <v>US Semi-monthly</v>
      </c>
      <c r="C173" s="36" t="str">
        <f t="array" ref="C173">_xlfn.XLOOKUP($A173,TRIM(SUBSTITUTE('worker file'!$A$2:$A$406,_xlfn.UNICHAR(160)," ")),'worker file'!$D$2:$D$406,"Not found")</f>
        <v>MA</v>
      </c>
      <c r="D173" s="36" t="str">
        <f t="array" ref="D173">_xlfn.XLOOKUP($A173,TRIM(SUBSTITUTE('worker file'!$A$2:$A$406,_xlfn.UNICHAR(160)," ")),'worker file'!$Q$2:$Q$406,"Not found")</f>
        <v>Active</v>
      </c>
      <c r="E173" s="35" t="s">
        <v>632</v>
      </c>
      <c r="F173" t="str">
        <f t="shared" si="16"/>
        <v>Dental – Employee</v>
      </c>
      <c r="G173" t="str">
        <f t="shared" si="17"/>
        <v>Pre-tax Section 125 (exempt from FIT/SIT/FICA)</v>
      </c>
      <c r="H173" t="str">
        <f t="shared" si="18"/>
        <v>Flat</v>
      </c>
      <c r="I173" s="40" t="str">
        <f t="shared" si="22"/>
        <v/>
      </c>
      <c r="J173" s="38">
        <f t="shared" si="19"/>
        <v>44</v>
      </c>
      <c r="K173" t="str">
        <f t="shared" si="20"/>
        <v>Per pay period</v>
      </c>
      <c r="L173" t="str">
        <f t="shared" si="21"/>
        <v>Every pay period (ongoing)</v>
      </c>
      <c r="M173" s="39">
        <f t="array" ref="M173">MAX(_xlfn.XLOOKUP($A173,TRIM(SUBSTITUTE('worker file'!$A$2:$A$406,_xlfn.UNICHAR(160)," ")),'worker file'!$M$2:$M$406,0),_xlfn.XLOOKUP($B173,TRIM('pay group &amp; schedule'!$A$2:$A$6),'pay group &amp; schedule'!$D$2:$D$6,0))</f>
        <v>46311</v>
      </c>
      <c r="N173" s="39" t="str">
        <f t="array" ref="N173">_xlfn.LET(_xlpm.t,_xlfn.XLOOKUP($A173,TRIM(SUBSTITUTE('worker file'!$A$2:$A$406,_xlfn.UNICHAR(160)," ")),'worker file'!$N$2:$N$406,""),IF(N(_xlpm.t)=0,"",_xlpm.t))</f>
        <v/>
      </c>
    </row>
    <row r="174" spans="1:14" x14ac:dyDescent="0.2">
      <c r="A174" s="35" t="s">
        <v>158</v>
      </c>
      <c r="B174" s="36" t="str">
        <f t="array" ref="B174">_xlfn.XLOOKUP($A174,TRIM(SUBSTITUTE('worker file'!$A$2:$A$406,_xlfn.UNICHAR(160)," ")),'worker file'!$L$2:$L$406,"Not found")</f>
        <v>US Semi-monthly</v>
      </c>
      <c r="C174" s="36" t="str">
        <f t="array" ref="C174">_xlfn.XLOOKUP($A174,TRIM(SUBSTITUTE('worker file'!$A$2:$A$406,_xlfn.UNICHAR(160)," ")),'worker file'!$D$2:$D$406,"Not found")</f>
        <v>MA</v>
      </c>
      <c r="D174" s="36" t="str">
        <f t="array" ref="D174">_xlfn.XLOOKUP($A174,TRIM(SUBSTITUTE('worker file'!$A$2:$A$406,_xlfn.UNICHAR(160)," ")),'worker file'!$Q$2:$Q$406,"Not found")</f>
        <v>Active</v>
      </c>
      <c r="E174" s="35" t="s">
        <v>634</v>
      </c>
      <c r="F174" t="str">
        <f t="shared" si="16"/>
        <v>Vision – Employee</v>
      </c>
      <c r="G174" t="str">
        <f t="shared" si="17"/>
        <v>Pre-tax Section 125 (exempt from FIT/SIT/FICA)</v>
      </c>
      <c r="H174" t="str">
        <f t="shared" si="18"/>
        <v>Flat</v>
      </c>
      <c r="I174" s="40" t="str">
        <f t="shared" si="22"/>
        <v/>
      </c>
      <c r="J174" s="38">
        <f t="shared" si="19"/>
        <v>30</v>
      </c>
      <c r="K174" t="str">
        <f t="shared" si="20"/>
        <v>Per pay period</v>
      </c>
      <c r="L174" t="str">
        <f t="shared" si="21"/>
        <v>Every pay period (ongoing)</v>
      </c>
      <c r="M174" s="39">
        <f t="array" ref="M174">MAX(_xlfn.XLOOKUP($A174,TRIM(SUBSTITUTE('worker file'!$A$2:$A$406,_xlfn.UNICHAR(160)," ")),'worker file'!$M$2:$M$406,0),_xlfn.XLOOKUP($B174,TRIM('pay group &amp; schedule'!$A$2:$A$6),'pay group &amp; schedule'!$D$2:$D$6,0))</f>
        <v>46311</v>
      </c>
      <c r="N174" s="39" t="str">
        <f t="array" ref="N174">_xlfn.LET(_xlpm.t,_xlfn.XLOOKUP($A174,TRIM(SUBSTITUTE('worker file'!$A$2:$A$406,_xlfn.UNICHAR(160)," ")),'worker file'!$N$2:$N$406,""),IF(N(_xlpm.t)=0,"",_xlpm.t))</f>
        <v/>
      </c>
    </row>
    <row r="175" spans="1:14" x14ac:dyDescent="0.2">
      <c r="A175" s="35" t="s">
        <v>159</v>
      </c>
      <c r="B175" s="36" t="str">
        <f t="array" ref="B175">_xlfn.XLOOKUP($A175,TRIM(SUBSTITUTE('worker file'!$A$2:$A$406,_xlfn.UNICHAR(160)," ")),'worker file'!$L$2:$L$406,"Not found")</f>
        <v>US Semi-monthly</v>
      </c>
      <c r="C175" s="36" t="str">
        <f t="array" ref="C175">_xlfn.XLOOKUP($A175,TRIM(SUBSTITUTE('worker file'!$A$2:$A$406,_xlfn.UNICHAR(160)," ")),'worker file'!$D$2:$D$406,"Not found")</f>
        <v>CA</v>
      </c>
      <c r="D175" s="36" t="str">
        <f t="array" ref="D175">_xlfn.XLOOKUP($A175,TRIM(SUBSTITUTE('worker file'!$A$2:$A$406,_xlfn.UNICHAR(160)," ")),'worker file'!$Q$2:$Q$406,"Not found")</f>
        <v>Active</v>
      </c>
      <c r="E175" s="35" t="s">
        <v>618</v>
      </c>
      <c r="F175" t="str">
        <f t="shared" si="16"/>
        <v>401(k) Employee Deferral</v>
      </c>
      <c r="G175" t="str">
        <f t="shared" si="17"/>
        <v>Pre-tax (exempt from FIT/SIT; subject to FICA)</v>
      </c>
      <c r="H175" t="str">
        <f t="shared" si="18"/>
        <v>Percent</v>
      </c>
      <c r="I175" s="37">
        <v>0.05</v>
      </c>
      <c r="J175" s="38" t="str">
        <f t="shared" si="19"/>
        <v/>
      </c>
      <c r="K175" t="str">
        <f t="shared" si="20"/>
        <v>Gross pay</v>
      </c>
      <c r="L175" t="str">
        <f t="shared" si="21"/>
        <v>Every pay period (ongoing)</v>
      </c>
      <c r="M175" s="39">
        <f t="array" ref="M175">MAX(_xlfn.XLOOKUP($A175,TRIM(SUBSTITUTE('worker file'!$A$2:$A$406,_xlfn.UNICHAR(160)," ")),'worker file'!$M$2:$M$406,0),_xlfn.XLOOKUP($B175,TRIM('pay group &amp; schedule'!$A$2:$A$6),'pay group &amp; schedule'!$D$2:$D$6,0))</f>
        <v>46311</v>
      </c>
      <c r="N175" s="39" t="str">
        <f t="array" ref="N175">_xlfn.LET(_xlpm.t,_xlfn.XLOOKUP($A175,TRIM(SUBSTITUTE('worker file'!$A$2:$A$406,_xlfn.UNICHAR(160)," ")),'worker file'!$N$2:$N$406,""),IF(N(_xlpm.t)=0,"",_xlpm.t))</f>
        <v/>
      </c>
    </row>
    <row r="176" spans="1:14" x14ac:dyDescent="0.2">
      <c r="A176" s="35" t="s">
        <v>159</v>
      </c>
      <c r="B176" s="36" t="str">
        <f t="array" ref="B176">_xlfn.XLOOKUP($A176,TRIM(SUBSTITUTE('worker file'!$A$2:$A$406,_xlfn.UNICHAR(160)," ")),'worker file'!$L$2:$L$406,"Not found")</f>
        <v>US Semi-monthly</v>
      </c>
      <c r="C176" s="36" t="str">
        <f t="array" ref="C176">_xlfn.XLOOKUP($A176,TRIM(SUBSTITUTE('worker file'!$A$2:$A$406,_xlfn.UNICHAR(160)," ")),'worker file'!$D$2:$D$406,"Not found")</f>
        <v>CA</v>
      </c>
      <c r="D176" s="36" t="str">
        <f t="array" ref="D176">_xlfn.XLOOKUP($A176,TRIM(SUBSTITUTE('worker file'!$A$2:$A$406,_xlfn.UNICHAR(160)," ")),'worker file'!$Q$2:$Q$406,"Not found")</f>
        <v>Active</v>
      </c>
      <c r="E176" s="35" t="s">
        <v>626</v>
      </c>
      <c r="F176" t="str">
        <f t="shared" si="16"/>
        <v>Medical (Health) – Employee</v>
      </c>
      <c r="G176" t="str">
        <f t="shared" si="17"/>
        <v>Pre-tax Section 125 (exempt from FIT/SIT/FICA)</v>
      </c>
      <c r="H176" t="str">
        <f t="shared" si="18"/>
        <v>Flat</v>
      </c>
      <c r="I176" s="40" t="str">
        <f>IF($H176="Percent",_xlfn.XLOOKUP($E176,$A$5:$A$8,$F$5:$F$8,""),"")</f>
        <v/>
      </c>
      <c r="J176" s="38">
        <f t="shared" si="19"/>
        <v>200</v>
      </c>
      <c r="K176" t="str">
        <f t="shared" si="20"/>
        <v>Per pay period</v>
      </c>
      <c r="L176" t="str">
        <f t="shared" si="21"/>
        <v>Every pay period (ongoing)</v>
      </c>
      <c r="M176" s="39">
        <f t="array" ref="M176">MAX(_xlfn.XLOOKUP($A176,TRIM(SUBSTITUTE('worker file'!$A$2:$A$406,_xlfn.UNICHAR(160)," ")),'worker file'!$M$2:$M$406,0),_xlfn.XLOOKUP($B176,TRIM('pay group &amp; schedule'!$A$2:$A$6),'pay group &amp; schedule'!$D$2:$D$6,0))</f>
        <v>46311</v>
      </c>
      <c r="N176" s="39" t="str">
        <f t="array" ref="N176">_xlfn.LET(_xlpm.t,_xlfn.XLOOKUP($A176,TRIM(SUBSTITUTE('worker file'!$A$2:$A$406,_xlfn.UNICHAR(160)," ")),'worker file'!$N$2:$N$406,""),IF(N(_xlpm.t)=0,"",_xlpm.t))</f>
        <v/>
      </c>
    </row>
    <row r="177" spans="1:14" x14ac:dyDescent="0.2">
      <c r="A177" s="35" t="s">
        <v>159</v>
      </c>
      <c r="B177" s="36" t="str">
        <f t="array" ref="B177">_xlfn.XLOOKUP($A177,TRIM(SUBSTITUTE('worker file'!$A$2:$A$406,_xlfn.UNICHAR(160)," ")),'worker file'!$L$2:$L$406,"Not found")</f>
        <v>US Semi-monthly</v>
      </c>
      <c r="C177" s="36" t="str">
        <f t="array" ref="C177">_xlfn.XLOOKUP($A177,TRIM(SUBSTITUTE('worker file'!$A$2:$A$406,_xlfn.UNICHAR(160)," ")),'worker file'!$D$2:$D$406,"Not found")</f>
        <v>CA</v>
      </c>
      <c r="D177" s="36" t="str">
        <f t="array" ref="D177">_xlfn.XLOOKUP($A177,TRIM(SUBSTITUTE('worker file'!$A$2:$A$406,_xlfn.UNICHAR(160)," ")),'worker file'!$Q$2:$Q$406,"Not found")</f>
        <v>Active</v>
      </c>
      <c r="E177" s="35" t="s">
        <v>632</v>
      </c>
      <c r="F177" t="str">
        <f t="shared" si="16"/>
        <v>Dental – Employee</v>
      </c>
      <c r="G177" t="str">
        <f t="shared" si="17"/>
        <v>Pre-tax Section 125 (exempt from FIT/SIT/FICA)</v>
      </c>
      <c r="H177" t="str">
        <f t="shared" si="18"/>
        <v>Flat</v>
      </c>
      <c r="I177" s="40" t="str">
        <f>IF($H177="Percent",_xlfn.XLOOKUP($E177,$A$5:$A$8,$F$5:$F$8,""),"")</f>
        <v/>
      </c>
      <c r="J177" s="38">
        <f t="shared" si="19"/>
        <v>44</v>
      </c>
      <c r="K177" t="str">
        <f t="shared" si="20"/>
        <v>Per pay period</v>
      </c>
      <c r="L177" t="str">
        <f t="shared" si="21"/>
        <v>Every pay period (ongoing)</v>
      </c>
      <c r="M177" s="39">
        <f t="array" ref="M177">MAX(_xlfn.XLOOKUP($A177,TRIM(SUBSTITUTE('worker file'!$A$2:$A$406,_xlfn.UNICHAR(160)," ")),'worker file'!$M$2:$M$406,0),_xlfn.XLOOKUP($B177,TRIM('pay group &amp; schedule'!$A$2:$A$6),'pay group &amp; schedule'!$D$2:$D$6,0))</f>
        <v>46311</v>
      </c>
      <c r="N177" s="39" t="str">
        <f t="array" ref="N177">_xlfn.LET(_xlpm.t,_xlfn.XLOOKUP($A177,TRIM(SUBSTITUTE('worker file'!$A$2:$A$406,_xlfn.UNICHAR(160)," ")),'worker file'!$N$2:$N$406,""),IF(N(_xlpm.t)=0,"",_xlpm.t))</f>
        <v/>
      </c>
    </row>
    <row r="178" spans="1:14" x14ac:dyDescent="0.2">
      <c r="A178" s="35" t="s">
        <v>159</v>
      </c>
      <c r="B178" s="36" t="str">
        <f t="array" ref="B178">_xlfn.XLOOKUP($A178,TRIM(SUBSTITUTE('worker file'!$A$2:$A$406,_xlfn.UNICHAR(160)," ")),'worker file'!$L$2:$L$406,"Not found")</f>
        <v>US Semi-monthly</v>
      </c>
      <c r="C178" s="36" t="str">
        <f t="array" ref="C178">_xlfn.XLOOKUP($A178,TRIM(SUBSTITUTE('worker file'!$A$2:$A$406,_xlfn.UNICHAR(160)," ")),'worker file'!$D$2:$D$406,"Not found")</f>
        <v>CA</v>
      </c>
      <c r="D178" s="36" t="str">
        <f t="array" ref="D178">_xlfn.XLOOKUP($A178,TRIM(SUBSTITUTE('worker file'!$A$2:$A$406,_xlfn.UNICHAR(160)," ")),'worker file'!$Q$2:$Q$406,"Not found")</f>
        <v>Active</v>
      </c>
      <c r="E178" s="35" t="s">
        <v>634</v>
      </c>
      <c r="F178" t="str">
        <f t="shared" si="16"/>
        <v>Vision – Employee</v>
      </c>
      <c r="G178" t="str">
        <f t="shared" si="17"/>
        <v>Pre-tax Section 125 (exempt from FIT/SIT/FICA)</v>
      </c>
      <c r="H178" t="str">
        <f t="shared" si="18"/>
        <v>Flat</v>
      </c>
      <c r="I178" s="40" t="str">
        <f>IF($H178="Percent",_xlfn.XLOOKUP($E178,$A$5:$A$8,$F$5:$F$8,""),"")</f>
        <v/>
      </c>
      <c r="J178" s="38">
        <f t="shared" si="19"/>
        <v>30</v>
      </c>
      <c r="K178" t="str">
        <f t="shared" si="20"/>
        <v>Per pay period</v>
      </c>
      <c r="L178" t="str">
        <f t="shared" si="21"/>
        <v>Every pay period (ongoing)</v>
      </c>
      <c r="M178" s="39">
        <f t="array" ref="M178">MAX(_xlfn.XLOOKUP($A178,TRIM(SUBSTITUTE('worker file'!$A$2:$A$406,_xlfn.UNICHAR(160)," ")),'worker file'!$M$2:$M$406,0),_xlfn.XLOOKUP($B178,TRIM('pay group &amp; schedule'!$A$2:$A$6),'pay group &amp; schedule'!$D$2:$D$6,0))</f>
        <v>46311</v>
      </c>
      <c r="N178" s="39" t="str">
        <f t="array" ref="N178">_xlfn.LET(_xlpm.t,_xlfn.XLOOKUP($A178,TRIM(SUBSTITUTE('worker file'!$A$2:$A$406,_xlfn.UNICHAR(160)," ")),'worker file'!$N$2:$N$406,""),IF(N(_xlpm.t)=0,"",_xlpm.t))</f>
        <v/>
      </c>
    </row>
    <row r="179" spans="1:14" x14ac:dyDescent="0.2">
      <c r="A179" s="35" t="s">
        <v>160</v>
      </c>
      <c r="B179" s="36" t="str">
        <f t="array" ref="B179">_xlfn.XLOOKUP($A179,TRIM(SUBSTITUTE('worker file'!$A$2:$A$406,_xlfn.UNICHAR(160)," ")),'worker file'!$L$2:$L$406,"Not found")</f>
        <v>US Semi-monthly</v>
      </c>
      <c r="C179" s="36" t="str">
        <f t="array" ref="C179">_xlfn.XLOOKUP($A179,TRIM(SUBSTITUTE('worker file'!$A$2:$A$406,_xlfn.UNICHAR(160)," ")),'worker file'!$D$2:$D$406,"Not found")</f>
        <v>CA</v>
      </c>
      <c r="D179" s="36" t="str">
        <f t="array" ref="D179">_xlfn.XLOOKUP($A179,TRIM(SUBSTITUTE('worker file'!$A$2:$A$406,_xlfn.UNICHAR(160)," ")),'worker file'!$Q$2:$Q$406,"Not found")</f>
        <v>Active</v>
      </c>
      <c r="E179" s="35" t="s">
        <v>618</v>
      </c>
      <c r="F179" t="str">
        <f t="shared" si="16"/>
        <v>401(k) Employee Deferral</v>
      </c>
      <c r="G179" t="str">
        <f t="shared" si="17"/>
        <v>Pre-tax (exempt from FIT/SIT; subject to FICA)</v>
      </c>
      <c r="H179" t="str">
        <f t="shared" si="18"/>
        <v>Percent</v>
      </c>
      <c r="I179" s="37">
        <v>0.02</v>
      </c>
      <c r="J179" s="38" t="str">
        <f t="shared" si="19"/>
        <v/>
      </c>
      <c r="K179" t="str">
        <f t="shared" si="20"/>
        <v>Gross pay</v>
      </c>
      <c r="L179" t="str">
        <f t="shared" si="21"/>
        <v>Every pay period (ongoing)</v>
      </c>
      <c r="M179" s="39">
        <f t="array" ref="M179">MAX(_xlfn.XLOOKUP($A179,TRIM(SUBSTITUTE('worker file'!$A$2:$A$406,_xlfn.UNICHAR(160)," ")),'worker file'!$M$2:$M$406,0),_xlfn.XLOOKUP($B179,TRIM('pay group &amp; schedule'!$A$2:$A$6),'pay group &amp; schedule'!$D$2:$D$6,0))</f>
        <v>46311</v>
      </c>
      <c r="N179" s="39" t="str">
        <f t="array" ref="N179">_xlfn.LET(_xlpm.t,_xlfn.XLOOKUP($A179,TRIM(SUBSTITUTE('worker file'!$A$2:$A$406,_xlfn.UNICHAR(160)," ")),'worker file'!$N$2:$N$406,""),IF(N(_xlpm.t)=0,"",_xlpm.t))</f>
        <v/>
      </c>
    </row>
    <row r="180" spans="1:14" x14ac:dyDescent="0.2">
      <c r="A180" s="35" t="s">
        <v>160</v>
      </c>
      <c r="B180" s="36" t="str">
        <f t="array" ref="B180">_xlfn.XLOOKUP($A180,TRIM(SUBSTITUTE('worker file'!$A$2:$A$406,_xlfn.UNICHAR(160)," ")),'worker file'!$L$2:$L$406,"Not found")</f>
        <v>US Semi-monthly</v>
      </c>
      <c r="C180" s="36" t="str">
        <f t="array" ref="C180">_xlfn.XLOOKUP($A180,TRIM(SUBSTITUTE('worker file'!$A$2:$A$406,_xlfn.UNICHAR(160)," ")),'worker file'!$D$2:$D$406,"Not found")</f>
        <v>CA</v>
      </c>
      <c r="D180" s="36" t="str">
        <f t="array" ref="D180">_xlfn.XLOOKUP($A180,TRIM(SUBSTITUTE('worker file'!$A$2:$A$406,_xlfn.UNICHAR(160)," ")),'worker file'!$Q$2:$Q$406,"Not found")</f>
        <v>Active</v>
      </c>
      <c r="E180" s="35" t="s">
        <v>626</v>
      </c>
      <c r="F180" t="str">
        <f t="shared" si="16"/>
        <v>Medical (Health) – Employee</v>
      </c>
      <c r="G180" t="str">
        <f t="shared" si="17"/>
        <v>Pre-tax Section 125 (exempt from FIT/SIT/FICA)</v>
      </c>
      <c r="H180" t="str">
        <f t="shared" si="18"/>
        <v>Flat</v>
      </c>
      <c r="I180" s="40" t="str">
        <f>IF($H180="Percent",_xlfn.XLOOKUP($E180,$A$5:$A$8,$F$5:$F$8,""),"")</f>
        <v/>
      </c>
      <c r="J180" s="38">
        <f t="shared" si="19"/>
        <v>200</v>
      </c>
      <c r="K180" t="str">
        <f t="shared" si="20"/>
        <v>Per pay period</v>
      </c>
      <c r="L180" t="str">
        <f t="shared" si="21"/>
        <v>Every pay period (ongoing)</v>
      </c>
      <c r="M180" s="39">
        <f t="array" ref="M180">MAX(_xlfn.XLOOKUP($A180,TRIM(SUBSTITUTE('worker file'!$A$2:$A$406,_xlfn.UNICHAR(160)," ")),'worker file'!$M$2:$M$406,0),_xlfn.XLOOKUP($B180,TRIM('pay group &amp; schedule'!$A$2:$A$6),'pay group &amp; schedule'!$D$2:$D$6,0))</f>
        <v>46311</v>
      </c>
      <c r="N180" s="39" t="str">
        <f t="array" ref="N180">_xlfn.LET(_xlpm.t,_xlfn.XLOOKUP($A180,TRIM(SUBSTITUTE('worker file'!$A$2:$A$406,_xlfn.UNICHAR(160)," ")),'worker file'!$N$2:$N$406,""),IF(N(_xlpm.t)=0,"",_xlpm.t))</f>
        <v/>
      </c>
    </row>
    <row r="181" spans="1:14" x14ac:dyDescent="0.2">
      <c r="A181" s="35" t="s">
        <v>160</v>
      </c>
      <c r="B181" s="36" t="str">
        <f t="array" ref="B181">_xlfn.XLOOKUP($A181,TRIM(SUBSTITUTE('worker file'!$A$2:$A$406,_xlfn.UNICHAR(160)," ")),'worker file'!$L$2:$L$406,"Not found")</f>
        <v>US Semi-monthly</v>
      </c>
      <c r="C181" s="36" t="str">
        <f t="array" ref="C181">_xlfn.XLOOKUP($A181,TRIM(SUBSTITUTE('worker file'!$A$2:$A$406,_xlfn.UNICHAR(160)," ")),'worker file'!$D$2:$D$406,"Not found")</f>
        <v>CA</v>
      </c>
      <c r="D181" s="36" t="str">
        <f t="array" ref="D181">_xlfn.XLOOKUP($A181,TRIM(SUBSTITUTE('worker file'!$A$2:$A$406,_xlfn.UNICHAR(160)," ")),'worker file'!$Q$2:$Q$406,"Not found")</f>
        <v>Active</v>
      </c>
      <c r="E181" s="35" t="s">
        <v>632</v>
      </c>
      <c r="F181" t="str">
        <f t="shared" si="16"/>
        <v>Dental – Employee</v>
      </c>
      <c r="G181" t="str">
        <f t="shared" si="17"/>
        <v>Pre-tax Section 125 (exempt from FIT/SIT/FICA)</v>
      </c>
      <c r="H181" t="str">
        <f t="shared" si="18"/>
        <v>Flat</v>
      </c>
      <c r="I181" s="40" t="str">
        <f>IF($H181="Percent",_xlfn.XLOOKUP($E181,$A$5:$A$8,$F$5:$F$8,""),"")</f>
        <v/>
      </c>
      <c r="J181" s="38">
        <f t="shared" si="19"/>
        <v>44</v>
      </c>
      <c r="K181" t="str">
        <f t="shared" si="20"/>
        <v>Per pay period</v>
      </c>
      <c r="L181" t="str">
        <f t="shared" si="21"/>
        <v>Every pay period (ongoing)</v>
      </c>
      <c r="M181" s="39">
        <f t="array" ref="M181">MAX(_xlfn.XLOOKUP($A181,TRIM(SUBSTITUTE('worker file'!$A$2:$A$406,_xlfn.UNICHAR(160)," ")),'worker file'!$M$2:$M$406,0),_xlfn.XLOOKUP($B181,TRIM('pay group &amp; schedule'!$A$2:$A$6),'pay group &amp; schedule'!$D$2:$D$6,0))</f>
        <v>46311</v>
      </c>
      <c r="N181" s="39" t="str">
        <f t="array" ref="N181">_xlfn.LET(_xlpm.t,_xlfn.XLOOKUP($A181,TRIM(SUBSTITUTE('worker file'!$A$2:$A$406,_xlfn.UNICHAR(160)," ")),'worker file'!$N$2:$N$406,""),IF(N(_xlpm.t)=0,"",_xlpm.t))</f>
        <v/>
      </c>
    </row>
    <row r="182" spans="1:14" x14ac:dyDescent="0.2">
      <c r="A182" s="35" t="s">
        <v>160</v>
      </c>
      <c r="B182" s="36" t="str">
        <f t="array" ref="B182">_xlfn.XLOOKUP($A182,TRIM(SUBSTITUTE('worker file'!$A$2:$A$406,_xlfn.UNICHAR(160)," ")),'worker file'!$L$2:$L$406,"Not found")</f>
        <v>US Semi-monthly</v>
      </c>
      <c r="C182" s="36" t="str">
        <f t="array" ref="C182">_xlfn.XLOOKUP($A182,TRIM(SUBSTITUTE('worker file'!$A$2:$A$406,_xlfn.UNICHAR(160)," ")),'worker file'!$D$2:$D$406,"Not found")</f>
        <v>CA</v>
      </c>
      <c r="D182" s="36" t="str">
        <f t="array" ref="D182">_xlfn.XLOOKUP($A182,TRIM(SUBSTITUTE('worker file'!$A$2:$A$406,_xlfn.UNICHAR(160)," ")),'worker file'!$Q$2:$Q$406,"Not found")</f>
        <v>Active</v>
      </c>
      <c r="E182" s="35" t="s">
        <v>634</v>
      </c>
      <c r="F182" t="str">
        <f t="shared" si="16"/>
        <v>Vision – Employee</v>
      </c>
      <c r="G182" t="str">
        <f t="shared" si="17"/>
        <v>Pre-tax Section 125 (exempt from FIT/SIT/FICA)</v>
      </c>
      <c r="H182" t="str">
        <f t="shared" si="18"/>
        <v>Flat</v>
      </c>
      <c r="I182" s="40" t="str">
        <f>IF($H182="Percent",_xlfn.XLOOKUP($E182,$A$5:$A$8,$F$5:$F$8,""),"")</f>
        <v/>
      </c>
      <c r="J182" s="38">
        <f t="shared" si="19"/>
        <v>30</v>
      </c>
      <c r="K182" t="str">
        <f t="shared" si="20"/>
        <v>Per pay period</v>
      </c>
      <c r="L182" t="str">
        <f t="shared" si="21"/>
        <v>Every pay period (ongoing)</v>
      </c>
      <c r="M182" s="39">
        <f t="array" ref="M182">MAX(_xlfn.XLOOKUP($A182,TRIM(SUBSTITUTE('worker file'!$A$2:$A$406,_xlfn.UNICHAR(160)," ")),'worker file'!$M$2:$M$406,0),_xlfn.XLOOKUP($B182,TRIM('pay group &amp; schedule'!$A$2:$A$6),'pay group &amp; schedule'!$D$2:$D$6,0))</f>
        <v>46311</v>
      </c>
      <c r="N182" s="39" t="str">
        <f t="array" ref="N182">_xlfn.LET(_xlpm.t,_xlfn.XLOOKUP($A182,TRIM(SUBSTITUTE('worker file'!$A$2:$A$406,_xlfn.UNICHAR(160)," ")),'worker file'!$N$2:$N$406,""),IF(N(_xlpm.t)=0,"",_xlpm.t))</f>
        <v/>
      </c>
    </row>
    <row r="183" spans="1:14" x14ac:dyDescent="0.2">
      <c r="A183" s="35" t="s">
        <v>161</v>
      </c>
      <c r="B183" s="36" t="str">
        <f t="array" ref="B183">_xlfn.XLOOKUP($A183,TRIM(SUBSTITUTE('worker file'!$A$2:$A$406,_xlfn.UNICHAR(160)," ")),'worker file'!$L$2:$L$406,"Not found")</f>
        <v>US Semi-monthly</v>
      </c>
      <c r="C183" s="36" t="str">
        <f t="array" ref="C183">_xlfn.XLOOKUP($A183,TRIM(SUBSTITUTE('worker file'!$A$2:$A$406,_xlfn.UNICHAR(160)," ")),'worker file'!$D$2:$D$406,"Not found")</f>
        <v>CA</v>
      </c>
      <c r="D183" s="36" t="str">
        <f t="array" ref="D183">_xlfn.XLOOKUP($A183,TRIM(SUBSTITUTE('worker file'!$A$2:$A$406,_xlfn.UNICHAR(160)," ")),'worker file'!$Q$2:$Q$406,"Not found")</f>
        <v>Active</v>
      </c>
      <c r="E183" s="35" t="s">
        <v>618</v>
      </c>
      <c r="F183" t="str">
        <f t="shared" si="16"/>
        <v>401(k) Employee Deferral</v>
      </c>
      <c r="G183" t="str">
        <f t="shared" si="17"/>
        <v>Pre-tax (exempt from FIT/SIT; subject to FICA)</v>
      </c>
      <c r="H183" t="str">
        <f t="shared" si="18"/>
        <v>Percent</v>
      </c>
      <c r="I183" s="37">
        <v>7.0000000000000007E-2</v>
      </c>
      <c r="J183" s="38" t="str">
        <f t="shared" si="19"/>
        <v/>
      </c>
      <c r="K183" t="str">
        <f t="shared" si="20"/>
        <v>Gross pay</v>
      </c>
      <c r="L183" t="str">
        <f t="shared" si="21"/>
        <v>Every pay period (ongoing)</v>
      </c>
      <c r="M183" s="39">
        <f t="array" ref="M183">MAX(_xlfn.XLOOKUP($A183,TRIM(SUBSTITUTE('worker file'!$A$2:$A$406,_xlfn.UNICHAR(160)," ")),'worker file'!$M$2:$M$406,0),_xlfn.XLOOKUP($B183,TRIM('pay group &amp; schedule'!$A$2:$A$6),'pay group &amp; schedule'!$D$2:$D$6,0))</f>
        <v>46311</v>
      </c>
      <c r="N183" s="39" t="str">
        <f t="array" ref="N183">_xlfn.LET(_xlpm.t,_xlfn.XLOOKUP($A183,TRIM(SUBSTITUTE('worker file'!$A$2:$A$406,_xlfn.UNICHAR(160)," ")),'worker file'!$N$2:$N$406,""),IF(N(_xlpm.t)=0,"",_xlpm.t))</f>
        <v/>
      </c>
    </row>
    <row r="184" spans="1:14" x14ac:dyDescent="0.2">
      <c r="A184" s="35" t="s">
        <v>161</v>
      </c>
      <c r="B184" s="36" t="str">
        <f t="array" ref="B184">_xlfn.XLOOKUP($A184,TRIM(SUBSTITUTE('worker file'!$A$2:$A$406,_xlfn.UNICHAR(160)," ")),'worker file'!$L$2:$L$406,"Not found")</f>
        <v>US Semi-monthly</v>
      </c>
      <c r="C184" s="36" t="str">
        <f t="array" ref="C184">_xlfn.XLOOKUP($A184,TRIM(SUBSTITUTE('worker file'!$A$2:$A$406,_xlfn.UNICHAR(160)," ")),'worker file'!$D$2:$D$406,"Not found")</f>
        <v>CA</v>
      </c>
      <c r="D184" s="36" t="str">
        <f t="array" ref="D184">_xlfn.XLOOKUP($A184,TRIM(SUBSTITUTE('worker file'!$A$2:$A$406,_xlfn.UNICHAR(160)," ")),'worker file'!$Q$2:$Q$406,"Not found")</f>
        <v>Active</v>
      </c>
      <c r="E184" s="35" t="s">
        <v>626</v>
      </c>
      <c r="F184" t="str">
        <f t="shared" si="16"/>
        <v>Medical (Health) – Employee</v>
      </c>
      <c r="G184" t="str">
        <f t="shared" si="17"/>
        <v>Pre-tax Section 125 (exempt from FIT/SIT/FICA)</v>
      </c>
      <c r="H184" t="str">
        <f t="shared" si="18"/>
        <v>Flat</v>
      </c>
      <c r="I184" s="40" t="str">
        <f>IF($H184="Percent",_xlfn.XLOOKUP($E184,$A$5:$A$8,$F$5:$F$8,""),"")</f>
        <v/>
      </c>
      <c r="J184" s="38">
        <f t="shared" si="19"/>
        <v>200</v>
      </c>
      <c r="K184" t="str">
        <f t="shared" si="20"/>
        <v>Per pay period</v>
      </c>
      <c r="L184" t="str">
        <f t="shared" si="21"/>
        <v>Every pay period (ongoing)</v>
      </c>
      <c r="M184" s="39">
        <f t="array" ref="M184">MAX(_xlfn.XLOOKUP($A184,TRIM(SUBSTITUTE('worker file'!$A$2:$A$406,_xlfn.UNICHAR(160)," ")),'worker file'!$M$2:$M$406,0),_xlfn.XLOOKUP($B184,TRIM('pay group &amp; schedule'!$A$2:$A$6),'pay group &amp; schedule'!$D$2:$D$6,0))</f>
        <v>46311</v>
      </c>
      <c r="N184" s="39" t="str">
        <f t="array" ref="N184">_xlfn.LET(_xlpm.t,_xlfn.XLOOKUP($A184,TRIM(SUBSTITUTE('worker file'!$A$2:$A$406,_xlfn.UNICHAR(160)," ")),'worker file'!$N$2:$N$406,""),IF(N(_xlpm.t)=0,"",_xlpm.t))</f>
        <v/>
      </c>
    </row>
    <row r="185" spans="1:14" x14ac:dyDescent="0.2">
      <c r="A185" s="35" t="s">
        <v>161</v>
      </c>
      <c r="B185" s="36" t="str">
        <f t="array" ref="B185">_xlfn.XLOOKUP($A185,TRIM(SUBSTITUTE('worker file'!$A$2:$A$406,_xlfn.UNICHAR(160)," ")),'worker file'!$L$2:$L$406,"Not found")</f>
        <v>US Semi-monthly</v>
      </c>
      <c r="C185" s="36" t="str">
        <f t="array" ref="C185">_xlfn.XLOOKUP($A185,TRIM(SUBSTITUTE('worker file'!$A$2:$A$406,_xlfn.UNICHAR(160)," ")),'worker file'!$D$2:$D$406,"Not found")</f>
        <v>CA</v>
      </c>
      <c r="D185" s="36" t="str">
        <f t="array" ref="D185">_xlfn.XLOOKUP($A185,TRIM(SUBSTITUTE('worker file'!$A$2:$A$406,_xlfn.UNICHAR(160)," ")),'worker file'!$Q$2:$Q$406,"Not found")</f>
        <v>Active</v>
      </c>
      <c r="E185" s="35" t="s">
        <v>632</v>
      </c>
      <c r="F185" t="str">
        <f t="shared" si="16"/>
        <v>Dental – Employee</v>
      </c>
      <c r="G185" t="str">
        <f t="shared" si="17"/>
        <v>Pre-tax Section 125 (exempt from FIT/SIT/FICA)</v>
      </c>
      <c r="H185" t="str">
        <f t="shared" si="18"/>
        <v>Flat</v>
      </c>
      <c r="I185" s="40" t="str">
        <f>IF($H185="Percent",_xlfn.XLOOKUP($E185,$A$5:$A$8,$F$5:$F$8,""),"")</f>
        <v/>
      </c>
      <c r="J185" s="38">
        <f t="shared" si="19"/>
        <v>44</v>
      </c>
      <c r="K185" t="str">
        <f t="shared" si="20"/>
        <v>Per pay period</v>
      </c>
      <c r="L185" t="str">
        <f t="shared" si="21"/>
        <v>Every pay period (ongoing)</v>
      </c>
      <c r="M185" s="39">
        <f t="array" ref="M185">MAX(_xlfn.XLOOKUP($A185,TRIM(SUBSTITUTE('worker file'!$A$2:$A$406,_xlfn.UNICHAR(160)," ")),'worker file'!$M$2:$M$406,0),_xlfn.XLOOKUP($B185,TRIM('pay group &amp; schedule'!$A$2:$A$6),'pay group &amp; schedule'!$D$2:$D$6,0))</f>
        <v>46311</v>
      </c>
      <c r="N185" s="39" t="str">
        <f t="array" ref="N185">_xlfn.LET(_xlpm.t,_xlfn.XLOOKUP($A185,TRIM(SUBSTITUTE('worker file'!$A$2:$A$406,_xlfn.UNICHAR(160)," ")),'worker file'!$N$2:$N$406,""),IF(N(_xlpm.t)=0,"",_xlpm.t))</f>
        <v/>
      </c>
    </row>
    <row r="186" spans="1:14" x14ac:dyDescent="0.2">
      <c r="A186" s="35" t="s">
        <v>161</v>
      </c>
      <c r="B186" s="36" t="str">
        <f t="array" ref="B186">_xlfn.XLOOKUP($A186,TRIM(SUBSTITUTE('worker file'!$A$2:$A$406,_xlfn.UNICHAR(160)," ")),'worker file'!$L$2:$L$406,"Not found")</f>
        <v>US Semi-monthly</v>
      </c>
      <c r="C186" s="36" t="str">
        <f t="array" ref="C186">_xlfn.XLOOKUP($A186,TRIM(SUBSTITUTE('worker file'!$A$2:$A$406,_xlfn.UNICHAR(160)," ")),'worker file'!$D$2:$D$406,"Not found")</f>
        <v>CA</v>
      </c>
      <c r="D186" s="36" t="str">
        <f t="array" ref="D186">_xlfn.XLOOKUP($A186,TRIM(SUBSTITUTE('worker file'!$A$2:$A$406,_xlfn.UNICHAR(160)," ")),'worker file'!$Q$2:$Q$406,"Not found")</f>
        <v>Active</v>
      </c>
      <c r="E186" s="35" t="s">
        <v>634</v>
      </c>
      <c r="F186" t="str">
        <f t="shared" si="16"/>
        <v>Vision – Employee</v>
      </c>
      <c r="G186" t="str">
        <f t="shared" si="17"/>
        <v>Pre-tax Section 125 (exempt from FIT/SIT/FICA)</v>
      </c>
      <c r="H186" t="str">
        <f t="shared" si="18"/>
        <v>Flat</v>
      </c>
      <c r="I186" s="40" t="str">
        <f>IF($H186="Percent",_xlfn.XLOOKUP($E186,$A$5:$A$8,$F$5:$F$8,""),"")</f>
        <v/>
      </c>
      <c r="J186" s="38">
        <f t="shared" si="19"/>
        <v>30</v>
      </c>
      <c r="K186" t="str">
        <f t="shared" si="20"/>
        <v>Per pay period</v>
      </c>
      <c r="L186" t="str">
        <f t="shared" si="21"/>
        <v>Every pay period (ongoing)</v>
      </c>
      <c r="M186" s="39">
        <f t="array" ref="M186">MAX(_xlfn.XLOOKUP($A186,TRIM(SUBSTITUTE('worker file'!$A$2:$A$406,_xlfn.UNICHAR(160)," ")),'worker file'!$M$2:$M$406,0),_xlfn.XLOOKUP($B186,TRIM('pay group &amp; schedule'!$A$2:$A$6),'pay group &amp; schedule'!$D$2:$D$6,0))</f>
        <v>46311</v>
      </c>
      <c r="N186" s="39" t="str">
        <f t="array" ref="N186">_xlfn.LET(_xlpm.t,_xlfn.XLOOKUP($A186,TRIM(SUBSTITUTE('worker file'!$A$2:$A$406,_xlfn.UNICHAR(160)," ")),'worker file'!$N$2:$N$406,""),IF(N(_xlpm.t)=0,"",_xlpm.t))</f>
        <v/>
      </c>
    </row>
    <row r="187" spans="1:14" x14ac:dyDescent="0.2">
      <c r="A187" s="35" t="s">
        <v>162</v>
      </c>
      <c r="B187" s="36" t="str">
        <f t="array" ref="B187">_xlfn.XLOOKUP($A187,TRIM(SUBSTITUTE('worker file'!$A$2:$A$406,_xlfn.UNICHAR(160)," ")),'worker file'!$L$2:$L$406,"Not found")</f>
        <v>US Semi-monthly</v>
      </c>
      <c r="C187" s="36" t="str">
        <f t="array" ref="C187">_xlfn.XLOOKUP($A187,TRIM(SUBSTITUTE('worker file'!$A$2:$A$406,_xlfn.UNICHAR(160)," ")),'worker file'!$D$2:$D$406,"Not found")</f>
        <v>MA</v>
      </c>
      <c r="D187" s="36" t="str">
        <f t="array" ref="D187">_xlfn.XLOOKUP($A187,TRIM(SUBSTITUTE('worker file'!$A$2:$A$406,_xlfn.UNICHAR(160)," ")),'worker file'!$Q$2:$Q$406,"Not found")</f>
        <v>Active</v>
      </c>
      <c r="E187" s="35" t="s">
        <v>618</v>
      </c>
      <c r="F187" t="str">
        <f t="shared" si="16"/>
        <v>401(k) Employee Deferral</v>
      </c>
      <c r="G187" t="str">
        <f t="shared" si="17"/>
        <v>Pre-tax (exempt from FIT/SIT; subject to FICA)</v>
      </c>
      <c r="H187" t="str">
        <f t="shared" si="18"/>
        <v>Percent</v>
      </c>
      <c r="I187" s="37">
        <v>0.04</v>
      </c>
      <c r="J187" s="38" t="str">
        <f t="shared" si="19"/>
        <v/>
      </c>
      <c r="K187" t="str">
        <f t="shared" si="20"/>
        <v>Gross pay</v>
      </c>
      <c r="L187" t="str">
        <f t="shared" si="21"/>
        <v>Every pay period (ongoing)</v>
      </c>
      <c r="M187" s="39">
        <f t="array" ref="M187">MAX(_xlfn.XLOOKUP($A187,TRIM(SUBSTITUTE('worker file'!$A$2:$A$406,_xlfn.UNICHAR(160)," ")),'worker file'!$M$2:$M$406,0),_xlfn.XLOOKUP($B187,TRIM('pay group &amp; schedule'!$A$2:$A$6),'pay group &amp; schedule'!$D$2:$D$6,0))</f>
        <v>46311</v>
      </c>
      <c r="N187" s="39" t="str">
        <f t="array" ref="N187">_xlfn.LET(_xlpm.t,_xlfn.XLOOKUP($A187,TRIM(SUBSTITUTE('worker file'!$A$2:$A$406,_xlfn.UNICHAR(160)," ")),'worker file'!$N$2:$N$406,""),IF(N(_xlpm.t)=0,"",_xlpm.t))</f>
        <v/>
      </c>
    </row>
    <row r="188" spans="1:14" x14ac:dyDescent="0.2">
      <c r="A188" s="35" t="s">
        <v>162</v>
      </c>
      <c r="B188" s="36" t="str">
        <f t="array" ref="B188">_xlfn.XLOOKUP($A188,TRIM(SUBSTITUTE('worker file'!$A$2:$A$406,_xlfn.UNICHAR(160)," ")),'worker file'!$L$2:$L$406,"Not found")</f>
        <v>US Semi-monthly</v>
      </c>
      <c r="C188" s="36" t="str">
        <f t="array" ref="C188">_xlfn.XLOOKUP($A188,TRIM(SUBSTITUTE('worker file'!$A$2:$A$406,_xlfn.UNICHAR(160)," ")),'worker file'!$D$2:$D$406,"Not found")</f>
        <v>MA</v>
      </c>
      <c r="D188" s="36" t="str">
        <f t="array" ref="D188">_xlfn.XLOOKUP($A188,TRIM(SUBSTITUTE('worker file'!$A$2:$A$406,_xlfn.UNICHAR(160)," ")),'worker file'!$Q$2:$Q$406,"Not found")</f>
        <v>Active</v>
      </c>
      <c r="E188" s="35" t="s">
        <v>626</v>
      </c>
      <c r="F188" t="str">
        <f t="shared" si="16"/>
        <v>Medical (Health) – Employee</v>
      </c>
      <c r="G188" t="str">
        <f t="shared" si="17"/>
        <v>Pre-tax Section 125 (exempt from FIT/SIT/FICA)</v>
      </c>
      <c r="H188" t="str">
        <f t="shared" si="18"/>
        <v>Flat</v>
      </c>
      <c r="I188" s="40" t="str">
        <f>IF($H188="Percent",_xlfn.XLOOKUP($E188,$A$5:$A$8,$F$5:$F$8,""),"")</f>
        <v/>
      </c>
      <c r="J188" s="38">
        <f t="shared" si="19"/>
        <v>200</v>
      </c>
      <c r="K188" t="str">
        <f t="shared" si="20"/>
        <v>Per pay period</v>
      </c>
      <c r="L188" t="str">
        <f t="shared" si="21"/>
        <v>Every pay period (ongoing)</v>
      </c>
      <c r="M188" s="39">
        <f t="array" ref="M188">MAX(_xlfn.XLOOKUP($A188,TRIM(SUBSTITUTE('worker file'!$A$2:$A$406,_xlfn.UNICHAR(160)," ")),'worker file'!$M$2:$M$406,0),_xlfn.XLOOKUP($B188,TRIM('pay group &amp; schedule'!$A$2:$A$6),'pay group &amp; schedule'!$D$2:$D$6,0))</f>
        <v>46311</v>
      </c>
      <c r="N188" s="39" t="str">
        <f t="array" ref="N188">_xlfn.LET(_xlpm.t,_xlfn.XLOOKUP($A188,TRIM(SUBSTITUTE('worker file'!$A$2:$A$406,_xlfn.UNICHAR(160)," ")),'worker file'!$N$2:$N$406,""),IF(N(_xlpm.t)=0,"",_xlpm.t))</f>
        <v/>
      </c>
    </row>
    <row r="189" spans="1:14" x14ac:dyDescent="0.2">
      <c r="A189" s="35" t="s">
        <v>162</v>
      </c>
      <c r="B189" s="36" t="str">
        <f t="array" ref="B189">_xlfn.XLOOKUP($A189,TRIM(SUBSTITUTE('worker file'!$A$2:$A$406,_xlfn.UNICHAR(160)," ")),'worker file'!$L$2:$L$406,"Not found")</f>
        <v>US Semi-monthly</v>
      </c>
      <c r="C189" s="36" t="str">
        <f t="array" ref="C189">_xlfn.XLOOKUP($A189,TRIM(SUBSTITUTE('worker file'!$A$2:$A$406,_xlfn.UNICHAR(160)," ")),'worker file'!$D$2:$D$406,"Not found")</f>
        <v>MA</v>
      </c>
      <c r="D189" s="36" t="str">
        <f t="array" ref="D189">_xlfn.XLOOKUP($A189,TRIM(SUBSTITUTE('worker file'!$A$2:$A$406,_xlfn.UNICHAR(160)," ")),'worker file'!$Q$2:$Q$406,"Not found")</f>
        <v>Active</v>
      </c>
      <c r="E189" s="35" t="s">
        <v>632</v>
      </c>
      <c r="F189" t="str">
        <f t="shared" si="16"/>
        <v>Dental – Employee</v>
      </c>
      <c r="G189" t="str">
        <f t="shared" si="17"/>
        <v>Pre-tax Section 125 (exempt from FIT/SIT/FICA)</v>
      </c>
      <c r="H189" t="str">
        <f t="shared" si="18"/>
        <v>Flat</v>
      </c>
      <c r="I189" s="40" t="str">
        <f>IF($H189="Percent",_xlfn.XLOOKUP($E189,$A$5:$A$8,$F$5:$F$8,""),"")</f>
        <v/>
      </c>
      <c r="J189" s="38">
        <f t="shared" si="19"/>
        <v>44</v>
      </c>
      <c r="K189" t="str">
        <f t="shared" si="20"/>
        <v>Per pay period</v>
      </c>
      <c r="L189" t="str">
        <f t="shared" si="21"/>
        <v>Every pay period (ongoing)</v>
      </c>
      <c r="M189" s="39">
        <f t="array" ref="M189">MAX(_xlfn.XLOOKUP($A189,TRIM(SUBSTITUTE('worker file'!$A$2:$A$406,_xlfn.UNICHAR(160)," ")),'worker file'!$M$2:$M$406,0),_xlfn.XLOOKUP($B189,TRIM('pay group &amp; schedule'!$A$2:$A$6),'pay group &amp; schedule'!$D$2:$D$6,0))</f>
        <v>46311</v>
      </c>
      <c r="N189" s="39" t="str">
        <f t="array" ref="N189">_xlfn.LET(_xlpm.t,_xlfn.XLOOKUP($A189,TRIM(SUBSTITUTE('worker file'!$A$2:$A$406,_xlfn.UNICHAR(160)," ")),'worker file'!$N$2:$N$406,""),IF(N(_xlpm.t)=0,"",_xlpm.t))</f>
        <v/>
      </c>
    </row>
    <row r="190" spans="1:14" x14ac:dyDescent="0.2">
      <c r="A190" s="35" t="s">
        <v>162</v>
      </c>
      <c r="B190" s="36" t="str">
        <f t="array" ref="B190">_xlfn.XLOOKUP($A190,TRIM(SUBSTITUTE('worker file'!$A$2:$A$406,_xlfn.UNICHAR(160)," ")),'worker file'!$L$2:$L$406,"Not found")</f>
        <v>US Semi-monthly</v>
      </c>
      <c r="C190" s="36" t="str">
        <f t="array" ref="C190">_xlfn.XLOOKUP($A190,TRIM(SUBSTITUTE('worker file'!$A$2:$A$406,_xlfn.UNICHAR(160)," ")),'worker file'!$D$2:$D$406,"Not found")</f>
        <v>MA</v>
      </c>
      <c r="D190" s="36" t="str">
        <f t="array" ref="D190">_xlfn.XLOOKUP($A190,TRIM(SUBSTITUTE('worker file'!$A$2:$A$406,_xlfn.UNICHAR(160)," ")),'worker file'!$Q$2:$Q$406,"Not found")</f>
        <v>Active</v>
      </c>
      <c r="E190" s="35" t="s">
        <v>634</v>
      </c>
      <c r="F190" t="str">
        <f t="shared" si="16"/>
        <v>Vision – Employee</v>
      </c>
      <c r="G190" t="str">
        <f t="shared" si="17"/>
        <v>Pre-tax Section 125 (exempt from FIT/SIT/FICA)</v>
      </c>
      <c r="H190" t="str">
        <f t="shared" si="18"/>
        <v>Flat</v>
      </c>
      <c r="I190" s="40" t="str">
        <f>IF($H190="Percent",_xlfn.XLOOKUP($E190,$A$5:$A$8,$F$5:$F$8,""),"")</f>
        <v/>
      </c>
      <c r="J190" s="38">
        <f t="shared" si="19"/>
        <v>30</v>
      </c>
      <c r="K190" t="str">
        <f t="shared" si="20"/>
        <v>Per pay period</v>
      </c>
      <c r="L190" t="str">
        <f t="shared" si="21"/>
        <v>Every pay period (ongoing)</v>
      </c>
      <c r="M190" s="39">
        <f t="array" ref="M190">MAX(_xlfn.XLOOKUP($A190,TRIM(SUBSTITUTE('worker file'!$A$2:$A$406,_xlfn.UNICHAR(160)," ")),'worker file'!$M$2:$M$406,0),_xlfn.XLOOKUP($B190,TRIM('pay group &amp; schedule'!$A$2:$A$6),'pay group &amp; schedule'!$D$2:$D$6,0))</f>
        <v>46311</v>
      </c>
      <c r="N190" s="39" t="str">
        <f t="array" ref="N190">_xlfn.LET(_xlpm.t,_xlfn.XLOOKUP($A190,TRIM(SUBSTITUTE('worker file'!$A$2:$A$406,_xlfn.UNICHAR(160)," ")),'worker file'!$N$2:$N$406,""),IF(N(_xlpm.t)=0,"",_xlpm.t))</f>
        <v/>
      </c>
    </row>
    <row r="191" spans="1:14" x14ac:dyDescent="0.2">
      <c r="A191" s="35" t="s">
        <v>164</v>
      </c>
      <c r="B191" s="36" t="str">
        <f t="array" ref="B191">_xlfn.XLOOKUP($A191,TRIM(SUBSTITUTE('worker file'!$A$2:$A$406,_xlfn.UNICHAR(160)," ")),'worker file'!$L$2:$L$406,"Not found")</f>
        <v>US Semi-monthly</v>
      </c>
      <c r="C191" s="36" t="str">
        <f t="array" ref="C191">_xlfn.XLOOKUP($A191,TRIM(SUBSTITUTE('worker file'!$A$2:$A$406,_xlfn.UNICHAR(160)," ")),'worker file'!$D$2:$D$406,"Not found")</f>
        <v>TX</v>
      </c>
      <c r="D191" s="36" t="str">
        <f t="array" ref="D191">_xlfn.XLOOKUP($A191,TRIM(SUBSTITUTE('worker file'!$A$2:$A$406,_xlfn.UNICHAR(160)," ")),'worker file'!$Q$2:$Q$406,"Not found")</f>
        <v>Active</v>
      </c>
      <c r="E191" s="35" t="s">
        <v>618</v>
      </c>
      <c r="F191" t="str">
        <f t="shared" si="16"/>
        <v>401(k) Employee Deferral</v>
      </c>
      <c r="G191" t="str">
        <f t="shared" si="17"/>
        <v>Pre-tax (exempt from FIT/SIT; subject to FICA)</v>
      </c>
      <c r="H191" t="str">
        <f t="shared" si="18"/>
        <v>Percent</v>
      </c>
      <c r="I191" s="37">
        <v>0.01</v>
      </c>
      <c r="J191" s="38" t="str">
        <f t="shared" si="19"/>
        <v/>
      </c>
      <c r="K191" t="str">
        <f t="shared" si="20"/>
        <v>Gross pay</v>
      </c>
      <c r="L191" t="str">
        <f t="shared" si="21"/>
        <v>Every pay period (ongoing)</v>
      </c>
      <c r="M191" s="39">
        <f t="array" ref="M191">MAX(_xlfn.XLOOKUP($A191,TRIM(SUBSTITUTE('worker file'!$A$2:$A$406,_xlfn.UNICHAR(160)," ")),'worker file'!$M$2:$M$406,0),_xlfn.XLOOKUP($B191,TRIM('pay group &amp; schedule'!$A$2:$A$6),'pay group &amp; schedule'!$D$2:$D$6,0))</f>
        <v>46311</v>
      </c>
      <c r="N191" s="39" t="str">
        <f t="array" ref="N191">_xlfn.LET(_xlpm.t,_xlfn.XLOOKUP($A191,TRIM(SUBSTITUTE('worker file'!$A$2:$A$406,_xlfn.UNICHAR(160)," ")),'worker file'!$N$2:$N$406,""),IF(N(_xlpm.t)=0,"",_xlpm.t))</f>
        <v/>
      </c>
    </row>
    <row r="192" spans="1:14" x14ac:dyDescent="0.2">
      <c r="A192" s="35" t="s">
        <v>164</v>
      </c>
      <c r="B192" s="36" t="str">
        <f t="array" ref="B192">_xlfn.XLOOKUP($A192,TRIM(SUBSTITUTE('worker file'!$A$2:$A$406,_xlfn.UNICHAR(160)," ")),'worker file'!$L$2:$L$406,"Not found")</f>
        <v>US Semi-monthly</v>
      </c>
      <c r="C192" s="36" t="str">
        <f t="array" ref="C192">_xlfn.XLOOKUP($A192,TRIM(SUBSTITUTE('worker file'!$A$2:$A$406,_xlfn.UNICHAR(160)," ")),'worker file'!$D$2:$D$406,"Not found")</f>
        <v>TX</v>
      </c>
      <c r="D192" s="36" t="str">
        <f t="array" ref="D192">_xlfn.XLOOKUP($A192,TRIM(SUBSTITUTE('worker file'!$A$2:$A$406,_xlfn.UNICHAR(160)," ")),'worker file'!$Q$2:$Q$406,"Not found")</f>
        <v>Active</v>
      </c>
      <c r="E192" s="35" t="s">
        <v>626</v>
      </c>
      <c r="F192" t="str">
        <f t="shared" si="16"/>
        <v>Medical (Health) – Employee</v>
      </c>
      <c r="G192" t="str">
        <f t="shared" si="17"/>
        <v>Pre-tax Section 125 (exempt from FIT/SIT/FICA)</v>
      </c>
      <c r="H192" t="str">
        <f t="shared" si="18"/>
        <v>Flat</v>
      </c>
      <c r="I192" s="40" t="str">
        <f>IF($H192="Percent",_xlfn.XLOOKUP($E192,$A$5:$A$8,$F$5:$F$8,""),"")</f>
        <v/>
      </c>
      <c r="J192" s="38">
        <f t="shared" si="19"/>
        <v>200</v>
      </c>
      <c r="K192" t="str">
        <f t="shared" si="20"/>
        <v>Per pay period</v>
      </c>
      <c r="L192" t="str">
        <f t="shared" si="21"/>
        <v>Every pay period (ongoing)</v>
      </c>
      <c r="M192" s="39">
        <f t="array" ref="M192">MAX(_xlfn.XLOOKUP($A192,TRIM(SUBSTITUTE('worker file'!$A$2:$A$406,_xlfn.UNICHAR(160)," ")),'worker file'!$M$2:$M$406,0),_xlfn.XLOOKUP($B192,TRIM('pay group &amp; schedule'!$A$2:$A$6),'pay group &amp; schedule'!$D$2:$D$6,0))</f>
        <v>46311</v>
      </c>
      <c r="N192" s="39" t="str">
        <f t="array" ref="N192">_xlfn.LET(_xlpm.t,_xlfn.XLOOKUP($A192,TRIM(SUBSTITUTE('worker file'!$A$2:$A$406,_xlfn.UNICHAR(160)," ")),'worker file'!$N$2:$N$406,""),IF(N(_xlpm.t)=0,"",_xlpm.t))</f>
        <v/>
      </c>
    </row>
    <row r="193" spans="1:15" x14ac:dyDescent="0.2">
      <c r="A193" s="35" t="s">
        <v>164</v>
      </c>
      <c r="B193" s="36" t="str">
        <f t="array" ref="B193">_xlfn.XLOOKUP($A193,TRIM(SUBSTITUTE('worker file'!$A$2:$A$406,_xlfn.UNICHAR(160)," ")),'worker file'!$L$2:$L$406,"Not found")</f>
        <v>US Semi-monthly</v>
      </c>
      <c r="C193" s="36" t="str">
        <f t="array" ref="C193">_xlfn.XLOOKUP($A193,TRIM(SUBSTITUTE('worker file'!$A$2:$A$406,_xlfn.UNICHAR(160)," ")),'worker file'!$D$2:$D$406,"Not found")</f>
        <v>TX</v>
      </c>
      <c r="D193" s="36" t="str">
        <f t="array" ref="D193">_xlfn.XLOOKUP($A193,TRIM(SUBSTITUTE('worker file'!$A$2:$A$406,_xlfn.UNICHAR(160)," ")),'worker file'!$Q$2:$Q$406,"Not found")</f>
        <v>Active</v>
      </c>
      <c r="E193" s="35" t="s">
        <v>632</v>
      </c>
      <c r="F193" t="str">
        <f t="shared" si="16"/>
        <v>Dental – Employee</v>
      </c>
      <c r="G193" t="str">
        <f t="shared" si="17"/>
        <v>Pre-tax Section 125 (exempt from FIT/SIT/FICA)</v>
      </c>
      <c r="H193" t="str">
        <f t="shared" si="18"/>
        <v>Flat</v>
      </c>
      <c r="I193" s="40" t="str">
        <f>IF($H193="Percent",_xlfn.XLOOKUP($E193,$A$5:$A$8,$F$5:$F$8,""),"")</f>
        <v/>
      </c>
      <c r="J193" s="38">
        <f t="shared" si="19"/>
        <v>44</v>
      </c>
      <c r="K193" t="str">
        <f t="shared" si="20"/>
        <v>Per pay period</v>
      </c>
      <c r="L193" t="str">
        <f t="shared" si="21"/>
        <v>Every pay period (ongoing)</v>
      </c>
      <c r="M193" s="39">
        <f t="array" ref="M193">MAX(_xlfn.XLOOKUP($A193,TRIM(SUBSTITUTE('worker file'!$A$2:$A$406,_xlfn.UNICHAR(160)," ")),'worker file'!$M$2:$M$406,0),_xlfn.XLOOKUP($B193,TRIM('pay group &amp; schedule'!$A$2:$A$6),'pay group &amp; schedule'!$D$2:$D$6,0))</f>
        <v>46311</v>
      </c>
      <c r="N193" s="39" t="str">
        <f t="array" ref="N193">_xlfn.LET(_xlpm.t,_xlfn.XLOOKUP($A193,TRIM(SUBSTITUTE('worker file'!$A$2:$A$406,_xlfn.UNICHAR(160)," ")),'worker file'!$N$2:$N$406,""),IF(N(_xlpm.t)=0,"",_xlpm.t))</f>
        <v/>
      </c>
    </row>
    <row r="194" spans="1:15" x14ac:dyDescent="0.2">
      <c r="A194" s="35" t="s">
        <v>164</v>
      </c>
      <c r="B194" s="36" t="str">
        <f t="array" ref="B194">_xlfn.XLOOKUP($A194,TRIM(SUBSTITUTE('worker file'!$A$2:$A$406,_xlfn.UNICHAR(160)," ")),'worker file'!$L$2:$L$406,"Not found")</f>
        <v>US Semi-monthly</v>
      </c>
      <c r="C194" s="36" t="str">
        <f t="array" ref="C194">_xlfn.XLOOKUP($A194,TRIM(SUBSTITUTE('worker file'!$A$2:$A$406,_xlfn.UNICHAR(160)," ")),'worker file'!$D$2:$D$406,"Not found")</f>
        <v>TX</v>
      </c>
      <c r="D194" s="36" t="str">
        <f t="array" ref="D194">_xlfn.XLOOKUP($A194,TRIM(SUBSTITUTE('worker file'!$A$2:$A$406,_xlfn.UNICHAR(160)," ")),'worker file'!$Q$2:$Q$406,"Not found")</f>
        <v>Active</v>
      </c>
      <c r="E194" s="35" t="s">
        <v>634</v>
      </c>
      <c r="F194" t="str">
        <f t="shared" si="16"/>
        <v>Vision – Employee</v>
      </c>
      <c r="G194" t="str">
        <f t="shared" si="17"/>
        <v>Pre-tax Section 125 (exempt from FIT/SIT/FICA)</v>
      </c>
      <c r="H194" t="str">
        <f t="shared" si="18"/>
        <v>Flat</v>
      </c>
      <c r="I194" s="40" t="str">
        <f>IF($H194="Percent",_xlfn.XLOOKUP($E194,$A$5:$A$8,$F$5:$F$8,""),"")</f>
        <v/>
      </c>
      <c r="J194" s="38">
        <f t="shared" si="19"/>
        <v>30</v>
      </c>
      <c r="K194" t="str">
        <f t="shared" si="20"/>
        <v>Per pay period</v>
      </c>
      <c r="L194" t="str">
        <f t="shared" si="21"/>
        <v>Every pay period (ongoing)</v>
      </c>
      <c r="M194" s="39">
        <f t="array" ref="M194">MAX(_xlfn.XLOOKUP($A194,TRIM(SUBSTITUTE('worker file'!$A$2:$A$406,_xlfn.UNICHAR(160)," ")),'worker file'!$M$2:$M$406,0),_xlfn.XLOOKUP($B194,TRIM('pay group &amp; schedule'!$A$2:$A$6),'pay group &amp; schedule'!$D$2:$D$6,0))</f>
        <v>46311</v>
      </c>
      <c r="N194" s="39" t="str">
        <f t="array" ref="N194">_xlfn.LET(_xlpm.t,_xlfn.XLOOKUP($A194,TRIM(SUBSTITUTE('worker file'!$A$2:$A$406,_xlfn.UNICHAR(160)," ")),'worker file'!$N$2:$N$406,""),IF(N(_xlpm.t)=0,"",_xlpm.t))</f>
        <v/>
      </c>
    </row>
    <row r="195" spans="1:15" x14ac:dyDescent="0.2">
      <c r="A195" s="35" t="s">
        <v>166</v>
      </c>
      <c r="B195" s="36" t="str">
        <f t="array" ref="B195">_xlfn.XLOOKUP($A195,TRIM(SUBSTITUTE('worker file'!$A$2:$A$406,_xlfn.UNICHAR(160)," ")),'worker file'!$L$2:$L$406,"Not found")</f>
        <v>US Biweekly</v>
      </c>
      <c r="C195" s="36" t="str">
        <f t="array" ref="C195">_xlfn.XLOOKUP($A195,TRIM(SUBSTITUTE('worker file'!$A$2:$A$406,_xlfn.UNICHAR(160)," ")),'worker file'!$D$2:$D$406,"Not found")</f>
        <v>TX</v>
      </c>
      <c r="D195" s="36" t="str">
        <f t="array" ref="D195">_xlfn.XLOOKUP($A195,TRIM(SUBSTITUTE('worker file'!$A$2:$A$406,_xlfn.UNICHAR(160)," ")),'worker file'!$Q$2:$Q$406,"Not found")</f>
        <v>Termination pending</v>
      </c>
      <c r="E195" s="35" t="s">
        <v>618</v>
      </c>
      <c r="F195" t="str">
        <f t="shared" si="16"/>
        <v>401(k) Employee Deferral</v>
      </c>
      <c r="G195" t="str">
        <f t="shared" si="17"/>
        <v>Pre-tax (exempt from FIT/SIT; subject to FICA)</v>
      </c>
      <c r="H195" t="str">
        <f t="shared" si="18"/>
        <v>Percent</v>
      </c>
      <c r="I195" s="37">
        <v>0.06</v>
      </c>
      <c r="J195" s="38" t="str">
        <f t="shared" si="19"/>
        <v/>
      </c>
      <c r="K195" t="str">
        <f t="shared" si="20"/>
        <v>Gross pay</v>
      </c>
      <c r="L195" t="str">
        <f t="shared" si="21"/>
        <v>Every pay period (ongoing)</v>
      </c>
      <c r="M195" s="39">
        <f t="array" ref="M195">MAX(_xlfn.XLOOKUP($A195,TRIM(SUBSTITUTE('worker file'!$A$2:$A$406,_xlfn.UNICHAR(160)," ")),'worker file'!$M$2:$M$406,0),_xlfn.XLOOKUP($B195,TRIM('pay group &amp; schedule'!$A$2:$A$6),'pay group &amp; schedule'!$D$2:$D$6,0))</f>
        <v>46299</v>
      </c>
      <c r="N195" s="39">
        <f t="array" ref="N195">_xlfn.LET(_xlpm.t,_xlfn.XLOOKUP($A195,TRIM(SUBSTITUTE('worker file'!$A$2:$A$406,_xlfn.UNICHAR(160)," ")),'worker file'!$N$2:$N$406,""),IF(N(_xlpm.t)=0,"",_xlpm.t))</f>
        <v>46312</v>
      </c>
      <c r="O195" t="s">
        <v>644</v>
      </c>
    </row>
    <row r="196" spans="1:15" x14ac:dyDescent="0.2">
      <c r="A196" s="35" t="s">
        <v>166</v>
      </c>
      <c r="B196" s="36" t="str">
        <f t="array" ref="B196">_xlfn.XLOOKUP($A196,TRIM(SUBSTITUTE('worker file'!$A$2:$A$406,_xlfn.UNICHAR(160)," ")),'worker file'!$L$2:$L$406,"Not found")</f>
        <v>US Biweekly</v>
      </c>
      <c r="C196" s="36" t="str">
        <f t="array" ref="C196">_xlfn.XLOOKUP($A196,TRIM(SUBSTITUTE('worker file'!$A$2:$A$406,_xlfn.UNICHAR(160)," ")),'worker file'!$D$2:$D$406,"Not found")</f>
        <v>TX</v>
      </c>
      <c r="D196" s="36" t="str">
        <f t="array" ref="D196">_xlfn.XLOOKUP($A196,TRIM(SUBSTITUTE('worker file'!$A$2:$A$406,_xlfn.UNICHAR(160)," ")),'worker file'!$Q$2:$Q$406,"Not found")</f>
        <v>Termination pending</v>
      </c>
      <c r="E196" s="35" t="s">
        <v>626</v>
      </c>
      <c r="F196" t="str">
        <f t="shared" si="16"/>
        <v>Medical (Health) – Employee</v>
      </c>
      <c r="G196" t="str">
        <f t="shared" si="17"/>
        <v>Pre-tax Section 125 (exempt from FIT/SIT/FICA)</v>
      </c>
      <c r="H196" t="str">
        <f t="shared" si="18"/>
        <v>Flat</v>
      </c>
      <c r="I196" s="40" t="str">
        <f>IF($H196="Percent",_xlfn.XLOOKUP($E196,$A$5:$A$8,$F$5:$F$8,""),"")</f>
        <v/>
      </c>
      <c r="J196" s="38">
        <f t="shared" si="19"/>
        <v>200</v>
      </c>
      <c r="K196" t="str">
        <f t="shared" si="20"/>
        <v>Per pay period</v>
      </c>
      <c r="L196" t="str">
        <f t="shared" si="21"/>
        <v>Every pay period (ongoing)</v>
      </c>
      <c r="M196" s="39">
        <f t="array" ref="M196">MAX(_xlfn.XLOOKUP($A196,TRIM(SUBSTITUTE('worker file'!$A$2:$A$406,_xlfn.UNICHAR(160)," ")),'worker file'!$M$2:$M$406,0),_xlfn.XLOOKUP($B196,TRIM('pay group &amp; schedule'!$A$2:$A$6),'pay group &amp; schedule'!$D$2:$D$6,0))</f>
        <v>46299</v>
      </c>
      <c r="N196" s="39">
        <f t="array" ref="N196">_xlfn.LET(_xlpm.t,_xlfn.XLOOKUP($A196,TRIM(SUBSTITUTE('worker file'!$A$2:$A$406,_xlfn.UNICHAR(160)," ")),'worker file'!$N$2:$N$406,""),IF(N(_xlpm.t)=0,"",_xlpm.t))</f>
        <v>46312</v>
      </c>
      <c r="O196" t="s">
        <v>644</v>
      </c>
    </row>
    <row r="197" spans="1:15" x14ac:dyDescent="0.2">
      <c r="A197" s="35" t="s">
        <v>166</v>
      </c>
      <c r="B197" s="36" t="str">
        <f t="array" ref="B197">_xlfn.XLOOKUP($A197,TRIM(SUBSTITUTE('worker file'!$A$2:$A$406,_xlfn.UNICHAR(160)," ")),'worker file'!$L$2:$L$406,"Not found")</f>
        <v>US Biweekly</v>
      </c>
      <c r="C197" s="36" t="str">
        <f t="array" ref="C197">_xlfn.XLOOKUP($A197,TRIM(SUBSTITUTE('worker file'!$A$2:$A$406,_xlfn.UNICHAR(160)," ")),'worker file'!$D$2:$D$406,"Not found")</f>
        <v>TX</v>
      </c>
      <c r="D197" s="36" t="str">
        <f t="array" ref="D197">_xlfn.XLOOKUP($A197,TRIM(SUBSTITUTE('worker file'!$A$2:$A$406,_xlfn.UNICHAR(160)," ")),'worker file'!$Q$2:$Q$406,"Not found")</f>
        <v>Termination pending</v>
      </c>
      <c r="E197" s="35" t="s">
        <v>632</v>
      </c>
      <c r="F197" t="str">
        <f t="shared" si="16"/>
        <v>Dental – Employee</v>
      </c>
      <c r="G197" t="str">
        <f t="shared" si="17"/>
        <v>Pre-tax Section 125 (exempt from FIT/SIT/FICA)</v>
      </c>
      <c r="H197" t="str">
        <f t="shared" si="18"/>
        <v>Flat</v>
      </c>
      <c r="I197" s="40" t="str">
        <f>IF($H197="Percent",_xlfn.XLOOKUP($E197,$A$5:$A$8,$F$5:$F$8,""),"")</f>
        <v/>
      </c>
      <c r="J197" s="38">
        <f t="shared" si="19"/>
        <v>44</v>
      </c>
      <c r="K197" t="str">
        <f t="shared" si="20"/>
        <v>Per pay period</v>
      </c>
      <c r="L197" t="str">
        <f t="shared" si="21"/>
        <v>Every pay period (ongoing)</v>
      </c>
      <c r="M197" s="39">
        <f t="array" ref="M197">MAX(_xlfn.XLOOKUP($A197,TRIM(SUBSTITUTE('worker file'!$A$2:$A$406,_xlfn.UNICHAR(160)," ")),'worker file'!$M$2:$M$406,0),_xlfn.XLOOKUP($B197,TRIM('pay group &amp; schedule'!$A$2:$A$6),'pay group &amp; schedule'!$D$2:$D$6,0))</f>
        <v>46299</v>
      </c>
      <c r="N197" s="39">
        <f t="array" ref="N197">_xlfn.LET(_xlpm.t,_xlfn.XLOOKUP($A197,TRIM(SUBSTITUTE('worker file'!$A$2:$A$406,_xlfn.UNICHAR(160)," ")),'worker file'!$N$2:$N$406,""),IF(N(_xlpm.t)=0,"",_xlpm.t))</f>
        <v>46312</v>
      </c>
      <c r="O197" t="s">
        <v>644</v>
      </c>
    </row>
    <row r="198" spans="1:15" x14ac:dyDescent="0.2">
      <c r="A198" s="35" t="s">
        <v>166</v>
      </c>
      <c r="B198" s="36" t="str">
        <f t="array" ref="B198">_xlfn.XLOOKUP($A198,TRIM(SUBSTITUTE('worker file'!$A$2:$A$406,_xlfn.UNICHAR(160)," ")),'worker file'!$L$2:$L$406,"Not found")</f>
        <v>US Biweekly</v>
      </c>
      <c r="C198" s="36" t="str">
        <f t="array" ref="C198">_xlfn.XLOOKUP($A198,TRIM(SUBSTITUTE('worker file'!$A$2:$A$406,_xlfn.UNICHAR(160)," ")),'worker file'!$D$2:$D$406,"Not found")</f>
        <v>TX</v>
      </c>
      <c r="D198" s="36" t="str">
        <f t="array" ref="D198">_xlfn.XLOOKUP($A198,TRIM(SUBSTITUTE('worker file'!$A$2:$A$406,_xlfn.UNICHAR(160)," ")),'worker file'!$Q$2:$Q$406,"Not found")</f>
        <v>Termination pending</v>
      </c>
      <c r="E198" s="35" t="s">
        <v>634</v>
      </c>
      <c r="F198" t="str">
        <f t="shared" si="16"/>
        <v>Vision – Employee</v>
      </c>
      <c r="G198" t="str">
        <f t="shared" si="17"/>
        <v>Pre-tax Section 125 (exempt from FIT/SIT/FICA)</v>
      </c>
      <c r="H198" t="str">
        <f t="shared" si="18"/>
        <v>Flat</v>
      </c>
      <c r="I198" s="40" t="str">
        <f>IF($H198="Percent",_xlfn.XLOOKUP($E198,$A$5:$A$8,$F$5:$F$8,""),"")</f>
        <v/>
      </c>
      <c r="J198" s="38">
        <f t="shared" si="19"/>
        <v>30</v>
      </c>
      <c r="K198" t="str">
        <f t="shared" si="20"/>
        <v>Per pay period</v>
      </c>
      <c r="L198" t="str">
        <f t="shared" si="21"/>
        <v>Every pay period (ongoing)</v>
      </c>
      <c r="M198" s="39">
        <f t="array" ref="M198">MAX(_xlfn.XLOOKUP($A198,TRIM(SUBSTITUTE('worker file'!$A$2:$A$406,_xlfn.UNICHAR(160)," ")),'worker file'!$M$2:$M$406,0),_xlfn.XLOOKUP($B198,TRIM('pay group &amp; schedule'!$A$2:$A$6),'pay group &amp; schedule'!$D$2:$D$6,0))</f>
        <v>46299</v>
      </c>
      <c r="N198" s="39">
        <f t="array" ref="N198">_xlfn.LET(_xlpm.t,_xlfn.XLOOKUP($A198,TRIM(SUBSTITUTE('worker file'!$A$2:$A$406,_xlfn.UNICHAR(160)," ")),'worker file'!$N$2:$N$406,""),IF(N(_xlpm.t)=0,"",_xlpm.t))</f>
        <v>46312</v>
      </c>
      <c r="O198" t="s">
        <v>644</v>
      </c>
    </row>
    <row r="199" spans="1:15" x14ac:dyDescent="0.2">
      <c r="A199" s="35" t="s">
        <v>167</v>
      </c>
      <c r="B199" s="36" t="str">
        <f t="array" ref="B199">_xlfn.XLOOKUP($A199,TRIM(SUBSTITUTE('worker file'!$A$2:$A$406,_xlfn.UNICHAR(160)," ")),'worker file'!$L$2:$L$406,"Not found")</f>
        <v>US Semi-monthly</v>
      </c>
      <c r="C199" s="36" t="str">
        <f t="array" ref="C199">_xlfn.XLOOKUP($A199,TRIM(SUBSTITUTE('worker file'!$A$2:$A$406,_xlfn.UNICHAR(160)," ")),'worker file'!$D$2:$D$406,"Not found")</f>
        <v>CA</v>
      </c>
      <c r="D199" s="36" t="str">
        <f t="array" ref="D199">_xlfn.XLOOKUP($A199,TRIM(SUBSTITUTE('worker file'!$A$2:$A$406,_xlfn.UNICHAR(160)," ")),'worker file'!$Q$2:$Q$406,"Not found")</f>
        <v>Active</v>
      </c>
      <c r="E199" s="35" t="s">
        <v>618</v>
      </c>
      <c r="F199" t="str">
        <f t="shared" si="16"/>
        <v>401(k) Employee Deferral</v>
      </c>
      <c r="G199" t="str">
        <f t="shared" si="17"/>
        <v>Pre-tax (exempt from FIT/SIT; subject to FICA)</v>
      </c>
      <c r="H199" t="str">
        <f t="shared" si="18"/>
        <v>Percent</v>
      </c>
      <c r="I199" s="37">
        <v>0.03</v>
      </c>
      <c r="J199" s="38" t="str">
        <f t="shared" si="19"/>
        <v/>
      </c>
      <c r="K199" t="str">
        <f t="shared" si="20"/>
        <v>Gross pay</v>
      </c>
      <c r="L199" t="str">
        <f t="shared" si="21"/>
        <v>Every pay period (ongoing)</v>
      </c>
      <c r="M199" s="39">
        <f t="array" ref="M199">MAX(_xlfn.XLOOKUP($A199,TRIM(SUBSTITUTE('worker file'!$A$2:$A$406,_xlfn.UNICHAR(160)," ")),'worker file'!$M$2:$M$406,0),_xlfn.XLOOKUP($B199,TRIM('pay group &amp; schedule'!$A$2:$A$6),'pay group &amp; schedule'!$D$2:$D$6,0))</f>
        <v>46311</v>
      </c>
      <c r="N199" s="39" t="str">
        <f t="array" ref="N199">_xlfn.LET(_xlpm.t,_xlfn.XLOOKUP($A199,TRIM(SUBSTITUTE('worker file'!$A$2:$A$406,_xlfn.UNICHAR(160)," ")),'worker file'!$N$2:$N$406,""),IF(N(_xlpm.t)=0,"",_xlpm.t))</f>
        <v/>
      </c>
    </row>
    <row r="200" spans="1:15" x14ac:dyDescent="0.2">
      <c r="A200" s="35" t="s">
        <v>167</v>
      </c>
      <c r="B200" s="36" t="str">
        <f t="array" ref="B200">_xlfn.XLOOKUP($A200,TRIM(SUBSTITUTE('worker file'!$A$2:$A$406,_xlfn.UNICHAR(160)," ")),'worker file'!$L$2:$L$406,"Not found")</f>
        <v>US Semi-monthly</v>
      </c>
      <c r="C200" s="36" t="str">
        <f t="array" ref="C200">_xlfn.XLOOKUP($A200,TRIM(SUBSTITUTE('worker file'!$A$2:$A$406,_xlfn.UNICHAR(160)," ")),'worker file'!$D$2:$D$406,"Not found")</f>
        <v>CA</v>
      </c>
      <c r="D200" s="36" t="str">
        <f t="array" ref="D200">_xlfn.XLOOKUP($A200,TRIM(SUBSTITUTE('worker file'!$A$2:$A$406,_xlfn.UNICHAR(160)," ")),'worker file'!$Q$2:$Q$406,"Not found")</f>
        <v>Active</v>
      </c>
      <c r="E200" s="35" t="s">
        <v>626</v>
      </c>
      <c r="F200" t="str">
        <f t="shared" si="16"/>
        <v>Medical (Health) – Employee</v>
      </c>
      <c r="G200" t="str">
        <f t="shared" si="17"/>
        <v>Pre-tax Section 125 (exempt from FIT/SIT/FICA)</v>
      </c>
      <c r="H200" t="str">
        <f t="shared" si="18"/>
        <v>Flat</v>
      </c>
      <c r="I200" s="40" t="str">
        <f>IF($H200="Percent",_xlfn.XLOOKUP($E200,$A$5:$A$8,$F$5:$F$8,""),"")</f>
        <v/>
      </c>
      <c r="J200" s="38">
        <f t="shared" si="19"/>
        <v>200</v>
      </c>
      <c r="K200" t="str">
        <f t="shared" si="20"/>
        <v>Per pay period</v>
      </c>
      <c r="L200" t="str">
        <f t="shared" si="21"/>
        <v>Every pay period (ongoing)</v>
      </c>
      <c r="M200" s="39">
        <f t="array" ref="M200">MAX(_xlfn.XLOOKUP($A200,TRIM(SUBSTITUTE('worker file'!$A$2:$A$406,_xlfn.UNICHAR(160)," ")),'worker file'!$M$2:$M$406,0),_xlfn.XLOOKUP($B200,TRIM('pay group &amp; schedule'!$A$2:$A$6),'pay group &amp; schedule'!$D$2:$D$6,0))</f>
        <v>46311</v>
      </c>
      <c r="N200" s="39" t="str">
        <f t="array" ref="N200">_xlfn.LET(_xlpm.t,_xlfn.XLOOKUP($A200,TRIM(SUBSTITUTE('worker file'!$A$2:$A$406,_xlfn.UNICHAR(160)," ")),'worker file'!$N$2:$N$406,""),IF(N(_xlpm.t)=0,"",_xlpm.t))</f>
        <v/>
      </c>
    </row>
    <row r="201" spans="1:15" x14ac:dyDescent="0.2">
      <c r="A201" s="35" t="s">
        <v>167</v>
      </c>
      <c r="B201" s="36" t="str">
        <f t="array" ref="B201">_xlfn.XLOOKUP($A201,TRIM(SUBSTITUTE('worker file'!$A$2:$A$406,_xlfn.UNICHAR(160)," ")),'worker file'!$L$2:$L$406,"Not found")</f>
        <v>US Semi-monthly</v>
      </c>
      <c r="C201" s="36" t="str">
        <f t="array" ref="C201">_xlfn.XLOOKUP($A201,TRIM(SUBSTITUTE('worker file'!$A$2:$A$406,_xlfn.UNICHAR(160)," ")),'worker file'!$D$2:$D$406,"Not found")</f>
        <v>CA</v>
      </c>
      <c r="D201" s="36" t="str">
        <f t="array" ref="D201">_xlfn.XLOOKUP($A201,TRIM(SUBSTITUTE('worker file'!$A$2:$A$406,_xlfn.UNICHAR(160)," ")),'worker file'!$Q$2:$Q$406,"Not found")</f>
        <v>Active</v>
      </c>
      <c r="E201" s="35" t="s">
        <v>632</v>
      </c>
      <c r="F201" t="str">
        <f t="shared" si="16"/>
        <v>Dental – Employee</v>
      </c>
      <c r="G201" t="str">
        <f t="shared" si="17"/>
        <v>Pre-tax Section 125 (exempt from FIT/SIT/FICA)</v>
      </c>
      <c r="H201" t="str">
        <f t="shared" si="18"/>
        <v>Flat</v>
      </c>
      <c r="I201" s="40" t="str">
        <f>IF($H201="Percent",_xlfn.XLOOKUP($E201,$A$5:$A$8,$F$5:$F$8,""),"")</f>
        <v/>
      </c>
      <c r="J201" s="38">
        <f t="shared" si="19"/>
        <v>44</v>
      </c>
      <c r="K201" t="str">
        <f t="shared" si="20"/>
        <v>Per pay period</v>
      </c>
      <c r="L201" t="str">
        <f t="shared" si="21"/>
        <v>Every pay period (ongoing)</v>
      </c>
      <c r="M201" s="39">
        <f t="array" ref="M201">MAX(_xlfn.XLOOKUP($A201,TRIM(SUBSTITUTE('worker file'!$A$2:$A$406,_xlfn.UNICHAR(160)," ")),'worker file'!$M$2:$M$406,0),_xlfn.XLOOKUP($B201,TRIM('pay group &amp; schedule'!$A$2:$A$6),'pay group &amp; schedule'!$D$2:$D$6,0))</f>
        <v>46311</v>
      </c>
      <c r="N201" s="39" t="str">
        <f t="array" ref="N201">_xlfn.LET(_xlpm.t,_xlfn.XLOOKUP($A201,TRIM(SUBSTITUTE('worker file'!$A$2:$A$406,_xlfn.UNICHAR(160)," ")),'worker file'!$N$2:$N$406,""),IF(N(_xlpm.t)=0,"",_xlpm.t))</f>
        <v/>
      </c>
    </row>
    <row r="202" spans="1:15" x14ac:dyDescent="0.2">
      <c r="A202" s="35" t="s">
        <v>167</v>
      </c>
      <c r="B202" s="36" t="str">
        <f t="array" ref="B202">_xlfn.XLOOKUP($A202,TRIM(SUBSTITUTE('worker file'!$A$2:$A$406,_xlfn.UNICHAR(160)," ")),'worker file'!$L$2:$L$406,"Not found")</f>
        <v>US Semi-monthly</v>
      </c>
      <c r="C202" s="36" t="str">
        <f t="array" ref="C202">_xlfn.XLOOKUP($A202,TRIM(SUBSTITUTE('worker file'!$A$2:$A$406,_xlfn.UNICHAR(160)," ")),'worker file'!$D$2:$D$406,"Not found")</f>
        <v>CA</v>
      </c>
      <c r="D202" s="36" t="str">
        <f t="array" ref="D202">_xlfn.XLOOKUP($A202,TRIM(SUBSTITUTE('worker file'!$A$2:$A$406,_xlfn.UNICHAR(160)," ")),'worker file'!$Q$2:$Q$406,"Not found")</f>
        <v>Active</v>
      </c>
      <c r="E202" s="35" t="s">
        <v>634</v>
      </c>
      <c r="F202" t="str">
        <f t="shared" si="16"/>
        <v>Vision – Employee</v>
      </c>
      <c r="G202" t="str">
        <f t="shared" si="17"/>
        <v>Pre-tax Section 125 (exempt from FIT/SIT/FICA)</v>
      </c>
      <c r="H202" t="str">
        <f t="shared" si="18"/>
        <v>Flat</v>
      </c>
      <c r="I202" s="40" t="str">
        <f>IF($H202="Percent",_xlfn.XLOOKUP($E202,$A$5:$A$8,$F$5:$F$8,""),"")</f>
        <v/>
      </c>
      <c r="J202" s="38">
        <f t="shared" si="19"/>
        <v>30</v>
      </c>
      <c r="K202" t="str">
        <f t="shared" si="20"/>
        <v>Per pay period</v>
      </c>
      <c r="L202" t="str">
        <f t="shared" si="21"/>
        <v>Every pay period (ongoing)</v>
      </c>
      <c r="M202" s="39">
        <f t="array" ref="M202">MAX(_xlfn.XLOOKUP($A202,TRIM(SUBSTITUTE('worker file'!$A$2:$A$406,_xlfn.UNICHAR(160)," ")),'worker file'!$M$2:$M$406,0),_xlfn.XLOOKUP($B202,TRIM('pay group &amp; schedule'!$A$2:$A$6),'pay group &amp; schedule'!$D$2:$D$6,0))</f>
        <v>46311</v>
      </c>
      <c r="N202" s="39" t="str">
        <f t="array" ref="N202">_xlfn.LET(_xlpm.t,_xlfn.XLOOKUP($A202,TRIM(SUBSTITUTE('worker file'!$A$2:$A$406,_xlfn.UNICHAR(160)," ")),'worker file'!$N$2:$N$406,""),IF(N(_xlpm.t)=0,"",_xlpm.t))</f>
        <v/>
      </c>
    </row>
    <row r="203" spans="1:15" x14ac:dyDescent="0.2">
      <c r="A203" s="35" t="s">
        <v>168</v>
      </c>
      <c r="B203" s="36" t="str">
        <f t="array" ref="B203">_xlfn.XLOOKUP($A203,TRIM(SUBSTITUTE('worker file'!$A$2:$A$406,_xlfn.UNICHAR(160)," ")),'worker file'!$L$2:$L$406,"Not found")</f>
        <v>US Biweekly</v>
      </c>
      <c r="C203" s="36" t="str">
        <f t="array" ref="C203">_xlfn.XLOOKUP($A203,TRIM(SUBSTITUTE('worker file'!$A$2:$A$406,_xlfn.UNICHAR(160)," ")),'worker file'!$D$2:$D$406,"Not found")</f>
        <v>CA</v>
      </c>
      <c r="D203" s="36" t="str">
        <f t="array" ref="D203">_xlfn.XLOOKUP($A203,TRIM(SUBSTITUTE('worker file'!$A$2:$A$406,_xlfn.UNICHAR(160)," ")),'worker file'!$Q$2:$Q$406,"Not found")</f>
        <v>Active</v>
      </c>
      <c r="E203" s="35" t="s">
        <v>618</v>
      </c>
      <c r="F203" t="str">
        <f t="shared" si="16"/>
        <v>401(k) Employee Deferral</v>
      </c>
      <c r="G203" t="str">
        <f t="shared" si="17"/>
        <v>Pre-tax (exempt from FIT/SIT; subject to FICA)</v>
      </c>
      <c r="H203" t="str">
        <f t="shared" si="18"/>
        <v>Percent</v>
      </c>
      <c r="I203" s="37">
        <v>0</v>
      </c>
      <c r="J203" s="38" t="str">
        <f t="shared" si="19"/>
        <v/>
      </c>
      <c r="K203" t="str">
        <f t="shared" si="20"/>
        <v>Gross pay</v>
      </c>
      <c r="L203" t="str">
        <f t="shared" si="21"/>
        <v>Every pay period (ongoing)</v>
      </c>
      <c r="M203" s="39">
        <f t="array" ref="M203">MAX(_xlfn.XLOOKUP($A203,TRIM(SUBSTITUTE('worker file'!$A$2:$A$406,_xlfn.UNICHAR(160)," ")),'worker file'!$M$2:$M$406,0),_xlfn.XLOOKUP($B203,TRIM('pay group &amp; schedule'!$A$2:$A$6),'pay group &amp; schedule'!$D$2:$D$6,0))</f>
        <v>46299</v>
      </c>
      <c r="N203" s="39" t="str">
        <f t="array" ref="N203">_xlfn.LET(_xlpm.t,_xlfn.XLOOKUP($A203,TRIM(SUBSTITUTE('worker file'!$A$2:$A$406,_xlfn.UNICHAR(160)," ")),'worker file'!$N$2:$N$406,""),IF(N(_xlpm.t)=0,"",_xlpm.t))</f>
        <v/>
      </c>
    </row>
    <row r="204" spans="1:15" x14ac:dyDescent="0.2">
      <c r="A204" s="35" t="s">
        <v>168</v>
      </c>
      <c r="B204" s="36" t="str">
        <f t="array" ref="B204">_xlfn.XLOOKUP($A204,TRIM(SUBSTITUTE('worker file'!$A$2:$A$406,_xlfn.UNICHAR(160)," ")),'worker file'!$L$2:$L$406,"Not found")</f>
        <v>US Biweekly</v>
      </c>
      <c r="C204" s="36" t="str">
        <f t="array" ref="C204">_xlfn.XLOOKUP($A204,TRIM(SUBSTITUTE('worker file'!$A$2:$A$406,_xlfn.UNICHAR(160)," ")),'worker file'!$D$2:$D$406,"Not found")</f>
        <v>CA</v>
      </c>
      <c r="D204" s="36" t="str">
        <f t="array" ref="D204">_xlfn.XLOOKUP($A204,TRIM(SUBSTITUTE('worker file'!$A$2:$A$406,_xlfn.UNICHAR(160)," ")),'worker file'!$Q$2:$Q$406,"Not found")</f>
        <v>Active</v>
      </c>
      <c r="E204" s="35" t="s">
        <v>626</v>
      </c>
      <c r="F204" t="str">
        <f t="shared" ref="F204:F267" si="23">_xlfn.XLOOKUP($E204,$A$5:$A$8,$B$5:$B$8,"")</f>
        <v>Medical (Health) – Employee</v>
      </c>
      <c r="G204" t="str">
        <f t="shared" ref="G204:G267" si="24">_xlfn.XLOOKUP($E204,$A$5:$A$8,$D$5:$D$8,"")</f>
        <v>Pre-tax Section 125 (exempt from FIT/SIT/FICA)</v>
      </c>
      <c r="H204" t="str">
        <f t="shared" ref="H204:H267" si="25">_xlfn.XLOOKUP($E204,$A$5:$A$8,$E$5:$E$8,"")</f>
        <v>Flat</v>
      </c>
      <c r="I204" s="40" t="str">
        <f>IF($H204="Percent",_xlfn.XLOOKUP($E204,$A$5:$A$8,$F$5:$F$8,""),"")</f>
        <v/>
      </c>
      <c r="J204" s="38">
        <f t="shared" ref="J204:J267" si="26">IF($H204="Flat",_xlfn.XLOOKUP($E204,$A$5:$A$8,$F$5:$F$8,""),"")</f>
        <v>200</v>
      </c>
      <c r="K204" t="str">
        <f t="shared" ref="K204:K267" si="27">_xlfn.XLOOKUP($E204,$A$5:$A$8,$G$5:$G$8,"")</f>
        <v>Per pay period</v>
      </c>
      <c r="L204" t="str">
        <f t="shared" ref="L204:L267" si="28">_xlfn.XLOOKUP($E204,$A$5:$A$8,$H$5:$H$8,"")</f>
        <v>Every pay period (ongoing)</v>
      </c>
      <c r="M204" s="39">
        <f t="array" ref="M204">MAX(_xlfn.XLOOKUP($A204,TRIM(SUBSTITUTE('worker file'!$A$2:$A$406,_xlfn.UNICHAR(160)," ")),'worker file'!$M$2:$M$406,0),_xlfn.XLOOKUP($B204,TRIM('pay group &amp; schedule'!$A$2:$A$6),'pay group &amp; schedule'!$D$2:$D$6,0))</f>
        <v>46299</v>
      </c>
      <c r="N204" s="39" t="str">
        <f t="array" ref="N204">_xlfn.LET(_xlpm.t,_xlfn.XLOOKUP($A204,TRIM(SUBSTITUTE('worker file'!$A$2:$A$406,_xlfn.UNICHAR(160)," ")),'worker file'!$N$2:$N$406,""),IF(N(_xlpm.t)=0,"",_xlpm.t))</f>
        <v/>
      </c>
    </row>
    <row r="205" spans="1:15" x14ac:dyDescent="0.2">
      <c r="A205" s="35" t="s">
        <v>168</v>
      </c>
      <c r="B205" s="36" t="str">
        <f t="array" ref="B205">_xlfn.XLOOKUP($A205,TRIM(SUBSTITUTE('worker file'!$A$2:$A$406,_xlfn.UNICHAR(160)," ")),'worker file'!$L$2:$L$406,"Not found")</f>
        <v>US Biweekly</v>
      </c>
      <c r="C205" s="36" t="str">
        <f t="array" ref="C205">_xlfn.XLOOKUP($A205,TRIM(SUBSTITUTE('worker file'!$A$2:$A$406,_xlfn.UNICHAR(160)," ")),'worker file'!$D$2:$D$406,"Not found")</f>
        <v>CA</v>
      </c>
      <c r="D205" s="36" t="str">
        <f t="array" ref="D205">_xlfn.XLOOKUP($A205,TRIM(SUBSTITUTE('worker file'!$A$2:$A$406,_xlfn.UNICHAR(160)," ")),'worker file'!$Q$2:$Q$406,"Not found")</f>
        <v>Active</v>
      </c>
      <c r="E205" s="35" t="s">
        <v>632</v>
      </c>
      <c r="F205" t="str">
        <f t="shared" si="23"/>
        <v>Dental – Employee</v>
      </c>
      <c r="G205" t="str">
        <f t="shared" si="24"/>
        <v>Pre-tax Section 125 (exempt from FIT/SIT/FICA)</v>
      </c>
      <c r="H205" t="str">
        <f t="shared" si="25"/>
        <v>Flat</v>
      </c>
      <c r="I205" s="40" t="str">
        <f>IF($H205="Percent",_xlfn.XLOOKUP($E205,$A$5:$A$8,$F$5:$F$8,""),"")</f>
        <v/>
      </c>
      <c r="J205" s="38">
        <f t="shared" si="26"/>
        <v>44</v>
      </c>
      <c r="K205" t="str">
        <f t="shared" si="27"/>
        <v>Per pay period</v>
      </c>
      <c r="L205" t="str">
        <f t="shared" si="28"/>
        <v>Every pay period (ongoing)</v>
      </c>
      <c r="M205" s="39">
        <f t="array" ref="M205">MAX(_xlfn.XLOOKUP($A205,TRIM(SUBSTITUTE('worker file'!$A$2:$A$406,_xlfn.UNICHAR(160)," ")),'worker file'!$M$2:$M$406,0),_xlfn.XLOOKUP($B205,TRIM('pay group &amp; schedule'!$A$2:$A$6),'pay group &amp; schedule'!$D$2:$D$6,0))</f>
        <v>46299</v>
      </c>
      <c r="N205" s="39" t="str">
        <f t="array" ref="N205">_xlfn.LET(_xlpm.t,_xlfn.XLOOKUP($A205,TRIM(SUBSTITUTE('worker file'!$A$2:$A$406,_xlfn.UNICHAR(160)," ")),'worker file'!$N$2:$N$406,""),IF(N(_xlpm.t)=0,"",_xlpm.t))</f>
        <v/>
      </c>
    </row>
    <row r="206" spans="1:15" x14ac:dyDescent="0.2">
      <c r="A206" s="35" t="s">
        <v>168</v>
      </c>
      <c r="B206" s="36" t="str">
        <f t="array" ref="B206">_xlfn.XLOOKUP($A206,TRIM(SUBSTITUTE('worker file'!$A$2:$A$406,_xlfn.UNICHAR(160)," ")),'worker file'!$L$2:$L$406,"Not found")</f>
        <v>US Biweekly</v>
      </c>
      <c r="C206" s="36" t="str">
        <f t="array" ref="C206">_xlfn.XLOOKUP($A206,TRIM(SUBSTITUTE('worker file'!$A$2:$A$406,_xlfn.UNICHAR(160)," ")),'worker file'!$D$2:$D$406,"Not found")</f>
        <v>CA</v>
      </c>
      <c r="D206" s="36" t="str">
        <f t="array" ref="D206">_xlfn.XLOOKUP($A206,TRIM(SUBSTITUTE('worker file'!$A$2:$A$406,_xlfn.UNICHAR(160)," ")),'worker file'!$Q$2:$Q$406,"Not found")</f>
        <v>Active</v>
      </c>
      <c r="E206" s="35" t="s">
        <v>634</v>
      </c>
      <c r="F206" t="str">
        <f t="shared" si="23"/>
        <v>Vision – Employee</v>
      </c>
      <c r="G206" t="str">
        <f t="shared" si="24"/>
        <v>Pre-tax Section 125 (exempt from FIT/SIT/FICA)</v>
      </c>
      <c r="H206" t="str">
        <f t="shared" si="25"/>
        <v>Flat</v>
      </c>
      <c r="I206" s="40" t="str">
        <f>IF($H206="Percent",_xlfn.XLOOKUP($E206,$A$5:$A$8,$F$5:$F$8,""),"")</f>
        <v/>
      </c>
      <c r="J206" s="38">
        <f t="shared" si="26"/>
        <v>30</v>
      </c>
      <c r="K206" t="str">
        <f t="shared" si="27"/>
        <v>Per pay period</v>
      </c>
      <c r="L206" t="str">
        <f t="shared" si="28"/>
        <v>Every pay period (ongoing)</v>
      </c>
      <c r="M206" s="39">
        <f t="array" ref="M206">MAX(_xlfn.XLOOKUP($A206,TRIM(SUBSTITUTE('worker file'!$A$2:$A$406,_xlfn.UNICHAR(160)," ")),'worker file'!$M$2:$M$406,0),_xlfn.XLOOKUP($B206,TRIM('pay group &amp; schedule'!$A$2:$A$6),'pay group &amp; schedule'!$D$2:$D$6,0))</f>
        <v>46299</v>
      </c>
      <c r="N206" s="39" t="str">
        <f t="array" ref="N206">_xlfn.LET(_xlpm.t,_xlfn.XLOOKUP($A206,TRIM(SUBSTITUTE('worker file'!$A$2:$A$406,_xlfn.UNICHAR(160)," ")),'worker file'!$N$2:$N$406,""),IF(N(_xlpm.t)=0,"",_xlpm.t))</f>
        <v/>
      </c>
    </row>
    <row r="207" spans="1:15" x14ac:dyDescent="0.2">
      <c r="A207" s="35" t="s">
        <v>170</v>
      </c>
      <c r="B207" s="36" t="str">
        <f t="array" ref="B207">_xlfn.XLOOKUP($A207,TRIM(SUBSTITUTE('worker file'!$A$2:$A$406,_xlfn.UNICHAR(160)," ")),'worker file'!$L$2:$L$406,"Not found")</f>
        <v>US Semi-monthly</v>
      </c>
      <c r="C207" s="36" t="str">
        <f t="array" ref="C207">_xlfn.XLOOKUP($A207,TRIM(SUBSTITUTE('worker file'!$A$2:$A$406,_xlfn.UNICHAR(160)," ")),'worker file'!$D$2:$D$406,"Not found")</f>
        <v>WA</v>
      </c>
      <c r="D207" s="36" t="str">
        <f t="array" ref="D207">_xlfn.XLOOKUP($A207,TRIM(SUBSTITUTE('worker file'!$A$2:$A$406,_xlfn.UNICHAR(160)," ")),'worker file'!$Q$2:$Q$406,"Not found")</f>
        <v>Active</v>
      </c>
      <c r="E207" s="35" t="s">
        <v>618</v>
      </c>
      <c r="F207" t="str">
        <f t="shared" si="23"/>
        <v>401(k) Employee Deferral</v>
      </c>
      <c r="G207" t="str">
        <f t="shared" si="24"/>
        <v>Pre-tax (exempt from FIT/SIT; subject to FICA)</v>
      </c>
      <c r="H207" t="str">
        <f t="shared" si="25"/>
        <v>Percent</v>
      </c>
      <c r="I207" s="37">
        <v>0.05</v>
      </c>
      <c r="J207" s="38" t="str">
        <f t="shared" si="26"/>
        <v/>
      </c>
      <c r="K207" t="str">
        <f t="shared" si="27"/>
        <v>Gross pay</v>
      </c>
      <c r="L207" t="str">
        <f t="shared" si="28"/>
        <v>Every pay period (ongoing)</v>
      </c>
      <c r="M207" s="39">
        <f t="array" ref="M207">MAX(_xlfn.XLOOKUP($A207,TRIM(SUBSTITUTE('worker file'!$A$2:$A$406,_xlfn.UNICHAR(160)," ")),'worker file'!$M$2:$M$406,0),_xlfn.XLOOKUP($B207,TRIM('pay group &amp; schedule'!$A$2:$A$6),'pay group &amp; schedule'!$D$2:$D$6,0))</f>
        <v>46311</v>
      </c>
      <c r="N207" s="39" t="str">
        <f t="array" ref="N207">_xlfn.LET(_xlpm.t,_xlfn.XLOOKUP($A207,TRIM(SUBSTITUTE('worker file'!$A$2:$A$406,_xlfn.UNICHAR(160)," ")),'worker file'!$N$2:$N$406,""),IF(N(_xlpm.t)=0,"",_xlpm.t))</f>
        <v/>
      </c>
    </row>
    <row r="208" spans="1:15" x14ac:dyDescent="0.2">
      <c r="A208" s="35" t="s">
        <v>170</v>
      </c>
      <c r="B208" s="36" t="str">
        <f t="array" ref="B208">_xlfn.XLOOKUP($A208,TRIM(SUBSTITUTE('worker file'!$A$2:$A$406,_xlfn.UNICHAR(160)," ")),'worker file'!$L$2:$L$406,"Not found")</f>
        <v>US Semi-monthly</v>
      </c>
      <c r="C208" s="36" t="str">
        <f t="array" ref="C208">_xlfn.XLOOKUP($A208,TRIM(SUBSTITUTE('worker file'!$A$2:$A$406,_xlfn.UNICHAR(160)," ")),'worker file'!$D$2:$D$406,"Not found")</f>
        <v>WA</v>
      </c>
      <c r="D208" s="36" t="str">
        <f t="array" ref="D208">_xlfn.XLOOKUP($A208,TRIM(SUBSTITUTE('worker file'!$A$2:$A$406,_xlfn.UNICHAR(160)," ")),'worker file'!$Q$2:$Q$406,"Not found")</f>
        <v>Active</v>
      </c>
      <c r="E208" s="35" t="s">
        <v>626</v>
      </c>
      <c r="F208" t="str">
        <f t="shared" si="23"/>
        <v>Medical (Health) – Employee</v>
      </c>
      <c r="G208" t="str">
        <f t="shared" si="24"/>
        <v>Pre-tax Section 125 (exempt from FIT/SIT/FICA)</v>
      </c>
      <c r="H208" t="str">
        <f t="shared" si="25"/>
        <v>Flat</v>
      </c>
      <c r="I208" s="40" t="str">
        <f t="shared" ref="I208:I213" si="29">IF($H208="Percent",_xlfn.XLOOKUP($E208,$A$5:$A$8,$F$5:$F$8,""),"")</f>
        <v/>
      </c>
      <c r="J208" s="38">
        <f t="shared" si="26"/>
        <v>200</v>
      </c>
      <c r="K208" t="str">
        <f t="shared" si="27"/>
        <v>Per pay period</v>
      </c>
      <c r="L208" t="str">
        <f t="shared" si="28"/>
        <v>Every pay period (ongoing)</v>
      </c>
      <c r="M208" s="39">
        <f t="array" ref="M208">MAX(_xlfn.XLOOKUP($A208,TRIM(SUBSTITUTE('worker file'!$A$2:$A$406,_xlfn.UNICHAR(160)," ")),'worker file'!$M$2:$M$406,0),_xlfn.XLOOKUP($B208,TRIM('pay group &amp; schedule'!$A$2:$A$6),'pay group &amp; schedule'!$D$2:$D$6,0))</f>
        <v>46311</v>
      </c>
      <c r="N208" s="39" t="str">
        <f t="array" ref="N208">_xlfn.LET(_xlpm.t,_xlfn.XLOOKUP($A208,TRIM(SUBSTITUTE('worker file'!$A$2:$A$406,_xlfn.UNICHAR(160)," ")),'worker file'!$N$2:$N$406,""),IF(N(_xlpm.t)=0,"",_xlpm.t))</f>
        <v/>
      </c>
    </row>
    <row r="209" spans="1:14" x14ac:dyDescent="0.2">
      <c r="A209" s="35" t="s">
        <v>170</v>
      </c>
      <c r="B209" s="36" t="str">
        <f t="array" ref="B209">_xlfn.XLOOKUP($A209,TRIM(SUBSTITUTE('worker file'!$A$2:$A$406,_xlfn.UNICHAR(160)," ")),'worker file'!$L$2:$L$406,"Not found")</f>
        <v>US Semi-monthly</v>
      </c>
      <c r="C209" s="36" t="str">
        <f t="array" ref="C209">_xlfn.XLOOKUP($A209,TRIM(SUBSTITUTE('worker file'!$A$2:$A$406,_xlfn.UNICHAR(160)," ")),'worker file'!$D$2:$D$406,"Not found")</f>
        <v>WA</v>
      </c>
      <c r="D209" s="36" t="str">
        <f t="array" ref="D209">_xlfn.XLOOKUP($A209,TRIM(SUBSTITUTE('worker file'!$A$2:$A$406,_xlfn.UNICHAR(160)," ")),'worker file'!$Q$2:$Q$406,"Not found")</f>
        <v>Active</v>
      </c>
      <c r="E209" s="35" t="s">
        <v>632</v>
      </c>
      <c r="F209" t="str">
        <f t="shared" si="23"/>
        <v>Dental – Employee</v>
      </c>
      <c r="G209" t="str">
        <f t="shared" si="24"/>
        <v>Pre-tax Section 125 (exempt from FIT/SIT/FICA)</v>
      </c>
      <c r="H209" t="str">
        <f t="shared" si="25"/>
        <v>Flat</v>
      </c>
      <c r="I209" s="40" t="str">
        <f t="shared" si="29"/>
        <v/>
      </c>
      <c r="J209" s="38">
        <f t="shared" si="26"/>
        <v>44</v>
      </c>
      <c r="K209" t="str">
        <f t="shared" si="27"/>
        <v>Per pay period</v>
      </c>
      <c r="L209" t="str">
        <f t="shared" si="28"/>
        <v>Every pay period (ongoing)</v>
      </c>
      <c r="M209" s="39">
        <f t="array" ref="M209">MAX(_xlfn.XLOOKUP($A209,TRIM(SUBSTITUTE('worker file'!$A$2:$A$406,_xlfn.UNICHAR(160)," ")),'worker file'!$M$2:$M$406,0),_xlfn.XLOOKUP($B209,TRIM('pay group &amp; schedule'!$A$2:$A$6),'pay group &amp; schedule'!$D$2:$D$6,0))</f>
        <v>46311</v>
      </c>
      <c r="N209" s="39" t="str">
        <f t="array" ref="N209">_xlfn.LET(_xlpm.t,_xlfn.XLOOKUP($A209,TRIM(SUBSTITUTE('worker file'!$A$2:$A$406,_xlfn.UNICHAR(160)," ")),'worker file'!$N$2:$N$406,""),IF(N(_xlpm.t)=0,"",_xlpm.t))</f>
        <v/>
      </c>
    </row>
    <row r="210" spans="1:14" x14ac:dyDescent="0.2">
      <c r="A210" s="35" t="s">
        <v>170</v>
      </c>
      <c r="B210" s="36" t="str">
        <f t="array" ref="B210">_xlfn.XLOOKUP($A210,TRIM(SUBSTITUTE('worker file'!$A$2:$A$406,_xlfn.UNICHAR(160)," ")),'worker file'!$L$2:$L$406,"Not found")</f>
        <v>US Semi-monthly</v>
      </c>
      <c r="C210" s="36" t="str">
        <f t="array" ref="C210">_xlfn.XLOOKUP($A210,TRIM(SUBSTITUTE('worker file'!$A$2:$A$406,_xlfn.UNICHAR(160)," ")),'worker file'!$D$2:$D$406,"Not found")</f>
        <v>WA</v>
      </c>
      <c r="D210" s="36" t="str">
        <f t="array" ref="D210">_xlfn.XLOOKUP($A210,TRIM(SUBSTITUTE('worker file'!$A$2:$A$406,_xlfn.UNICHAR(160)," ")),'worker file'!$Q$2:$Q$406,"Not found")</f>
        <v>Active</v>
      </c>
      <c r="E210" s="35" t="s">
        <v>634</v>
      </c>
      <c r="F210" t="str">
        <f t="shared" si="23"/>
        <v>Vision – Employee</v>
      </c>
      <c r="G210" t="str">
        <f t="shared" si="24"/>
        <v>Pre-tax Section 125 (exempt from FIT/SIT/FICA)</v>
      </c>
      <c r="H210" t="str">
        <f t="shared" si="25"/>
        <v>Flat</v>
      </c>
      <c r="I210" s="40" t="str">
        <f t="shared" si="29"/>
        <v/>
      </c>
      <c r="J210" s="38">
        <f t="shared" si="26"/>
        <v>30</v>
      </c>
      <c r="K210" t="str">
        <f t="shared" si="27"/>
        <v>Per pay period</v>
      </c>
      <c r="L210" t="str">
        <f t="shared" si="28"/>
        <v>Every pay period (ongoing)</v>
      </c>
      <c r="M210" s="39">
        <f t="array" ref="M210">MAX(_xlfn.XLOOKUP($A210,TRIM(SUBSTITUTE('worker file'!$A$2:$A$406,_xlfn.UNICHAR(160)," ")),'worker file'!$M$2:$M$406,0),_xlfn.XLOOKUP($B210,TRIM('pay group &amp; schedule'!$A$2:$A$6),'pay group &amp; schedule'!$D$2:$D$6,0))</f>
        <v>46311</v>
      </c>
      <c r="N210" s="39" t="str">
        <f t="array" ref="N210">_xlfn.LET(_xlpm.t,_xlfn.XLOOKUP($A210,TRIM(SUBSTITUTE('worker file'!$A$2:$A$406,_xlfn.UNICHAR(160)," ")),'worker file'!$N$2:$N$406,""),IF(N(_xlpm.t)=0,"",_xlpm.t))</f>
        <v/>
      </c>
    </row>
    <row r="211" spans="1:14" x14ac:dyDescent="0.2">
      <c r="A211" s="35" t="s">
        <v>172</v>
      </c>
      <c r="B211" s="36" t="str">
        <f t="array" ref="B211">_xlfn.XLOOKUP($A211,TRIM(SUBSTITUTE('worker file'!$A$2:$A$406,_xlfn.UNICHAR(160)," ")),'worker file'!$L$2:$L$406,"Not found")</f>
        <v>US Semi-monthly</v>
      </c>
      <c r="C211" s="36" t="str">
        <f t="array" ref="C211">_xlfn.XLOOKUP($A211,TRIM(SUBSTITUTE('worker file'!$A$2:$A$406,_xlfn.UNICHAR(160)," ")),'worker file'!$D$2:$D$406,"Not found")</f>
        <v>CA</v>
      </c>
      <c r="D211" s="36" t="str">
        <f t="array" ref="D211">_xlfn.XLOOKUP($A211,TRIM(SUBSTITUTE('worker file'!$A$2:$A$406,_xlfn.UNICHAR(160)," ")),'worker file'!$Q$2:$Q$406,"Not found")</f>
        <v>Active</v>
      </c>
      <c r="E211" s="35" t="s">
        <v>626</v>
      </c>
      <c r="F211" t="str">
        <f t="shared" si="23"/>
        <v>Medical (Health) – Employee</v>
      </c>
      <c r="G211" t="str">
        <f t="shared" si="24"/>
        <v>Pre-tax Section 125 (exempt from FIT/SIT/FICA)</v>
      </c>
      <c r="H211" t="str">
        <f t="shared" si="25"/>
        <v>Flat</v>
      </c>
      <c r="I211" s="40" t="str">
        <f t="shared" si="29"/>
        <v/>
      </c>
      <c r="J211" s="38">
        <f t="shared" si="26"/>
        <v>200</v>
      </c>
      <c r="K211" t="str">
        <f t="shared" si="27"/>
        <v>Per pay period</v>
      </c>
      <c r="L211" t="str">
        <f t="shared" si="28"/>
        <v>Every pay period (ongoing)</v>
      </c>
      <c r="M211" s="39">
        <f t="array" ref="M211">MAX(_xlfn.XLOOKUP($A211,TRIM(SUBSTITUTE('worker file'!$A$2:$A$406,_xlfn.UNICHAR(160)," ")),'worker file'!$M$2:$M$406,0),_xlfn.XLOOKUP($B211,TRIM('pay group &amp; schedule'!$A$2:$A$6),'pay group &amp; schedule'!$D$2:$D$6,0))</f>
        <v>46311</v>
      </c>
      <c r="N211" s="39" t="str">
        <f t="array" ref="N211">_xlfn.LET(_xlpm.t,_xlfn.XLOOKUP($A211,TRIM(SUBSTITUTE('worker file'!$A$2:$A$406,_xlfn.UNICHAR(160)," ")),'worker file'!$N$2:$N$406,""),IF(N(_xlpm.t)=0,"",_xlpm.t))</f>
        <v/>
      </c>
    </row>
    <row r="212" spans="1:14" x14ac:dyDescent="0.2">
      <c r="A212" s="35" t="s">
        <v>172</v>
      </c>
      <c r="B212" s="36" t="str">
        <f t="array" ref="B212">_xlfn.XLOOKUP($A212,TRIM(SUBSTITUTE('worker file'!$A$2:$A$406,_xlfn.UNICHAR(160)," ")),'worker file'!$L$2:$L$406,"Not found")</f>
        <v>US Semi-monthly</v>
      </c>
      <c r="C212" s="36" t="str">
        <f t="array" ref="C212">_xlfn.XLOOKUP($A212,TRIM(SUBSTITUTE('worker file'!$A$2:$A$406,_xlfn.UNICHAR(160)," ")),'worker file'!$D$2:$D$406,"Not found")</f>
        <v>CA</v>
      </c>
      <c r="D212" s="36" t="str">
        <f t="array" ref="D212">_xlfn.XLOOKUP($A212,TRIM(SUBSTITUTE('worker file'!$A$2:$A$406,_xlfn.UNICHAR(160)," ")),'worker file'!$Q$2:$Q$406,"Not found")</f>
        <v>Active</v>
      </c>
      <c r="E212" s="35" t="s">
        <v>632</v>
      </c>
      <c r="F212" t="str">
        <f t="shared" si="23"/>
        <v>Dental – Employee</v>
      </c>
      <c r="G212" t="str">
        <f t="shared" si="24"/>
        <v>Pre-tax Section 125 (exempt from FIT/SIT/FICA)</v>
      </c>
      <c r="H212" t="str">
        <f t="shared" si="25"/>
        <v>Flat</v>
      </c>
      <c r="I212" s="40" t="str">
        <f t="shared" si="29"/>
        <v/>
      </c>
      <c r="J212" s="38">
        <f t="shared" si="26"/>
        <v>44</v>
      </c>
      <c r="K212" t="str">
        <f t="shared" si="27"/>
        <v>Per pay period</v>
      </c>
      <c r="L212" t="str">
        <f t="shared" si="28"/>
        <v>Every pay period (ongoing)</v>
      </c>
      <c r="M212" s="39">
        <f t="array" ref="M212">MAX(_xlfn.XLOOKUP($A212,TRIM(SUBSTITUTE('worker file'!$A$2:$A$406,_xlfn.UNICHAR(160)," ")),'worker file'!$M$2:$M$406,0),_xlfn.XLOOKUP($B212,TRIM('pay group &amp; schedule'!$A$2:$A$6),'pay group &amp; schedule'!$D$2:$D$6,0))</f>
        <v>46311</v>
      </c>
      <c r="N212" s="39" t="str">
        <f t="array" ref="N212">_xlfn.LET(_xlpm.t,_xlfn.XLOOKUP($A212,TRIM(SUBSTITUTE('worker file'!$A$2:$A$406,_xlfn.UNICHAR(160)," ")),'worker file'!$N$2:$N$406,""),IF(N(_xlpm.t)=0,"",_xlpm.t))</f>
        <v/>
      </c>
    </row>
    <row r="213" spans="1:14" x14ac:dyDescent="0.2">
      <c r="A213" s="35" t="s">
        <v>172</v>
      </c>
      <c r="B213" s="36" t="str">
        <f t="array" ref="B213">_xlfn.XLOOKUP($A213,TRIM(SUBSTITUTE('worker file'!$A$2:$A$406,_xlfn.UNICHAR(160)," ")),'worker file'!$L$2:$L$406,"Not found")</f>
        <v>US Semi-monthly</v>
      </c>
      <c r="C213" s="36" t="str">
        <f t="array" ref="C213">_xlfn.XLOOKUP($A213,TRIM(SUBSTITUTE('worker file'!$A$2:$A$406,_xlfn.UNICHAR(160)," ")),'worker file'!$D$2:$D$406,"Not found")</f>
        <v>CA</v>
      </c>
      <c r="D213" s="36" t="str">
        <f t="array" ref="D213">_xlfn.XLOOKUP($A213,TRIM(SUBSTITUTE('worker file'!$A$2:$A$406,_xlfn.UNICHAR(160)," ")),'worker file'!$Q$2:$Q$406,"Not found")</f>
        <v>Active</v>
      </c>
      <c r="E213" s="35" t="s">
        <v>634</v>
      </c>
      <c r="F213" t="str">
        <f t="shared" si="23"/>
        <v>Vision – Employee</v>
      </c>
      <c r="G213" t="str">
        <f t="shared" si="24"/>
        <v>Pre-tax Section 125 (exempt from FIT/SIT/FICA)</v>
      </c>
      <c r="H213" t="str">
        <f t="shared" si="25"/>
        <v>Flat</v>
      </c>
      <c r="I213" s="40" t="str">
        <f t="shared" si="29"/>
        <v/>
      </c>
      <c r="J213" s="38">
        <f t="shared" si="26"/>
        <v>30</v>
      </c>
      <c r="K213" t="str">
        <f t="shared" si="27"/>
        <v>Per pay period</v>
      </c>
      <c r="L213" t="str">
        <f t="shared" si="28"/>
        <v>Every pay period (ongoing)</v>
      </c>
      <c r="M213" s="39">
        <f t="array" ref="M213">MAX(_xlfn.XLOOKUP($A213,TRIM(SUBSTITUTE('worker file'!$A$2:$A$406,_xlfn.UNICHAR(160)," ")),'worker file'!$M$2:$M$406,0),_xlfn.XLOOKUP($B213,TRIM('pay group &amp; schedule'!$A$2:$A$6),'pay group &amp; schedule'!$D$2:$D$6,0))</f>
        <v>46311</v>
      </c>
      <c r="N213" s="39" t="str">
        <f t="array" ref="N213">_xlfn.LET(_xlpm.t,_xlfn.XLOOKUP($A213,TRIM(SUBSTITUTE('worker file'!$A$2:$A$406,_xlfn.UNICHAR(160)," ")),'worker file'!$N$2:$N$406,""),IF(N(_xlpm.t)=0,"",_xlpm.t))</f>
        <v/>
      </c>
    </row>
    <row r="214" spans="1:14" x14ac:dyDescent="0.2">
      <c r="A214" s="35" t="s">
        <v>173</v>
      </c>
      <c r="B214" s="36" t="str">
        <f t="array" ref="B214">_xlfn.XLOOKUP($A214,TRIM(SUBSTITUTE('worker file'!$A$2:$A$406,_xlfn.UNICHAR(160)," ")),'worker file'!$L$2:$L$406,"Not found")</f>
        <v>US Semi-monthly</v>
      </c>
      <c r="C214" s="36" t="str">
        <f t="array" ref="C214">_xlfn.XLOOKUP($A214,TRIM(SUBSTITUTE('worker file'!$A$2:$A$406,_xlfn.UNICHAR(160)," ")),'worker file'!$D$2:$D$406,"Not found")</f>
        <v>CA</v>
      </c>
      <c r="D214" s="36" t="str">
        <f t="array" ref="D214">_xlfn.XLOOKUP($A214,TRIM(SUBSTITUTE('worker file'!$A$2:$A$406,_xlfn.UNICHAR(160)," ")),'worker file'!$Q$2:$Q$406,"Not found")</f>
        <v>Active</v>
      </c>
      <c r="E214" s="35" t="s">
        <v>618</v>
      </c>
      <c r="F214" t="str">
        <f t="shared" si="23"/>
        <v>401(k) Employee Deferral</v>
      </c>
      <c r="G214" t="str">
        <f t="shared" si="24"/>
        <v>Pre-tax (exempt from FIT/SIT; subject to FICA)</v>
      </c>
      <c r="H214" t="str">
        <f t="shared" si="25"/>
        <v>Percent</v>
      </c>
      <c r="I214" s="37">
        <v>7.0000000000000007E-2</v>
      </c>
      <c r="J214" s="38" t="str">
        <f t="shared" si="26"/>
        <v/>
      </c>
      <c r="K214" t="str">
        <f t="shared" si="27"/>
        <v>Gross pay</v>
      </c>
      <c r="L214" t="str">
        <f t="shared" si="28"/>
        <v>Every pay period (ongoing)</v>
      </c>
      <c r="M214" s="39">
        <f t="array" ref="M214">MAX(_xlfn.XLOOKUP($A214,TRIM(SUBSTITUTE('worker file'!$A$2:$A$406,_xlfn.UNICHAR(160)," ")),'worker file'!$M$2:$M$406,0),_xlfn.XLOOKUP($B214,TRIM('pay group &amp; schedule'!$A$2:$A$6),'pay group &amp; schedule'!$D$2:$D$6,0))</f>
        <v>46311</v>
      </c>
      <c r="N214" s="39" t="str">
        <f t="array" ref="N214">_xlfn.LET(_xlpm.t,_xlfn.XLOOKUP($A214,TRIM(SUBSTITUTE('worker file'!$A$2:$A$406,_xlfn.UNICHAR(160)," ")),'worker file'!$N$2:$N$406,""),IF(N(_xlpm.t)=0,"",_xlpm.t))</f>
        <v/>
      </c>
    </row>
    <row r="215" spans="1:14" x14ac:dyDescent="0.2">
      <c r="A215" s="35" t="s">
        <v>173</v>
      </c>
      <c r="B215" s="36" t="str">
        <f t="array" ref="B215">_xlfn.XLOOKUP($A215,TRIM(SUBSTITUTE('worker file'!$A$2:$A$406,_xlfn.UNICHAR(160)," ")),'worker file'!$L$2:$L$406,"Not found")</f>
        <v>US Semi-monthly</v>
      </c>
      <c r="C215" s="36" t="str">
        <f t="array" ref="C215">_xlfn.XLOOKUP($A215,TRIM(SUBSTITUTE('worker file'!$A$2:$A$406,_xlfn.UNICHAR(160)," ")),'worker file'!$D$2:$D$406,"Not found")</f>
        <v>CA</v>
      </c>
      <c r="D215" s="36" t="str">
        <f t="array" ref="D215">_xlfn.XLOOKUP($A215,TRIM(SUBSTITUTE('worker file'!$A$2:$A$406,_xlfn.UNICHAR(160)," ")),'worker file'!$Q$2:$Q$406,"Not found")</f>
        <v>Active</v>
      </c>
      <c r="E215" s="35" t="s">
        <v>626</v>
      </c>
      <c r="F215" t="str">
        <f t="shared" si="23"/>
        <v>Medical (Health) – Employee</v>
      </c>
      <c r="G215" t="str">
        <f t="shared" si="24"/>
        <v>Pre-tax Section 125 (exempt from FIT/SIT/FICA)</v>
      </c>
      <c r="H215" t="str">
        <f t="shared" si="25"/>
        <v>Flat</v>
      </c>
      <c r="I215" s="40" t="str">
        <f>IF($H215="Percent",_xlfn.XLOOKUP($E215,$A$5:$A$8,$F$5:$F$8,""),"")</f>
        <v/>
      </c>
      <c r="J215" s="38">
        <f t="shared" si="26"/>
        <v>200</v>
      </c>
      <c r="K215" t="str">
        <f t="shared" si="27"/>
        <v>Per pay period</v>
      </c>
      <c r="L215" t="str">
        <f t="shared" si="28"/>
        <v>Every pay period (ongoing)</v>
      </c>
      <c r="M215" s="39">
        <f t="array" ref="M215">MAX(_xlfn.XLOOKUP($A215,TRIM(SUBSTITUTE('worker file'!$A$2:$A$406,_xlfn.UNICHAR(160)," ")),'worker file'!$M$2:$M$406,0),_xlfn.XLOOKUP($B215,TRIM('pay group &amp; schedule'!$A$2:$A$6),'pay group &amp; schedule'!$D$2:$D$6,0))</f>
        <v>46311</v>
      </c>
      <c r="N215" s="39" t="str">
        <f t="array" ref="N215">_xlfn.LET(_xlpm.t,_xlfn.XLOOKUP($A215,TRIM(SUBSTITUTE('worker file'!$A$2:$A$406,_xlfn.UNICHAR(160)," ")),'worker file'!$N$2:$N$406,""),IF(N(_xlpm.t)=0,"",_xlpm.t))</f>
        <v/>
      </c>
    </row>
    <row r="216" spans="1:14" x14ac:dyDescent="0.2">
      <c r="A216" s="35" t="s">
        <v>173</v>
      </c>
      <c r="B216" s="36" t="str">
        <f t="array" ref="B216">_xlfn.XLOOKUP($A216,TRIM(SUBSTITUTE('worker file'!$A$2:$A$406,_xlfn.UNICHAR(160)," ")),'worker file'!$L$2:$L$406,"Not found")</f>
        <v>US Semi-monthly</v>
      </c>
      <c r="C216" s="36" t="str">
        <f t="array" ref="C216">_xlfn.XLOOKUP($A216,TRIM(SUBSTITUTE('worker file'!$A$2:$A$406,_xlfn.UNICHAR(160)," ")),'worker file'!$D$2:$D$406,"Not found")</f>
        <v>CA</v>
      </c>
      <c r="D216" s="36" t="str">
        <f t="array" ref="D216">_xlfn.XLOOKUP($A216,TRIM(SUBSTITUTE('worker file'!$A$2:$A$406,_xlfn.UNICHAR(160)," ")),'worker file'!$Q$2:$Q$406,"Not found")</f>
        <v>Active</v>
      </c>
      <c r="E216" s="35" t="s">
        <v>632</v>
      </c>
      <c r="F216" t="str">
        <f t="shared" si="23"/>
        <v>Dental – Employee</v>
      </c>
      <c r="G216" t="str">
        <f t="shared" si="24"/>
        <v>Pre-tax Section 125 (exempt from FIT/SIT/FICA)</v>
      </c>
      <c r="H216" t="str">
        <f t="shared" si="25"/>
        <v>Flat</v>
      </c>
      <c r="I216" s="40" t="str">
        <f>IF($H216="Percent",_xlfn.XLOOKUP($E216,$A$5:$A$8,$F$5:$F$8,""),"")</f>
        <v/>
      </c>
      <c r="J216" s="38">
        <f t="shared" si="26"/>
        <v>44</v>
      </c>
      <c r="K216" t="str">
        <f t="shared" si="27"/>
        <v>Per pay period</v>
      </c>
      <c r="L216" t="str">
        <f t="shared" si="28"/>
        <v>Every pay period (ongoing)</v>
      </c>
      <c r="M216" s="39">
        <f t="array" ref="M216">MAX(_xlfn.XLOOKUP($A216,TRIM(SUBSTITUTE('worker file'!$A$2:$A$406,_xlfn.UNICHAR(160)," ")),'worker file'!$M$2:$M$406,0),_xlfn.XLOOKUP($B216,TRIM('pay group &amp; schedule'!$A$2:$A$6),'pay group &amp; schedule'!$D$2:$D$6,0))</f>
        <v>46311</v>
      </c>
      <c r="N216" s="39" t="str">
        <f t="array" ref="N216">_xlfn.LET(_xlpm.t,_xlfn.XLOOKUP($A216,TRIM(SUBSTITUTE('worker file'!$A$2:$A$406,_xlfn.UNICHAR(160)," ")),'worker file'!$N$2:$N$406,""),IF(N(_xlpm.t)=0,"",_xlpm.t))</f>
        <v/>
      </c>
    </row>
    <row r="217" spans="1:14" x14ac:dyDescent="0.2">
      <c r="A217" s="35" t="s">
        <v>173</v>
      </c>
      <c r="B217" s="36" t="str">
        <f t="array" ref="B217">_xlfn.XLOOKUP($A217,TRIM(SUBSTITUTE('worker file'!$A$2:$A$406,_xlfn.UNICHAR(160)," ")),'worker file'!$L$2:$L$406,"Not found")</f>
        <v>US Semi-monthly</v>
      </c>
      <c r="C217" s="36" t="str">
        <f t="array" ref="C217">_xlfn.XLOOKUP($A217,TRIM(SUBSTITUTE('worker file'!$A$2:$A$406,_xlfn.UNICHAR(160)," ")),'worker file'!$D$2:$D$406,"Not found")</f>
        <v>CA</v>
      </c>
      <c r="D217" s="36" t="str">
        <f t="array" ref="D217">_xlfn.XLOOKUP($A217,TRIM(SUBSTITUTE('worker file'!$A$2:$A$406,_xlfn.UNICHAR(160)," ")),'worker file'!$Q$2:$Q$406,"Not found")</f>
        <v>Active</v>
      </c>
      <c r="E217" s="35" t="s">
        <v>634</v>
      </c>
      <c r="F217" t="str">
        <f t="shared" si="23"/>
        <v>Vision – Employee</v>
      </c>
      <c r="G217" t="str">
        <f t="shared" si="24"/>
        <v>Pre-tax Section 125 (exempt from FIT/SIT/FICA)</v>
      </c>
      <c r="H217" t="str">
        <f t="shared" si="25"/>
        <v>Flat</v>
      </c>
      <c r="I217" s="40" t="str">
        <f>IF($H217="Percent",_xlfn.XLOOKUP($E217,$A$5:$A$8,$F$5:$F$8,""),"")</f>
        <v/>
      </c>
      <c r="J217" s="38">
        <f t="shared" si="26"/>
        <v>30</v>
      </c>
      <c r="K217" t="str">
        <f t="shared" si="27"/>
        <v>Per pay period</v>
      </c>
      <c r="L217" t="str">
        <f t="shared" si="28"/>
        <v>Every pay period (ongoing)</v>
      </c>
      <c r="M217" s="39">
        <f t="array" ref="M217">MAX(_xlfn.XLOOKUP($A217,TRIM(SUBSTITUTE('worker file'!$A$2:$A$406,_xlfn.UNICHAR(160)," ")),'worker file'!$M$2:$M$406,0),_xlfn.XLOOKUP($B217,TRIM('pay group &amp; schedule'!$A$2:$A$6),'pay group &amp; schedule'!$D$2:$D$6,0))</f>
        <v>46311</v>
      </c>
      <c r="N217" s="39" t="str">
        <f t="array" ref="N217">_xlfn.LET(_xlpm.t,_xlfn.XLOOKUP($A217,TRIM(SUBSTITUTE('worker file'!$A$2:$A$406,_xlfn.UNICHAR(160)," ")),'worker file'!$N$2:$N$406,""),IF(N(_xlpm.t)=0,"",_xlpm.t))</f>
        <v/>
      </c>
    </row>
    <row r="218" spans="1:14" x14ac:dyDescent="0.2">
      <c r="A218" s="35" t="s">
        <v>174</v>
      </c>
      <c r="B218" s="36" t="str">
        <f t="array" ref="B218">_xlfn.XLOOKUP($A218,TRIM(SUBSTITUTE('worker file'!$A$2:$A$406,_xlfn.UNICHAR(160)," ")),'worker file'!$L$2:$L$406,"Not found")</f>
        <v>US Semi-monthly</v>
      </c>
      <c r="C218" s="36" t="str">
        <f t="array" ref="C218">_xlfn.XLOOKUP($A218,TRIM(SUBSTITUTE('worker file'!$A$2:$A$406,_xlfn.UNICHAR(160)," ")),'worker file'!$D$2:$D$406,"Not found")</f>
        <v>CA</v>
      </c>
      <c r="D218" s="36" t="str">
        <f t="array" ref="D218">_xlfn.XLOOKUP($A218,TRIM(SUBSTITUTE('worker file'!$A$2:$A$406,_xlfn.UNICHAR(160)," ")),'worker file'!$Q$2:$Q$406,"Not found")</f>
        <v>Active</v>
      </c>
      <c r="E218" s="35" t="s">
        <v>618</v>
      </c>
      <c r="F218" t="str">
        <f t="shared" si="23"/>
        <v>401(k) Employee Deferral</v>
      </c>
      <c r="G218" t="str">
        <f t="shared" si="24"/>
        <v>Pre-tax (exempt from FIT/SIT; subject to FICA)</v>
      </c>
      <c r="H218" t="str">
        <f t="shared" si="25"/>
        <v>Percent</v>
      </c>
      <c r="I218" s="37">
        <v>0.04</v>
      </c>
      <c r="J218" s="38" t="str">
        <f t="shared" si="26"/>
        <v/>
      </c>
      <c r="K218" t="str">
        <f t="shared" si="27"/>
        <v>Gross pay</v>
      </c>
      <c r="L218" t="str">
        <f t="shared" si="28"/>
        <v>Every pay period (ongoing)</v>
      </c>
      <c r="M218" s="39">
        <f t="array" ref="M218">MAX(_xlfn.XLOOKUP($A218,TRIM(SUBSTITUTE('worker file'!$A$2:$A$406,_xlfn.UNICHAR(160)," ")),'worker file'!$M$2:$M$406,0),_xlfn.XLOOKUP($B218,TRIM('pay group &amp; schedule'!$A$2:$A$6),'pay group &amp; schedule'!$D$2:$D$6,0))</f>
        <v>46311</v>
      </c>
      <c r="N218" s="39" t="str">
        <f t="array" ref="N218">_xlfn.LET(_xlpm.t,_xlfn.XLOOKUP($A218,TRIM(SUBSTITUTE('worker file'!$A$2:$A$406,_xlfn.UNICHAR(160)," ")),'worker file'!$N$2:$N$406,""),IF(N(_xlpm.t)=0,"",_xlpm.t))</f>
        <v/>
      </c>
    </row>
    <row r="219" spans="1:14" x14ac:dyDescent="0.2">
      <c r="A219" s="35" t="s">
        <v>174</v>
      </c>
      <c r="B219" s="36" t="str">
        <f t="array" ref="B219">_xlfn.XLOOKUP($A219,TRIM(SUBSTITUTE('worker file'!$A$2:$A$406,_xlfn.UNICHAR(160)," ")),'worker file'!$L$2:$L$406,"Not found")</f>
        <v>US Semi-monthly</v>
      </c>
      <c r="C219" s="36" t="str">
        <f t="array" ref="C219">_xlfn.XLOOKUP($A219,TRIM(SUBSTITUTE('worker file'!$A$2:$A$406,_xlfn.UNICHAR(160)," ")),'worker file'!$D$2:$D$406,"Not found")</f>
        <v>CA</v>
      </c>
      <c r="D219" s="36" t="str">
        <f t="array" ref="D219">_xlfn.XLOOKUP($A219,TRIM(SUBSTITUTE('worker file'!$A$2:$A$406,_xlfn.UNICHAR(160)," ")),'worker file'!$Q$2:$Q$406,"Not found")</f>
        <v>Active</v>
      </c>
      <c r="E219" s="35" t="s">
        <v>626</v>
      </c>
      <c r="F219" t="str">
        <f t="shared" si="23"/>
        <v>Medical (Health) – Employee</v>
      </c>
      <c r="G219" t="str">
        <f t="shared" si="24"/>
        <v>Pre-tax Section 125 (exempt from FIT/SIT/FICA)</v>
      </c>
      <c r="H219" t="str">
        <f t="shared" si="25"/>
        <v>Flat</v>
      </c>
      <c r="I219" s="40" t="str">
        <f>IF($H219="Percent",_xlfn.XLOOKUP($E219,$A$5:$A$8,$F$5:$F$8,""),"")</f>
        <v/>
      </c>
      <c r="J219" s="38">
        <f t="shared" si="26"/>
        <v>200</v>
      </c>
      <c r="K219" t="str">
        <f t="shared" si="27"/>
        <v>Per pay period</v>
      </c>
      <c r="L219" t="str">
        <f t="shared" si="28"/>
        <v>Every pay period (ongoing)</v>
      </c>
      <c r="M219" s="39">
        <f t="array" ref="M219">MAX(_xlfn.XLOOKUP($A219,TRIM(SUBSTITUTE('worker file'!$A$2:$A$406,_xlfn.UNICHAR(160)," ")),'worker file'!$M$2:$M$406,0),_xlfn.XLOOKUP($B219,TRIM('pay group &amp; schedule'!$A$2:$A$6),'pay group &amp; schedule'!$D$2:$D$6,0))</f>
        <v>46311</v>
      </c>
      <c r="N219" s="39" t="str">
        <f t="array" ref="N219">_xlfn.LET(_xlpm.t,_xlfn.XLOOKUP($A219,TRIM(SUBSTITUTE('worker file'!$A$2:$A$406,_xlfn.UNICHAR(160)," ")),'worker file'!$N$2:$N$406,""),IF(N(_xlpm.t)=0,"",_xlpm.t))</f>
        <v/>
      </c>
    </row>
    <row r="220" spans="1:14" x14ac:dyDescent="0.2">
      <c r="A220" s="35" t="s">
        <v>174</v>
      </c>
      <c r="B220" s="36" t="str">
        <f t="array" ref="B220">_xlfn.XLOOKUP($A220,TRIM(SUBSTITUTE('worker file'!$A$2:$A$406,_xlfn.UNICHAR(160)," ")),'worker file'!$L$2:$L$406,"Not found")</f>
        <v>US Semi-monthly</v>
      </c>
      <c r="C220" s="36" t="str">
        <f t="array" ref="C220">_xlfn.XLOOKUP($A220,TRIM(SUBSTITUTE('worker file'!$A$2:$A$406,_xlfn.UNICHAR(160)," ")),'worker file'!$D$2:$D$406,"Not found")</f>
        <v>CA</v>
      </c>
      <c r="D220" s="36" t="str">
        <f t="array" ref="D220">_xlfn.XLOOKUP($A220,TRIM(SUBSTITUTE('worker file'!$A$2:$A$406,_xlfn.UNICHAR(160)," ")),'worker file'!$Q$2:$Q$406,"Not found")</f>
        <v>Active</v>
      </c>
      <c r="E220" s="35" t="s">
        <v>632</v>
      </c>
      <c r="F220" t="str">
        <f t="shared" si="23"/>
        <v>Dental – Employee</v>
      </c>
      <c r="G220" t="str">
        <f t="shared" si="24"/>
        <v>Pre-tax Section 125 (exempt from FIT/SIT/FICA)</v>
      </c>
      <c r="H220" t="str">
        <f t="shared" si="25"/>
        <v>Flat</v>
      </c>
      <c r="I220" s="40" t="str">
        <f>IF($H220="Percent",_xlfn.XLOOKUP($E220,$A$5:$A$8,$F$5:$F$8,""),"")</f>
        <v/>
      </c>
      <c r="J220" s="38">
        <f t="shared" si="26"/>
        <v>44</v>
      </c>
      <c r="K220" t="str">
        <f t="shared" si="27"/>
        <v>Per pay period</v>
      </c>
      <c r="L220" t="str">
        <f t="shared" si="28"/>
        <v>Every pay period (ongoing)</v>
      </c>
      <c r="M220" s="39">
        <f t="array" ref="M220">MAX(_xlfn.XLOOKUP($A220,TRIM(SUBSTITUTE('worker file'!$A$2:$A$406,_xlfn.UNICHAR(160)," ")),'worker file'!$M$2:$M$406,0),_xlfn.XLOOKUP($B220,TRIM('pay group &amp; schedule'!$A$2:$A$6),'pay group &amp; schedule'!$D$2:$D$6,0))</f>
        <v>46311</v>
      </c>
      <c r="N220" s="39" t="str">
        <f t="array" ref="N220">_xlfn.LET(_xlpm.t,_xlfn.XLOOKUP($A220,TRIM(SUBSTITUTE('worker file'!$A$2:$A$406,_xlfn.UNICHAR(160)," ")),'worker file'!$N$2:$N$406,""),IF(N(_xlpm.t)=0,"",_xlpm.t))</f>
        <v/>
      </c>
    </row>
    <row r="221" spans="1:14" x14ac:dyDescent="0.2">
      <c r="A221" s="35" t="s">
        <v>174</v>
      </c>
      <c r="B221" s="36" t="str">
        <f t="array" ref="B221">_xlfn.XLOOKUP($A221,TRIM(SUBSTITUTE('worker file'!$A$2:$A$406,_xlfn.UNICHAR(160)," ")),'worker file'!$L$2:$L$406,"Not found")</f>
        <v>US Semi-monthly</v>
      </c>
      <c r="C221" s="36" t="str">
        <f t="array" ref="C221">_xlfn.XLOOKUP($A221,TRIM(SUBSTITUTE('worker file'!$A$2:$A$406,_xlfn.UNICHAR(160)," ")),'worker file'!$D$2:$D$406,"Not found")</f>
        <v>CA</v>
      </c>
      <c r="D221" s="36" t="str">
        <f t="array" ref="D221">_xlfn.XLOOKUP($A221,TRIM(SUBSTITUTE('worker file'!$A$2:$A$406,_xlfn.UNICHAR(160)," ")),'worker file'!$Q$2:$Q$406,"Not found")</f>
        <v>Active</v>
      </c>
      <c r="E221" s="35" t="s">
        <v>634</v>
      </c>
      <c r="F221" t="str">
        <f t="shared" si="23"/>
        <v>Vision – Employee</v>
      </c>
      <c r="G221" t="str">
        <f t="shared" si="24"/>
        <v>Pre-tax Section 125 (exempt from FIT/SIT/FICA)</v>
      </c>
      <c r="H221" t="str">
        <f t="shared" si="25"/>
        <v>Flat</v>
      </c>
      <c r="I221" s="40" t="str">
        <f>IF($H221="Percent",_xlfn.XLOOKUP($E221,$A$5:$A$8,$F$5:$F$8,""),"")</f>
        <v/>
      </c>
      <c r="J221" s="38">
        <f t="shared" si="26"/>
        <v>30</v>
      </c>
      <c r="K221" t="str">
        <f t="shared" si="27"/>
        <v>Per pay period</v>
      </c>
      <c r="L221" t="str">
        <f t="shared" si="28"/>
        <v>Every pay period (ongoing)</v>
      </c>
      <c r="M221" s="39">
        <f t="array" ref="M221">MAX(_xlfn.XLOOKUP($A221,TRIM(SUBSTITUTE('worker file'!$A$2:$A$406,_xlfn.UNICHAR(160)," ")),'worker file'!$M$2:$M$406,0),_xlfn.XLOOKUP($B221,TRIM('pay group &amp; schedule'!$A$2:$A$6),'pay group &amp; schedule'!$D$2:$D$6,0))</f>
        <v>46311</v>
      </c>
      <c r="N221" s="39" t="str">
        <f t="array" ref="N221">_xlfn.LET(_xlpm.t,_xlfn.XLOOKUP($A221,TRIM(SUBSTITUTE('worker file'!$A$2:$A$406,_xlfn.UNICHAR(160)," ")),'worker file'!$N$2:$N$406,""),IF(N(_xlpm.t)=0,"",_xlpm.t))</f>
        <v/>
      </c>
    </row>
    <row r="222" spans="1:14" x14ac:dyDescent="0.2">
      <c r="A222" s="35" t="s">
        <v>175</v>
      </c>
      <c r="B222" s="36" t="str">
        <f t="array" ref="B222">_xlfn.XLOOKUP($A222,TRIM(SUBSTITUTE('worker file'!$A$2:$A$406,_xlfn.UNICHAR(160)," ")),'worker file'!$L$2:$L$406,"Not found")</f>
        <v>US Semi-monthly</v>
      </c>
      <c r="C222" s="36" t="str">
        <f t="array" ref="C222">_xlfn.XLOOKUP($A222,TRIM(SUBSTITUTE('worker file'!$A$2:$A$406,_xlfn.UNICHAR(160)," ")),'worker file'!$D$2:$D$406,"Not found")</f>
        <v>CA</v>
      </c>
      <c r="D222" s="36" t="str">
        <f t="array" ref="D222">_xlfn.XLOOKUP($A222,TRIM(SUBSTITUTE('worker file'!$A$2:$A$406,_xlfn.UNICHAR(160)," ")),'worker file'!$Q$2:$Q$406,"Not found")</f>
        <v>Active</v>
      </c>
      <c r="E222" s="35" t="s">
        <v>618</v>
      </c>
      <c r="F222" t="str">
        <f t="shared" si="23"/>
        <v>401(k) Employee Deferral</v>
      </c>
      <c r="G222" t="str">
        <f t="shared" si="24"/>
        <v>Pre-tax (exempt from FIT/SIT; subject to FICA)</v>
      </c>
      <c r="H222" t="str">
        <f t="shared" si="25"/>
        <v>Percent</v>
      </c>
      <c r="I222" s="37">
        <v>0.01</v>
      </c>
      <c r="J222" s="38" t="str">
        <f t="shared" si="26"/>
        <v/>
      </c>
      <c r="K222" t="str">
        <f t="shared" si="27"/>
        <v>Gross pay</v>
      </c>
      <c r="L222" t="str">
        <f t="shared" si="28"/>
        <v>Every pay period (ongoing)</v>
      </c>
      <c r="M222" s="39">
        <f t="array" ref="M222">MAX(_xlfn.XLOOKUP($A222,TRIM(SUBSTITUTE('worker file'!$A$2:$A$406,_xlfn.UNICHAR(160)," ")),'worker file'!$M$2:$M$406,0),_xlfn.XLOOKUP($B222,TRIM('pay group &amp; schedule'!$A$2:$A$6),'pay group &amp; schedule'!$D$2:$D$6,0))</f>
        <v>46311</v>
      </c>
      <c r="N222" s="39" t="str">
        <f t="array" ref="N222">_xlfn.LET(_xlpm.t,_xlfn.XLOOKUP($A222,TRIM(SUBSTITUTE('worker file'!$A$2:$A$406,_xlfn.UNICHAR(160)," ")),'worker file'!$N$2:$N$406,""),IF(N(_xlpm.t)=0,"",_xlpm.t))</f>
        <v/>
      </c>
    </row>
    <row r="223" spans="1:14" x14ac:dyDescent="0.2">
      <c r="A223" s="35" t="s">
        <v>175</v>
      </c>
      <c r="B223" s="36" t="str">
        <f t="array" ref="B223">_xlfn.XLOOKUP($A223,TRIM(SUBSTITUTE('worker file'!$A$2:$A$406,_xlfn.UNICHAR(160)," ")),'worker file'!$L$2:$L$406,"Not found")</f>
        <v>US Semi-monthly</v>
      </c>
      <c r="C223" s="36" t="str">
        <f t="array" ref="C223">_xlfn.XLOOKUP($A223,TRIM(SUBSTITUTE('worker file'!$A$2:$A$406,_xlfn.UNICHAR(160)," ")),'worker file'!$D$2:$D$406,"Not found")</f>
        <v>CA</v>
      </c>
      <c r="D223" s="36" t="str">
        <f t="array" ref="D223">_xlfn.XLOOKUP($A223,TRIM(SUBSTITUTE('worker file'!$A$2:$A$406,_xlfn.UNICHAR(160)," ")),'worker file'!$Q$2:$Q$406,"Not found")</f>
        <v>Active</v>
      </c>
      <c r="E223" s="35" t="s">
        <v>626</v>
      </c>
      <c r="F223" t="str">
        <f t="shared" si="23"/>
        <v>Medical (Health) – Employee</v>
      </c>
      <c r="G223" t="str">
        <f t="shared" si="24"/>
        <v>Pre-tax Section 125 (exempt from FIT/SIT/FICA)</v>
      </c>
      <c r="H223" t="str">
        <f t="shared" si="25"/>
        <v>Flat</v>
      </c>
      <c r="I223" s="40" t="str">
        <f>IF($H223="Percent",_xlfn.XLOOKUP($E223,$A$5:$A$8,$F$5:$F$8,""),"")</f>
        <v/>
      </c>
      <c r="J223" s="38">
        <f t="shared" si="26"/>
        <v>200</v>
      </c>
      <c r="K223" t="str">
        <f t="shared" si="27"/>
        <v>Per pay period</v>
      </c>
      <c r="L223" t="str">
        <f t="shared" si="28"/>
        <v>Every pay period (ongoing)</v>
      </c>
      <c r="M223" s="39">
        <f t="array" ref="M223">MAX(_xlfn.XLOOKUP($A223,TRIM(SUBSTITUTE('worker file'!$A$2:$A$406,_xlfn.UNICHAR(160)," ")),'worker file'!$M$2:$M$406,0),_xlfn.XLOOKUP($B223,TRIM('pay group &amp; schedule'!$A$2:$A$6),'pay group &amp; schedule'!$D$2:$D$6,0))</f>
        <v>46311</v>
      </c>
      <c r="N223" s="39" t="str">
        <f t="array" ref="N223">_xlfn.LET(_xlpm.t,_xlfn.XLOOKUP($A223,TRIM(SUBSTITUTE('worker file'!$A$2:$A$406,_xlfn.UNICHAR(160)," ")),'worker file'!$N$2:$N$406,""),IF(N(_xlpm.t)=0,"",_xlpm.t))</f>
        <v/>
      </c>
    </row>
    <row r="224" spans="1:14" x14ac:dyDescent="0.2">
      <c r="A224" s="35" t="s">
        <v>175</v>
      </c>
      <c r="B224" s="36" t="str">
        <f t="array" ref="B224">_xlfn.XLOOKUP($A224,TRIM(SUBSTITUTE('worker file'!$A$2:$A$406,_xlfn.UNICHAR(160)," ")),'worker file'!$L$2:$L$406,"Not found")</f>
        <v>US Semi-monthly</v>
      </c>
      <c r="C224" s="36" t="str">
        <f t="array" ref="C224">_xlfn.XLOOKUP($A224,TRIM(SUBSTITUTE('worker file'!$A$2:$A$406,_xlfn.UNICHAR(160)," ")),'worker file'!$D$2:$D$406,"Not found")</f>
        <v>CA</v>
      </c>
      <c r="D224" s="36" t="str">
        <f t="array" ref="D224">_xlfn.XLOOKUP($A224,TRIM(SUBSTITUTE('worker file'!$A$2:$A$406,_xlfn.UNICHAR(160)," ")),'worker file'!$Q$2:$Q$406,"Not found")</f>
        <v>Active</v>
      </c>
      <c r="E224" s="35" t="s">
        <v>632</v>
      </c>
      <c r="F224" t="str">
        <f t="shared" si="23"/>
        <v>Dental – Employee</v>
      </c>
      <c r="G224" t="str">
        <f t="shared" si="24"/>
        <v>Pre-tax Section 125 (exempt from FIT/SIT/FICA)</v>
      </c>
      <c r="H224" t="str">
        <f t="shared" si="25"/>
        <v>Flat</v>
      </c>
      <c r="I224" s="40" t="str">
        <f>IF($H224="Percent",_xlfn.XLOOKUP($E224,$A$5:$A$8,$F$5:$F$8,""),"")</f>
        <v/>
      </c>
      <c r="J224" s="38">
        <f t="shared" si="26"/>
        <v>44</v>
      </c>
      <c r="K224" t="str">
        <f t="shared" si="27"/>
        <v>Per pay period</v>
      </c>
      <c r="L224" t="str">
        <f t="shared" si="28"/>
        <v>Every pay period (ongoing)</v>
      </c>
      <c r="M224" s="39">
        <f t="array" ref="M224">MAX(_xlfn.XLOOKUP($A224,TRIM(SUBSTITUTE('worker file'!$A$2:$A$406,_xlfn.UNICHAR(160)," ")),'worker file'!$M$2:$M$406,0),_xlfn.XLOOKUP($B224,TRIM('pay group &amp; schedule'!$A$2:$A$6),'pay group &amp; schedule'!$D$2:$D$6,0))</f>
        <v>46311</v>
      </c>
      <c r="N224" s="39" t="str">
        <f t="array" ref="N224">_xlfn.LET(_xlpm.t,_xlfn.XLOOKUP($A224,TRIM(SUBSTITUTE('worker file'!$A$2:$A$406,_xlfn.UNICHAR(160)," ")),'worker file'!$N$2:$N$406,""),IF(N(_xlpm.t)=0,"",_xlpm.t))</f>
        <v/>
      </c>
    </row>
    <row r="225" spans="1:15" x14ac:dyDescent="0.2">
      <c r="A225" s="35" t="s">
        <v>175</v>
      </c>
      <c r="B225" s="36" t="str">
        <f t="array" ref="B225">_xlfn.XLOOKUP($A225,TRIM(SUBSTITUTE('worker file'!$A$2:$A$406,_xlfn.UNICHAR(160)," ")),'worker file'!$L$2:$L$406,"Not found")</f>
        <v>US Semi-monthly</v>
      </c>
      <c r="C225" s="36" t="str">
        <f t="array" ref="C225">_xlfn.XLOOKUP($A225,TRIM(SUBSTITUTE('worker file'!$A$2:$A$406,_xlfn.UNICHAR(160)," ")),'worker file'!$D$2:$D$406,"Not found")</f>
        <v>CA</v>
      </c>
      <c r="D225" s="36" t="str">
        <f t="array" ref="D225">_xlfn.XLOOKUP($A225,TRIM(SUBSTITUTE('worker file'!$A$2:$A$406,_xlfn.UNICHAR(160)," ")),'worker file'!$Q$2:$Q$406,"Not found")</f>
        <v>Active</v>
      </c>
      <c r="E225" s="35" t="s">
        <v>634</v>
      </c>
      <c r="F225" t="str">
        <f t="shared" si="23"/>
        <v>Vision – Employee</v>
      </c>
      <c r="G225" t="str">
        <f t="shared" si="24"/>
        <v>Pre-tax Section 125 (exempt from FIT/SIT/FICA)</v>
      </c>
      <c r="H225" t="str">
        <f t="shared" si="25"/>
        <v>Flat</v>
      </c>
      <c r="I225" s="40" t="str">
        <f>IF($H225="Percent",_xlfn.XLOOKUP($E225,$A$5:$A$8,$F$5:$F$8,""),"")</f>
        <v/>
      </c>
      <c r="J225" s="38">
        <f t="shared" si="26"/>
        <v>30</v>
      </c>
      <c r="K225" t="str">
        <f t="shared" si="27"/>
        <v>Per pay period</v>
      </c>
      <c r="L225" t="str">
        <f t="shared" si="28"/>
        <v>Every pay period (ongoing)</v>
      </c>
      <c r="M225" s="39">
        <f t="array" ref="M225">MAX(_xlfn.XLOOKUP($A225,TRIM(SUBSTITUTE('worker file'!$A$2:$A$406,_xlfn.UNICHAR(160)," ")),'worker file'!$M$2:$M$406,0),_xlfn.XLOOKUP($B225,TRIM('pay group &amp; schedule'!$A$2:$A$6),'pay group &amp; schedule'!$D$2:$D$6,0))</f>
        <v>46311</v>
      </c>
      <c r="N225" s="39" t="str">
        <f t="array" ref="N225">_xlfn.LET(_xlpm.t,_xlfn.XLOOKUP($A225,TRIM(SUBSTITUTE('worker file'!$A$2:$A$406,_xlfn.UNICHAR(160)," ")),'worker file'!$N$2:$N$406,""),IF(N(_xlpm.t)=0,"",_xlpm.t))</f>
        <v/>
      </c>
    </row>
    <row r="226" spans="1:15" x14ac:dyDescent="0.2">
      <c r="A226" s="35" t="s">
        <v>177</v>
      </c>
      <c r="B226" s="36" t="str">
        <f t="array" ref="B226">_xlfn.XLOOKUP($A226,TRIM(SUBSTITUTE('worker file'!$A$2:$A$406,_xlfn.UNICHAR(160)," ")),'worker file'!$L$2:$L$406,"Not found")</f>
        <v>US Biweekly</v>
      </c>
      <c r="C226" s="36" t="str">
        <f t="array" ref="C226">_xlfn.XLOOKUP($A226,TRIM(SUBSTITUTE('worker file'!$A$2:$A$406,_xlfn.UNICHAR(160)," ")),'worker file'!$D$2:$D$406,"Not found")</f>
        <v>CA</v>
      </c>
      <c r="D226" s="36" t="str">
        <f t="array" ref="D226">_xlfn.XLOOKUP($A226,TRIM(SUBSTITUTE('worker file'!$A$2:$A$406,_xlfn.UNICHAR(160)," ")),'worker file'!$Q$2:$Q$406,"Not found")</f>
        <v>Termination pending</v>
      </c>
      <c r="E226" s="35" t="s">
        <v>618</v>
      </c>
      <c r="F226" t="str">
        <f t="shared" si="23"/>
        <v>401(k) Employee Deferral</v>
      </c>
      <c r="G226" t="str">
        <f t="shared" si="24"/>
        <v>Pre-tax (exempt from FIT/SIT; subject to FICA)</v>
      </c>
      <c r="H226" t="str">
        <f t="shared" si="25"/>
        <v>Percent</v>
      </c>
      <c r="I226" s="37">
        <v>0.06</v>
      </c>
      <c r="J226" s="38" t="str">
        <f t="shared" si="26"/>
        <v/>
      </c>
      <c r="K226" t="str">
        <f t="shared" si="27"/>
        <v>Gross pay</v>
      </c>
      <c r="L226" t="str">
        <f t="shared" si="28"/>
        <v>Every pay period (ongoing)</v>
      </c>
      <c r="M226" s="39">
        <f t="array" ref="M226">MAX(_xlfn.XLOOKUP($A226,TRIM(SUBSTITUTE('worker file'!$A$2:$A$406,_xlfn.UNICHAR(160)," ")),'worker file'!$M$2:$M$406,0),_xlfn.XLOOKUP($B226,TRIM('pay group &amp; schedule'!$A$2:$A$6),'pay group &amp; schedule'!$D$2:$D$6,0))</f>
        <v>46299</v>
      </c>
      <c r="N226" s="39">
        <f t="array" ref="N226">_xlfn.LET(_xlpm.t,_xlfn.XLOOKUP($A226,TRIM(SUBSTITUTE('worker file'!$A$2:$A$406,_xlfn.UNICHAR(160)," ")),'worker file'!$N$2:$N$406,""),IF(N(_xlpm.t)=0,"",_xlpm.t))</f>
        <v>46312</v>
      </c>
      <c r="O226" t="s">
        <v>644</v>
      </c>
    </row>
    <row r="227" spans="1:15" x14ac:dyDescent="0.2">
      <c r="A227" s="35" t="s">
        <v>177</v>
      </c>
      <c r="B227" s="36" t="str">
        <f t="array" ref="B227">_xlfn.XLOOKUP($A227,TRIM(SUBSTITUTE('worker file'!$A$2:$A$406,_xlfn.UNICHAR(160)," ")),'worker file'!$L$2:$L$406,"Not found")</f>
        <v>US Biweekly</v>
      </c>
      <c r="C227" s="36" t="str">
        <f t="array" ref="C227">_xlfn.XLOOKUP($A227,TRIM(SUBSTITUTE('worker file'!$A$2:$A$406,_xlfn.UNICHAR(160)," ")),'worker file'!$D$2:$D$406,"Not found")</f>
        <v>CA</v>
      </c>
      <c r="D227" s="36" t="str">
        <f t="array" ref="D227">_xlfn.XLOOKUP($A227,TRIM(SUBSTITUTE('worker file'!$A$2:$A$406,_xlfn.UNICHAR(160)," ")),'worker file'!$Q$2:$Q$406,"Not found")</f>
        <v>Termination pending</v>
      </c>
      <c r="E227" s="35" t="s">
        <v>626</v>
      </c>
      <c r="F227" t="str">
        <f t="shared" si="23"/>
        <v>Medical (Health) – Employee</v>
      </c>
      <c r="G227" t="str">
        <f t="shared" si="24"/>
        <v>Pre-tax Section 125 (exempt from FIT/SIT/FICA)</v>
      </c>
      <c r="H227" t="str">
        <f t="shared" si="25"/>
        <v>Flat</v>
      </c>
      <c r="I227" s="40" t="str">
        <f>IF($H227="Percent",_xlfn.XLOOKUP($E227,$A$5:$A$8,$F$5:$F$8,""),"")</f>
        <v/>
      </c>
      <c r="J227" s="38">
        <f t="shared" si="26"/>
        <v>200</v>
      </c>
      <c r="K227" t="str">
        <f t="shared" si="27"/>
        <v>Per pay period</v>
      </c>
      <c r="L227" t="str">
        <f t="shared" si="28"/>
        <v>Every pay period (ongoing)</v>
      </c>
      <c r="M227" s="39">
        <f t="array" ref="M227">MAX(_xlfn.XLOOKUP($A227,TRIM(SUBSTITUTE('worker file'!$A$2:$A$406,_xlfn.UNICHAR(160)," ")),'worker file'!$M$2:$M$406,0),_xlfn.XLOOKUP($B227,TRIM('pay group &amp; schedule'!$A$2:$A$6),'pay group &amp; schedule'!$D$2:$D$6,0))</f>
        <v>46299</v>
      </c>
      <c r="N227" s="39">
        <f t="array" ref="N227">_xlfn.LET(_xlpm.t,_xlfn.XLOOKUP($A227,TRIM(SUBSTITUTE('worker file'!$A$2:$A$406,_xlfn.UNICHAR(160)," ")),'worker file'!$N$2:$N$406,""),IF(N(_xlpm.t)=0,"",_xlpm.t))</f>
        <v>46312</v>
      </c>
      <c r="O227" t="s">
        <v>644</v>
      </c>
    </row>
    <row r="228" spans="1:15" x14ac:dyDescent="0.2">
      <c r="A228" s="35" t="s">
        <v>177</v>
      </c>
      <c r="B228" s="36" t="str">
        <f t="array" ref="B228">_xlfn.XLOOKUP($A228,TRIM(SUBSTITUTE('worker file'!$A$2:$A$406,_xlfn.UNICHAR(160)," ")),'worker file'!$L$2:$L$406,"Not found")</f>
        <v>US Biweekly</v>
      </c>
      <c r="C228" s="36" t="str">
        <f t="array" ref="C228">_xlfn.XLOOKUP($A228,TRIM(SUBSTITUTE('worker file'!$A$2:$A$406,_xlfn.UNICHAR(160)," ")),'worker file'!$D$2:$D$406,"Not found")</f>
        <v>CA</v>
      </c>
      <c r="D228" s="36" t="str">
        <f t="array" ref="D228">_xlfn.XLOOKUP($A228,TRIM(SUBSTITUTE('worker file'!$A$2:$A$406,_xlfn.UNICHAR(160)," ")),'worker file'!$Q$2:$Q$406,"Not found")</f>
        <v>Termination pending</v>
      </c>
      <c r="E228" s="35" t="s">
        <v>632</v>
      </c>
      <c r="F228" t="str">
        <f t="shared" si="23"/>
        <v>Dental – Employee</v>
      </c>
      <c r="G228" t="str">
        <f t="shared" si="24"/>
        <v>Pre-tax Section 125 (exempt from FIT/SIT/FICA)</v>
      </c>
      <c r="H228" t="str">
        <f t="shared" si="25"/>
        <v>Flat</v>
      </c>
      <c r="I228" s="40" t="str">
        <f>IF($H228="Percent",_xlfn.XLOOKUP($E228,$A$5:$A$8,$F$5:$F$8,""),"")</f>
        <v/>
      </c>
      <c r="J228" s="38">
        <f t="shared" si="26"/>
        <v>44</v>
      </c>
      <c r="K228" t="str">
        <f t="shared" si="27"/>
        <v>Per pay period</v>
      </c>
      <c r="L228" t="str">
        <f t="shared" si="28"/>
        <v>Every pay period (ongoing)</v>
      </c>
      <c r="M228" s="39">
        <f t="array" ref="M228">MAX(_xlfn.XLOOKUP($A228,TRIM(SUBSTITUTE('worker file'!$A$2:$A$406,_xlfn.UNICHAR(160)," ")),'worker file'!$M$2:$M$406,0),_xlfn.XLOOKUP($B228,TRIM('pay group &amp; schedule'!$A$2:$A$6),'pay group &amp; schedule'!$D$2:$D$6,0))</f>
        <v>46299</v>
      </c>
      <c r="N228" s="39">
        <f t="array" ref="N228">_xlfn.LET(_xlpm.t,_xlfn.XLOOKUP($A228,TRIM(SUBSTITUTE('worker file'!$A$2:$A$406,_xlfn.UNICHAR(160)," ")),'worker file'!$N$2:$N$406,""),IF(N(_xlpm.t)=0,"",_xlpm.t))</f>
        <v>46312</v>
      </c>
      <c r="O228" t="s">
        <v>644</v>
      </c>
    </row>
    <row r="229" spans="1:15" x14ac:dyDescent="0.2">
      <c r="A229" s="35" t="s">
        <v>177</v>
      </c>
      <c r="B229" s="36" t="str">
        <f t="array" ref="B229">_xlfn.XLOOKUP($A229,TRIM(SUBSTITUTE('worker file'!$A$2:$A$406,_xlfn.UNICHAR(160)," ")),'worker file'!$L$2:$L$406,"Not found")</f>
        <v>US Biweekly</v>
      </c>
      <c r="C229" s="36" t="str">
        <f t="array" ref="C229">_xlfn.XLOOKUP($A229,TRIM(SUBSTITUTE('worker file'!$A$2:$A$406,_xlfn.UNICHAR(160)," ")),'worker file'!$D$2:$D$406,"Not found")</f>
        <v>CA</v>
      </c>
      <c r="D229" s="36" t="str">
        <f t="array" ref="D229">_xlfn.XLOOKUP($A229,TRIM(SUBSTITUTE('worker file'!$A$2:$A$406,_xlfn.UNICHAR(160)," ")),'worker file'!$Q$2:$Q$406,"Not found")</f>
        <v>Termination pending</v>
      </c>
      <c r="E229" s="35" t="s">
        <v>634</v>
      </c>
      <c r="F229" t="str">
        <f t="shared" si="23"/>
        <v>Vision – Employee</v>
      </c>
      <c r="G229" t="str">
        <f t="shared" si="24"/>
        <v>Pre-tax Section 125 (exempt from FIT/SIT/FICA)</v>
      </c>
      <c r="H229" t="str">
        <f t="shared" si="25"/>
        <v>Flat</v>
      </c>
      <c r="I229" s="40" t="str">
        <f>IF($H229="Percent",_xlfn.XLOOKUP($E229,$A$5:$A$8,$F$5:$F$8,""),"")</f>
        <v/>
      </c>
      <c r="J229" s="38">
        <f t="shared" si="26"/>
        <v>30</v>
      </c>
      <c r="K229" t="str">
        <f t="shared" si="27"/>
        <v>Per pay period</v>
      </c>
      <c r="L229" t="str">
        <f t="shared" si="28"/>
        <v>Every pay period (ongoing)</v>
      </c>
      <c r="M229" s="39">
        <f t="array" ref="M229">MAX(_xlfn.XLOOKUP($A229,TRIM(SUBSTITUTE('worker file'!$A$2:$A$406,_xlfn.UNICHAR(160)," ")),'worker file'!$M$2:$M$406,0),_xlfn.XLOOKUP($B229,TRIM('pay group &amp; schedule'!$A$2:$A$6),'pay group &amp; schedule'!$D$2:$D$6,0))</f>
        <v>46299</v>
      </c>
      <c r="N229" s="39">
        <f t="array" ref="N229">_xlfn.LET(_xlpm.t,_xlfn.XLOOKUP($A229,TRIM(SUBSTITUTE('worker file'!$A$2:$A$406,_xlfn.UNICHAR(160)," ")),'worker file'!$N$2:$N$406,""),IF(N(_xlpm.t)=0,"",_xlpm.t))</f>
        <v>46312</v>
      </c>
      <c r="O229" t="s">
        <v>644</v>
      </c>
    </row>
    <row r="230" spans="1:15" x14ac:dyDescent="0.2">
      <c r="A230" s="35" t="s">
        <v>178</v>
      </c>
      <c r="B230" s="36" t="str">
        <f t="array" ref="B230">_xlfn.XLOOKUP($A230,TRIM(SUBSTITUTE('worker file'!$A$2:$A$406,_xlfn.UNICHAR(160)," ")),'worker file'!$L$2:$L$406,"Not found")</f>
        <v>US Semi-monthly</v>
      </c>
      <c r="C230" s="36" t="str">
        <f t="array" ref="C230">_xlfn.XLOOKUP($A230,TRIM(SUBSTITUTE('worker file'!$A$2:$A$406,_xlfn.UNICHAR(160)," ")),'worker file'!$D$2:$D$406,"Not found")</f>
        <v>TX</v>
      </c>
      <c r="D230" s="36" t="str">
        <f t="array" ref="D230">_xlfn.XLOOKUP($A230,TRIM(SUBSTITUTE('worker file'!$A$2:$A$406,_xlfn.UNICHAR(160)," ")),'worker file'!$Q$2:$Q$406,"Not found")</f>
        <v>Active</v>
      </c>
      <c r="E230" s="35" t="s">
        <v>618</v>
      </c>
      <c r="F230" t="str">
        <f t="shared" si="23"/>
        <v>401(k) Employee Deferral</v>
      </c>
      <c r="G230" t="str">
        <f t="shared" si="24"/>
        <v>Pre-tax (exempt from FIT/SIT; subject to FICA)</v>
      </c>
      <c r="H230" t="str">
        <f t="shared" si="25"/>
        <v>Percent</v>
      </c>
      <c r="I230" s="37">
        <v>0.03</v>
      </c>
      <c r="J230" s="38" t="str">
        <f t="shared" si="26"/>
        <v/>
      </c>
      <c r="K230" t="str">
        <f t="shared" si="27"/>
        <v>Gross pay</v>
      </c>
      <c r="L230" t="str">
        <f t="shared" si="28"/>
        <v>Every pay period (ongoing)</v>
      </c>
      <c r="M230" s="39">
        <f t="array" ref="M230">MAX(_xlfn.XLOOKUP($A230,TRIM(SUBSTITUTE('worker file'!$A$2:$A$406,_xlfn.UNICHAR(160)," ")),'worker file'!$M$2:$M$406,0),_xlfn.XLOOKUP($B230,TRIM('pay group &amp; schedule'!$A$2:$A$6),'pay group &amp; schedule'!$D$2:$D$6,0))</f>
        <v>46311</v>
      </c>
      <c r="N230" s="39" t="str">
        <f t="array" ref="N230">_xlfn.LET(_xlpm.t,_xlfn.XLOOKUP($A230,TRIM(SUBSTITUTE('worker file'!$A$2:$A$406,_xlfn.UNICHAR(160)," ")),'worker file'!$N$2:$N$406,""),IF(N(_xlpm.t)=0,"",_xlpm.t))</f>
        <v/>
      </c>
    </row>
    <row r="231" spans="1:15" x14ac:dyDescent="0.2">
      <c r="A231" s="35" t="s">
        <v>178</v>
      </c>
      <c r="B231" s="36" t="str">
        <f t="array" ref="B231">_xlfn.XLOOKUP($A231,TRIM(SUBSTITUTE('worker file'!$A$2:$A$406,_xlfn.UNICHAR(160)," ")),'worker file'!$L$2:$L$406,"Not found")</f>
        <v>US Semi-monthly</v>
      </c>
      <c r="C231" s="36" t="str">
        <f t="array" ref="C231">_xlfn.XLOOKUP($A231,TRIM(SUBSTITUTE('worker file'!$A$2:$A$406,_xlfn.UNICHAR(160)," ")),'worker file'!$D$2:$D$406,"Not found")</f>
        <v>TX</v>
      </c>
      <c r="D231" s="36" t="str">
        <f t="array" ref="D231">_xlfn.XLOOKUP($A231,TRIM(SUBSTITUTE('worker file'!$A$2:$A$406,_xlfn.UNICHAR(160)," ")),'worker file'!$Q$2:$Q$406,"Not found")</f>
        <v>Active</v>
      </c>
      <c r="E231" s="35" t="s">
        <v>626</v>
      </c>
      <c r="F231" t="str">
        <f t="shared" si="23"/>
        <v>Medical (Health) – Employee</v>
      </c>
      <c r="G231" t="str">
        <f t="shared" si="24"/>
        <v>Pre-tax Section 125 (exempt from FIT/SIT/FICA)</v>
      </c>
      <c r="H231" t="str">
        <f t="shared" si="25"/>
        <v>Flat</v>
      </c>
      <c r="I231" s="40" t="str">
        <f>IF($H231="Percent",_xlfn.XLOOKUP($E231,$A$5:$A$8,$F$5:$F$8,""),"")</f>
        <v/>
      </c>
      <c r="J231" s="38">
        <f t="shared" si="26"/>
        <v>200</v>
      </c>
      <c r="K231" t="str">
        <f t="shared" si="27"/>
        <v>Per pay period</v>
      </c>
      <c r="L231" t="str">
        <f t="shared" si="28"/>
        <v>Every pay period (ongoing)</v>
      </c>
      <c r="M231" s="39">
        <f t="array" ref="M231">MAX(_xlfn.XLOOKUP($A231,TRIM(SUBSTITUTE('worker file'!$A$2:$A$406,_xlfn.UNICHAR(160)," ")),'worker file'!$M$2:$M$406,0),_xlfn.XLOOKUP($B231,TRIM('pay group &amp; schedule'!$A$2:$A$6),'pay group &amp; schedule'!$D$2:$D$6,0))</f>
        <v>46311</v>
      </c>
      <c r="N231" s="39" t="str">
        <f t="array" ref="N231">_xlfn.LET(_xlpm.t,_xlfn.XLOOKUP($A231,TRIM(SUBSTITUTE('worker file'!$A$2:$A$406,_xlfn.UNICHAR(160)," ")),'worker file'!$N$2:$N$406,""),IF(N(_xlpm.t)=0,"",_xlpm.t))</f>
        <v/>
      </c>
    </row>
    <row r="232" spans="1:15" x14ac:dyDescent="0.2">
      <c r="A232" s="35" t="s">
        <v>178</v>
      </c>
      <c r="B232" s="36" t="str">
        <f t="array" ref="B232">_xlfn.XLOOKUP($A232,TRIM(SUBSTITUTE('worker file'!$A$2:$A$406,_xlfn.UNICHAR(160)," ")),'worker file'!$L$2:$L$406,"Not found")</f>
        <v>US Semi-monthly</v>
      </c>
      <c r="C232" s="36" t="str">
        <f t="array" ref="C232">_xlfn.XLOOKUP($A232,TRIM(SUBSTITUTE('worker file'!$A$2:$A$406,_xlfn.UNICHAR(160)," ")),'worker file'!$D$2:$D$406,"Not found")</f>
        <v>TX</v>
      </c>
      <c r="D232" s="36" t="str">
        <f t="array" ref="D232">_xlfn.XLOOKUP($A232,TRIM(SUBSTITUTE('worker file'!$A$2:$A$406,_xlfn.UNICHAR(160)," ")),'worker file'!$Q$2:$Q$406,"Not found")</f>
        <v>Active</v>
      </c>
      <c r="E232" s="35" t="s">
        <v>632</v>
      </c>
      <c r="F232" t="str">
        <f t="shared" si="23"/>
        <v>Dental – Employee</v>
      </c>
      <c r="G232" t="str">
        <f t="shared" si="24"/>
        <v>Pre-tax Section 125 (exempt from FIT/SIT/FICA)</v>
      </c>
      <c r="H232" t="str">
        <f t="shared" si="25"/>
        <v>Flat</v>
      </c>
      <c r="I232" s="40" t="str">
        <f>IF($H232="Percent",_xlfn.XLOOKUP($E232,$A$5:$A$8,$F$5:$F$8,""),"")</f>
        <v/>
      </c>
      <c r="J232" s="38">
        <f t="shared" si="26"/>
        <v>44</v>
      </c>
      <c r="K232" t="str">
        <f t="shared" si="27"/>
        <v>Per pay period</v>
      </c>
      <c r="L232" t="str">
        <f t="shared" si="28"/>
        <v>Every pay period (ongoing)</v>
      </c>
      <c r="M232" s="39">
        <f t="array" ref="M232">MAX(_xlfn.XLOOKUP($A232,TRIM(SUBSTITUTE('worker file'!$A$2:$A$406,_xlfn.UNICHAR(160)," ")),'worker file'!$M$2:$M$406,0),_xlfn.XLOOKUP($B232,TRIM('pay group &amp; schedule'!$A$2:$A$6),'pay group &amp; schedule'!$D$2:$D$6,0))</f>
        <v>46311</v>
      </c>
      <c r="N232" s="39" t="str">
        <f t="array" ref="N232">_xlfn.LET(_xlpm.t,_xlfn.XLOOKUP($A232,TRIM(SUBSTITUTE('worker file'!$A$2:$A$406,_xlfn.UNICHAR(160)," ")),'worker file'!$N$2:$N$406,""),IF(N(_xlpm.t)=0,"",_xlpm.t))</f>
        <v/>
      </c>
    </row>
    <row r="233" spans="1:15" x14ac:dyDescent="0.2">
      <c r="A233" s="35" t="s">
        <v>178</v>
      </c>
      <c r="B233" s="36" t="str">
        <f t="array" ref="B233">_xlfn.XLOOKUP($A233,TRIM(SUBSTITUTE('worker file'!$A$2:$A$406,_xlfn.UNICHAR(160)," ")),'worker file'!$L$2:$L$406,"Not found")</f>
        <v>US Semi-monthly</v>
      </c>
      <c r="C233" s="36" t="str">
        <f t="array" ref="C233">_xlfn.XLOOKUP($A233,TRIM(SUBSTITUTE('worker file'!$A$2:$A$406,_xlfn.UNICHAR(160)," ")),'worker file'!$D$2:$D$406,"Not found")</f>
        <v>TX</v>
      </c>
      <c r="D233" s="36" t="str">
        <f t="array" ref="D233">_xlfn.XLOOKUP($A233,TRIM(SUBSTITUTE('worker file'!$A$2:$A$406,_xlfn.UNICHAR(160)," ")),'worker file'!$Q$2:$Q$406,"Not found")</f>
        <v>Active</v>
      </c>
      <c r="E233" s="35" t="s">
        <v>634</v>
      </c>
      <c r="F233" t="str">
        <f t="shared" si="23"/>
        <v>Vision – Employee</v>
      </c>
      <c r="G233" t="str">
        <f t="shared" si="24"/>
        <v>Pre-tax Section 125 (exempt from FIT/SIT/FICA)</v>
      </c>
      <c r="H233" t="str">
        <f t="shared" si="25"/>
        <v>Flat</v>
      </c>
      <c r="I233" s="40" t="str">
        <f>IF($H233="Percent",_xlfn.XLOOKUP($E233,$A$5:$A$8,$F$5:$F$8,""),"")</f>
        <v/>
      </c>
      <c r="J233" s="38">
        <f t="shared" si="26"/>
        <v>30</v>
      </c>
      <c r="K233" t="str">
        <f t="shared" si="27"/>
        <v>Per pay period</v>
      </c>
      <c r="L233" t="str">
        <f t="shared" si="28"/>
        <v>Every pay period (ongoing)</v>
      </c>
      <c r="M233" s="39">
        <f t="array" ref="M233">MAX(_xlfn.XLOOKUP($A233,TRIM(SUBSTITUTE('worker file'!$A$2:$A$406,_xlfn.UNICHAR(160)," ")),'worker file'!$M$2:$M$406,0),_xlfn.XLOOKUP($B233,TRIM('pay group &amp; schedule'!$A$2:$A$6),'pay group &amp; schedule'!$D$2:$D$6,0))</f>
        <v>46311</v>
      </c>
      <c r="N233" s="39" t="str">
        <f t="array" ref="N233">_xlfn.LET(_xlpm.t,_xlfn.XLOOKUP($A233,TRIM(SUBSTITUTE('worker file'!$A$2:$A$406,_xlfn.UNICHAR(160)," ")),'worker file'!$N$2:$N$406,""),IF(N(_xlpm.t)=0,"",_xlpm.t))</f>
        <v/>
      </c>
    </row>
    <row r="234" spans="1:15" x14ac:dyDescent="0.2">
      <c r="A234" s="35" t="s">
        <v>181</v>
      </c>
      <c r="B234" s="36" t="str">
        <f t="array" ref="B234">_xlfn.XLOOKUP($A234,TRIM(SUBSTITUTE('worker file'!$A$2:$A$406,_xlfn.UNICHAR(160)," ")),'worker file'!$L$2:$L$406,"Not found")</f>
        <v>US Semi-monthly</v>
      </c>
      <c r="C234" s="36" t="str">
        <f t="array" ref="C234">_xlfn.XLOOKUP($A234,TRIM(SUBSTITUTE('worker file'!$A$2:$A$406,_xlfn.UNICHAR(160)," ")),'worker file'!$D$2:$D$406,"Not found")</f>
        <v>NY</v>
      </c>
      <c r="D234" s="36" t="str">
        <f t="array" ref="D234">_xlfn.XLOOKUP($A234,TRIM(SUBSTITUTE('worker file'!$A$2:$A$406,_xlfn.UNICHAR(160)," ")),'worker file'!$Q$2:$Q$406,"Not found")</f>
        <v>Active</v>
      </c>
      <c r="E234" s="35" t="s">
        <v>618</v>
      </c>
      <c r="F234" t="str">
        <f t="shared" si="23"/>
        <v>401(k) Employee Deferral</v>
      </c>
      <c r="G234" t="str">
        <f t="shared" si="24"/>
        <v>Pre-tax (exempt from FIT/SIT; subject to FICA)</v>
      </c>
      <c r="H234" t="str">
        <f t="shared" si="25"/>
        <v>Percent</v>
      </c>
      <c r="I234" s="37">
        <v>0</v>
      </c>
      <c r="J234" s="38" t="str">
        <f t="shared" si="26"/>
        <v/>
      </c>
      <c r="K234" t="str">
        <f t="shared" si="27"/>
        <v>Gross pay</v>
      </c>
      <c r="L234" t="str">
        <f t="shared" si="28"/>
        <v>Every pay period (ongoing)</v>
      </c>
      <c r="M234" s="39">
        <f t="array" ref="M234">MAX(_xlfn.XLOOKUP($A234,TRIM(SUBSTITUTE('worker file'!$A$2:$A$406,_xlfn.UNICHAR(160)," ")),'worker file'!$M$2:$M$406,0),_xlfn.XLOOKUP($B234,TRIM('pay group &amp; schedule'!$A$2:$A$6),'pay group &amp; schedule'!$D$2:$D$6,0))</f>
        <v>46311</v>
      </c>
      <c r="N234" s="39" t="str">
        <f t="array" ref="N234">_xlfn.LET(_xlpm.t,_xlfn.XLOOKUP($A234,TRIM(SUBSTITUTE('worker file'!$A$2:$A$406,_xlfn.UNICHAR(160)," ")),'worker file'!$N$2:$N$406,""),IF(N(_xlpm.t)=0,"",_xlpm.t))</f>
        <v/>
      </c>
    </row>
    <row r="235" spans="1:15" x14ac:dyDescent="0.2">
      <c r="A235" s="35" t="s">
        <v>181</v>
      </c>
      <c r="B235" s="36" t="str">
        <f t="array" ref="B235">_xlfn.XLOOKUP($A235,TRIM(SUBSTITUTE('worker file'!$A$2:$A$406,_xlfn.UNICHAR(160)," ")),'worker file'!$L$2:$L$406,"Not found")</f>
        <v>US Semi-monthly</v>
      </c>
      <c r="C235" s="36" t="str">
        <f t="array" ref="C235">_xlfn.XLOOKUP($A235,TRIM(SUBSTITUTE('worker file'!$A$2:$A$406,_xlfn.UNICHAR(160)," ")),'worker file'!$D$2:$D$406,"Not found")</f>
        <v>NY</v>
      </c>
      <c r="D235" s="36" t="str">
        <f t="array" ref="D235">_xlfn.XLOOKUP($A235,TRIM(SUBSTITUTE('worker file'!$A$2:$A$406,_xlfn.UNICHAR(160)," ")),'worker file'!$Q$2:$Q$406,"Not found")</f>
        <v>Active</v>
      </c>
      <c r="E235" s="35" t="s">
        <v>626</v>
      </c>
      <c r="F235" t="str">
        <f t="shared" si="23"/>
        <v>Medical (Health) – Employee</v>
      </c>
      <c r="G235" t="str">
        <f t="shared" si="24"/>
        <v>Pre-tax Section 125 (exempt from FIT/SIT/FICA)</v>
      </c>
      <c r="H235" t="str">
        <f t="shared" si="25"/>
        <v>Flat</v>
      </c>
      <c r="I235" s="40" t="str">
        <f>IF($H235="Percent",_xlfn.XLOOKUP($E235,$A$5:$A$8,$F$5:$F$8,""),"")</f>
        <v/>
      </c>
      <c r="J235" s="38">
        <f t="shared" si="26"/>
        <v>200</v>
      </c>
      <c r="K235" t="str">
        <f t="shared" si="27"/>
        <v>Per pay period</v>
      </c>
      <c r="L235" t="str">
        <f t="shared" si="28"/>
        <v>Every pay period (ongoing)</v>
      </c>
      <c r="M235" s="39">
        <f t="array" ref="M235">MAX(_xlfn.XLOOKUP($A235,TRIM(SUBSTITUTE('worker file'!$A$2:$A$406,_xlfn.UNICHAR(160)," ")),'worker file'!$M$2:$M$406,0),_xlfn.XLOOKUP($B235,TRIM('pay group &amp; schedule'!$A$2:$A$6),'pay group &amp; schedule'!$D$2:$D$6,0))</f>
        <v>46311</v>
      </c>
      <c r="N235" s="39" t="str">
        <f t="array" ref="N235">_xlfn.LET(_xlpm.t,_xlfn.XLOOKUP($A235,TRIM(SUBSTITUTE('worker file'!$A$2:$A$406,_xlfn.UNICHAR(160)," ")),'worker file'!$N$2:$N$406,""),IF(N(_xlpm.t)=0,"",_xlpm.t))</f>
        <v/>
      </c>
    </row>
    <row r="236" spans="1:15" x14ac:dyDescent="0.2">
      <c r="A236" s="35" t="s">
        <v>181</v>
      </c>
      <c r="B236" s="36" t="str">
        <f t="array" ref="B236">_xlfn.XLOOKUP($A236,TRIM(SUBSTITUTE('worker file'!$A$2:$A$406,_xlfn.UNICHAR(160)," ")),'worker file'!$L$2:$L$406,"Not found")</f>
        <v>US Semi-monthly</v>
      </c>
      <c r="C236" s="36" t="str">
        <f t="array" ref="C236">_xlfn.XLOOKUP($A236,TRIM(SUBSTITUTE('worker file'!$A$2:$A$406,_xlfn.UNICHAR(160)," ")),'worker file'!$D$2:$D$406,"Not found")</f>
        <v>NY</v>
      </c>
      <c r="D236" s="36" t="str">
        <f t="array" ref="D236">_xlfn.XLOOKUP($A236,TRIM(SUBSTITUTE('worker file'!$A$2:$A$406,_xlfn.UNICHAR(160)," ")),'worker file'!$Q$2:$Q$406,"Not found")</f>
        <v>Active</v>
      </c>
      <c r="E236" s="35" t="s">
        <v>632</v>
      </c>
      <c r="F236" t="str">
        <f t="shared" si="23"/>
        <v>Dental – Employee</v>
      </c>
      <c r="G236" t="str">
        <f t="shared" si="24"/>
        <v>Pre-tax Section 125 (exempt from FIT/SIT/FICA)</v>
      </c>
      <c r="H236" t="str">
        <f t="shared" si="25"/>
        <v>Flat</v>
      </c>
      <c r="I236" s="40" t="str">
        <f>IF($H236="Percent",_xlfn.XLOOKUP($E236,$A$5:$A$8,$F$5:$F$8,""),"")</f>
        <v/>
      </c>
      <c r="J236" s="38">
        <f t="shared" si="26"/>
        <v>44</v>
      </c>
      <c r="K236" t="str">
        <f t="shared" si="27"/>
        <v>Per pay period</v>
      </c>
      <c r="L236" t="str">
        <f t="shared" si="28"/>
        <v>Every pay period (ongoing)</v>
      </c>
      <c r="M236" s="39">
        <f t="array" ref="M236">MAX(_xlfn.XLOOKUP($A236,TRIM(SUBSTITUTE('worker file'!$A$2:$A$406,_xlfn.UNICHAR(160)," ")),'worker file'!$M$2:$M$406,0),_xlfn.XLOOKUP($B236,TRIM('pay group &amp; schedule'!$A$2:$A$6),'pay group &amp; schedule'!$D$2:$D$6,0))</f>
        <v>46311</v>
      </c>
      <c r="N236" s="39" t="str">
        <f t="array" ref="N236">_xlfn.LET(_xlpm.t,_xlfn.XLOOKUP($A236,TRIM(SUBSTITUTE('worker file'!$A$2:$A$406,_xlfn.UNICHAR(160)," ")),'worker file'!$N$2:$N$406,""),IF(N(_xlpm.t)=0,"",_xlpm.t))</f>
        <v/>
      </c>
    </row>
    <row r="237" spans="1:15" x14ac:dyDescent="0.2">
      <c r="A237" s="35" t="s">
        <v>181</v>
      </c>
      <c r="B237" s="36" t="str">
        <f t="array" ref="B237">_xlfn.XLOOKUP($A237,TRIM(SUBSTITUTE('worker file'!$A$2:$A$406,_xlfn.UNICHAR(160)," ")),'worker file'!$L$2:$L$406,"Not found")</f>
        <v>US Semi-monthly</v>
      </c>
      <c r="C237" s="36" t="str">
        <f t="array" ref="C237">_xlfn.XLOOKUP($A237,TRIM(SUBSTITUTE('worker file'!$A$2:$A$406,_xlfn.UNICHAR(160)," ")),'worker file'!$D$2:$D$406,"Not found")</f>
        <v>NY</v>
      </c>
      <c r="D237" s="36" t="str">
        <f t="array" ref="D237">_xlfn.XLOOKUP($A237,TRIM(SUBSTITUTE('worker file'!$A$2:$A$406,_xlfn.UNICHAR(160)," ")),'worker file'!$Q$2:$Q$406,"Not found")</f>
        <v>Active</v>
      </c>
      <c r="E237" s="35" t="s">
        <v>634</v>
      </c>
      <c r="F237" t="str">
        <f t="shared" si="23"/>
        <v>Vision – Employee</v>
      </c>
      <c r="G237" t="str">
        <f t="shared" si="24"/>
        <v>Pre-tax Section 125 (exempt from FIT/SIT/FICA)</v>
      </c>
      <c r="H237" t="str">
        <f t="shared" si="25"/>
        <v>Flat</v>
      </c>
      <c r="I237" s="40" t="str">
        <f>IF($H237="Percent",_xlfn.XLOOKUP($E237,$A$5:$A$8,$F$5:$F$8,""),"")</f>
        <v/>
      </c>
      <c r="J237" s="38">
        <f t="shared" si="26"/>
        <v>30</v>
      </c>
      <c r="K237" t="str">
        <f t="shared" si="27"/>
        <v>Per pay period</v>
      </c>
      <c r="L237" t="str">
        <f t="shared" si="28"/>
        <v>Every pay period (ongoing)</v>
      </c>
      <c r="M237" s="39">
        <f t="array" ref="M237">MAX(_xlfn.XLOOKUP($A237,TRIM(SUBSTITUTE('worker file'!$A$2:$A$406,_xlfn.UNICHAR(160)," ")),'worker file'!$M$2:$M$406,0),_xlfn.XLOOKUP($B237,TRIM('pay group &amp; schedule'!$A$2:$A$6),'pay group &amp; schedule'!$D$2:$D$6,0))</f>
        <v>46311</v>
      </c>
      <c r="N237" s="39" t="str">
        <f t="array" ref="N237">_xlfn.LET(_xlpm.t,_xlfn.XLOOKUP($A237,TRIM(SUBSTITUTE('worker file'!$A$2:$A$406,_xlfn.UNICHAR(160)," ")),'worker file'!$N$2:$N$406,""),IF(N(_xlpm.t)=0,"",_xlpm.t))</f>
        <v/>
      </c>
    </row>
    <row r="238" spans="1:15" x14ac:dyDescent="0.2">
      <c r="A238" s="35" t="s">
        <v>182</v>
      </c>
      <c r="B238" s="36" t="str">
        <f t="array" ref="B238">_xlfn.XLOOKUP($A238,TRIM(SUBSTITUTE('worker file'!$A$2:$A$406,_xlfn.UNICHAR(160)," ")),'worker file'!$L$2:$L$406,"Not found")</f>
        <v>US Semi-monthly</v>
      </c>
      <c r="C238" s="36" t="str">
        <f t="array" ref="C238">_xlfn.XLOOKUP($A238,TRIM(SUBSTITUTE('worker file'!$A$2:$A$406,_xlfn.UNICHAR(160)," ")),'worker file'!$D$2:$D$406,"Not found")</f>
        <v>WA</v>
      </c>
      <c r="D238" s="36" t="str">
        <f t="array" ref="D238">_xlfn.XLOOKUP($A238,TRIM(SUBSTITUTE('worker file'!$A$2:$A$406,_xlfn.UNICHAR(160)," ")),'worker file'!$Q$2:$Q$406,"Not found")</f>
        <v>Active</v>
      </c>
      <c r="E238" s="35" t="s">
        <v>618</v>
      </c>
      <c r="F238" t="str">
        <f t="shared" si="23"/>
        <v>401(k) Employee Deferral</v>
      </c>
      <c r="G238" t="str">
        <f t="shared" si="24"/>
        <v>Pre-tax (exempt from FIT/SIT; subject to FICA)</v>
      </c>
      <c r="H238" t="str">
        <f t="shared" si="25"/>
        <v>Percent</v>
      </c>
      <c r="I238" s="37">
        <v>0.05</v>
      </c>
      <c r="J238" s="38" t="str">
        <f t="shared" si="26"/>
        <v/>
      </c>
      <c r="K238" t="str">
        <f t="shared" si="27"/>
        <v>Gross pay</v>
      </c>
      <c r="L238" t="str">
        <f t="shared" si="28"/>
        <v>Every pay period (ongoing)</v>
      </c>
      <c r="M238" s="39">
        <f t="array" ref="M238">MAX(_xlfn.XLOOKUP($A238,TRIM(SUBSTITUTE('worker file'!$A$2:$A$406,_xlfn.UNICHAR(160)," ")),'worker file'!$M$2:$M$406,0),_xlfn.XLOOKUP($B238,TRIM('pay group &amp; schedule'!$A$2:$A$6),'pay group &amp; schedule'!$D$2:$D$6,0))</f>
        <v>46311</v>
      </c>
      <c r="N238" s="39" t="str">
        <f t="array" ref="N238">_xlfn.LET(_xlpm.t,_xlfn.XLOOKUP($A238,TRIM(SUBSTITUTE('worker file'!$A$2:$A$406,_xlfn.UNICHAR(160)," ")),'worker file'!$N$2:$N$406,""),IF(N(_xlpm.t)=0,"",_xlpm.t))</f>
        <v/>
      </c>
    </row>
    <row r="239" spans="1:15" x14ac:dyDescent="0.2">
      <c r="A239" s="35" t="s">
        <v>182</v>
      </c>
      <c r="B239" s="36" t="str">
        <f t="array" ref="B239">_xlfn.XLOOKUP($A239,TRIM(SUBSTITUTE('worker file'!$A$2:$A$406,_xlfn.UNICHAR(160)," ")),'worker file'!$L$2:$L$406,"Not found")</f>
        <v>US Semi-monthly</v>
      </c>
      <c r="C239" s="36" t="str">
        <f t="array" ref="C239">_xlfn.XLOOKUP($A239,TRIM(SUBSTITUTE('worker file'!$A$2:$A$406,_xlfn.UNICHAR(160)," ")),'worker file'!$D$2:$D$406,"Not found")</f>
        <v>WA</v>
      </c>
      <c r="D239" s="36" t="str">
        <f t="array" ref="D239">_xlfn.XLOOKUP($A239,TRIM(SUBSTITUTE('worker file'!$A$2:$A$406,_xlfn.UNICHAR(160)," ")),'worker file'!$Q$2:$Q$406,"Not found")</f>
        <v>Active</v>
      </c>
      <c r="E239" s="35" t="s">
        <v>626</v>
      </c>
      <c r="F239" t="str">
        <f t="shared" si="23"/>
        <v>Medical (Health) – Employee</v>
      </c>
      <c r="G239" t="str">
        <f t="shared" si="24"/>
        <v>Pre-tax Section 125 (exempt from FIT/SIT/FICA)</v>
      </c>
      <c r="H239" t="str">
        <f t="shared" si="25"/>
        <v>Flat</v>
      </c>
      <c r="I239" s="40" t="str">
        <f>IF($H239="Percent",_xlfn.XLOOKUP($E239,$A$5:$A$8,$F$5:$F$8,""),"")</f>
        <v/>
      </c>
      <c r="J239" s="38">
        <f t="shared" si="26"/>
        <v>200</v>
      </c>
      <c r="K239" t="str">
        <f t="shared" si="27"/>
        <v>Per pay period</v>
      </c>
      <c r="L239" t="str">
        <f t="shared" si="28"/>
        <v>Every pay period (ongoing)</v>
      </c>
      <c r="M239" s="39">
        <f t="array" ref="M239">MAX(_xlfn.XLOOKUP($A239,TRIM(SUBSTITUTE('worker file'!$A$2:$A$406,_xlfn.UNICHAR(160)," ")),'worker file'!$M$2:$M$406,0),_xlfn.XLOOKUP($B239,TRIM('pay group &amp; schedule'!$A$2:$A$6),'pay group &amp; schedule'!$D$2:$D$6,0))</f>
        <v>46311</v>
      </c>
      <c r="N239" s="39" t="str">
        <f t="array" ref="N239">_xlfn.LET(_xlpm.t,_xlfn.XLOOKUP($A239,TRIM(SUBSTITUTE('worker file'!$A$2:$A$406,_xlfn.UNICHAR(160)," ")),'worker file'!$N$2:$N$406,""),IF(N(_xlpm.t)=0,"",_xlpm.t))</f>
        <v/>
      </c>
    </row>
    <row r="240" spans="1:15" x14ac:dyDescent="0.2">
      <c r="A240" s="35" t="s">
        <v>182</v>
      </c>
      <c r="B240" s="36" t="str">
        <f t="array" ref="B240">_xlfn.XLOOKUP($A240,TRIM(SUBSTITUTE('worker file'!$A$2:$A$406,_xlfn.UNICHAR(160)," ")),'worker file'!$L$2:$L$406,"Not found")</f>
        <v>US Semi-monthly</v>
      </c>
      <c r="C240" s="36" t="str">
        <f t="array" ref="C240">_xlfn.XLOOKUP($A240,TRIM(SUBSTITUTE('worker file'!$A$2:$A$406,_xlfn.UNICHAR(160)," ")),'worker file'!$D$2:$D$406,"Not found")</f>
        <v>WA</v>
      </c>
      <c r="D240" s="36" t="str">
        <f t="array" ref="D240">_xlfn.XLOOKUP($A240,TRIM(SUBSTITUTE('worker file'!$A$2:$A$406,_xlfn.UNICHAR(160)," ")),'worker file'!$Q$2:$Q$406,"Not found")</f>
        <v>Active</v>
      </c>
      <c r="E240" s="35" t="s">
        <v>632</v>
      </c>
      <c r="F240" t="str">
        <f t="shared" si="23"/>
        <v>Dental – Employee</v>
      </c>
      <c r="G240" t="str">
        <f t="shared" si="24"/>
        <v>Pre-tax Section 125 (exempt from FIT/SIT/FICA)</v>
      </c>
      <c r="H240" t="str">
        <f t="shared" si="25"/>
        <v>Flat</v>
      </c>
      <c r="I240" s="40" t="str">
        <f>IF($H240="Percent",_xlfn.XLOOKUP($E240,$A$5:$A$8,$F$5:$F$8,""),"")</f>
        <v/>
      </c>
      <c r="J240" s="38">
        <f t="shared" si="26"/>
        <v>44</v>
      </c>
      <c r="K240" t="str">
        <f t="shared" si="27"/>
        <v>Per pay period</v>
      </c>
      <c r="L240" t="str">
        <f t="shared" si="28"/>
        <v>Every pay period (ongoing)</v>
      </c>
      <c r="M240" s="39">
        <f t="array" ref="M240">MAX(_xlfn.XLOOKUP($A240,TRIM(SUBSTITUTE('worker file'!$A$2:$A$406,_xlfn.UNICHAR(160)," ")),'worker file'!$M$2:$M$406,0),_xlfn.XLOOKUP($B240,TRIM('pay group &amp; schedule'!$A$2:$A$6),'pay group &amp; schedule'!$D$2:$D$6,0))</f>
        <v>46311</v>
      </c>
      <c r="N240" s="39" t="str">
        <f t="array" ref="N240">_xlfn.LET(_xlpm.t,_xlfn.XLOOKUP($A240,TRIM(SUBSTITUTE('worker file'!$A$2:$A$406,_xlfn.UNICHAR(160)," ")),'worker file'!$N$2:$N$406,""),IF(N(_xlpm.t)=0,"",_xlpm.t))</f>
        <v/>
      </c>
    </row>
    <row r="241" spans="1:14" x14ac:dyDescent="0.2">
      <c r="A241" s="35" t="s">
        <v>182</v>
      </c>
      <c r="B241" s="36" t="str">
        <f t="array" ref="B241">_xlfn.XLOOKUP($A241,TRIM(SUBSTITUTE('worker file'!$A$2:$A$406,_xlfn.UNICHAR(160)," ")),'worker file'!$L$2:$L$406,"Not found")</f>
        <v>US Semi-monthly</v>
      </c>
      <c r="C241" s="36" t="str">
        <f t="array" ref="C241">_xlfn.XLOOKUP($A241,TRIM(SUBSTITUTE('worker file'!$A$2:$A$406,_xlfn.UNICHAR(160)," ")),'worker file'!$D$2:$D$406,"Not found")</f>
        <v>WA</v>
      </c>
      <c r="D241" s="36" t="str">
        <f t="array" ref="D241">_xlfn.XLOOKUP($A241,TRIM(SUBSTITUTE('worker file'!$A$2:$A$406,_xlfn.UNICHAR(160)," ")),'worker file'!$Q$2:$Q$406,"Not found")</f>
        <v>Active</v>
      </c>
      <c r="E241" s="35" t="s">
        <v>634</v>
      </c>
      <c r="F241" t="str">
        <f t="shared" si="23"/>
        <v>Vision – Employee</v>
      </c>
      <c r="G241" t="str">
        <f t="shared" si="24"/>
        <v>Pre-tax Section 125 (exempt from FIT/SIT/FICA)</v>
      </c>
      <c r="H241" t="str">
        <f t="shared" si="25"/>
        <v>Flat</v>
      </c>
      <c r="I241" s="40" t="str">
        <f>IF($H241="Percent",_xlfn.XLOOKUP($E241,$A$5:$A$8,$F$5:$F$8,""),"")</f>
        <v/>
      </c>
      <c r="J241" s="38">
        <f t="shared" si="26"/>
        <v>30</v>
      </c>
      <c r="K241" t="str">
        <f t="shared" si="27"/>
        <v>Per pay period</v>
      </c>
      <c r="L241" t="str">
        <f t="shared" si="28"/>
        <v>Every pay period (ongoing)</v>
      </c>
      <c r="M241" s="39">
        <f t="array" ref="M241">MAX(_xlfn.XLOOKUP($A241,TRIM(SUBSTITUTE('worker file'!$A$2:$A$406,_xlfn.UNICHAR(160)," ")),'worker file'!$M$2:$M$406,0),_xlfn.XLOOKUP($B241,TRIM('pay group &amp; schedule'!$A$2:$A$6),'pay group &amp; schedule'!$D$2:$D$6,0))</f>
        <v>46311</v>
      </c>
      <c r="N241" s="39" t="str">
        <f t="array" ref="N241">_xlfn.LET(_xlpm.t,_xlfn.XLOOKUP($A241,TRIM(SUBSTITUTE('worker file'!$A$2:$A$406,_xlfn.UNICHAR(160)," ")),'worker file'!$N$2:$N$406,""),IF(N(_xlpm.t)=0,"",_xlpm.t))</f>
        <v/>
      </c>
    </row>
    <row r="242" spans="1:14" x14ac:dyDescent="0.2">
      <c r="A242" s="35" t="s">
        <v>183</v>
      </c>
      <c r="B242" s="36" t="str">
        <f t="array" ref="B242">_xlfn.XLOOKUP($A242,TRIM(SUBSTITUTE('worker file'!$A$2:$A$406,_xlfn.UNICHAR(160)," ")),'worker file'!$L$2:$L$406,"Not found")</f>
        <v>US Semi-monthly</v>
      </c>
      <c r="C242" s="36" t="str">
        <f t="array" ref="C242">_xlfn.XLOOKUP($A242,TRIM(SUBSTITUTE('worker file'!$A$2:$A$406,_xlfn.UNICHAR(160)," ")),'worker file'!$D$2:$D$406,"Not found")</f>
        <v>CA</v>
      </c>
      <c r="D242" s="36" t="str">
        <f t="array" ref="D242">_xlfn.XLOOKUP($A242,TRIM(SUBSTITUTE('worker file'!$A$2:$A$406,_xlfn.UNICHAR(160)," ")),'worker file'!$Q$2:$Q$406,"Not found")</f>
        <v>Active</v>
      </c>
      <c r="E242" s="35" t="s">
        <v>618</v>
      </c>
      <c r="F242" t="str">
        <f t="shared" si="23"/>
        <v>401(k) Employee Deferral</v>
      </c>
      <c r="G242" t="str">
        <f t="shared" si="24"/>
        <v>Pre-tax (exempt from FIT/SIT; subject to FICA)</v>
      </c>
      <c r="H242" t="str">
        <f t="shared" si="25"/>
        <v>Percent</v>
      </c>
      <c r="I242" s="37">
        <v>0.02</v>
      </c>
      <c r="J242" s="38" t="str">
        <f t="shared" si="26"/>
        <v/>
      </c>
      <c r="K242" t="str">
        <f t="shared" si="27"/>
        <v>Gross pay</v>
      </c>
      <c r="L242" t="str">
        <f t="shared" si="28"/>
        <v>Every pay period (ongoing)</v>
      </c>
      <c r="M242" s="39">
        <f t="array" ref="M242">MAX(_xlfn.XLOOKUP($A242,TRIM(SUBSTITUTE('worker file'!$A$2:$A$406,_xlfn.UNICHAR(160)," ")),'worker file'!$M$2:$M$406,0),_xlfn.XLOOKUP($B242,TRIM('pay group &amp; schedule'!$A$2:$A$6),'pay group &amp; schedule'!$D$2:$D$6,0))</f>
        <v>46311</v>
      </c>
      <c r="N242" s="39" t="str">
        <f t="array" ref="N242">_xlfn.LET(_xlpm.t,_xlfn.XLOOKUP($A242,TRIM(SUBSTITUTE('worker file'!$A$2:$A$406,_xlfn.UNICHAR(160)," ")),'worker file'!$N$2:$N$406,""),IF(N(_xlpm.t)=0,"",_xlpm.t))</f>
        <v/>
      </c>
    </row>
    <row r="243" spans="1:14" x14ac:dyDescent="0.2">
      <c r="A243" s="35" t="s">
        <v>183</v>
      </c>
      <c r="B243" s="36" t="str">
        <f t="array" ref="B243">_xlfn.XLOOKUP($A243,TRIM(SUBSTITUTE('worker file'!$A$2:$A$406,_xlfn.UNICHAR(160)," ")),'worker file'!$L$2:$L$406,"Not found")</f>
        <v>US Semi-monthly</v>
      </c>
      <c r="C243" s="36" t="str">
        <f t="array" ref="C243">_xlfn.XLOOKUP($A243,TRIM(SUBSTITUTE('worker file'!$A$2:$A$406,_xlfn.UNICHAR(160)," ")),'worker file'!$D$2:$D$406,"Not found")</f>
        <v>CA</v>
      </c>
      <c r="D243" s="36" t="str">
        <f t="array" ref="D243">_xlfn.XLOOKUP($A243,TRIM(SUBSTITUTE('worker file'!$A$2:$A$406,_xlfn.UNICHAR(160)," ")),'worker file'!$Q$2:$Q$406,"Not found")</f>
        <v>Active</v>
      </c>
      <c r="E243" s="35" t="s">
        <v>626</v>
      </c>
      <c r="F243" t="str">
        <f t="shared" si="23"/>
        <v>Medical (Health) – Employee</v>
      </c>
      <c r="G243" t="str">
        <f t="shared" si="24"/>
        <v>Pre-tax Section 125 (exempt from FIT/SIT/FICA)</v>
      </c>
      <c r="H243" t="str">
        <f t="shared" si="25"/>
        <v>Flat</v>
      </c>
      <c r="I243" s="40" t="str">
        <f>IF($H243="Percent",_xlfn.XLOOKUP($E243,$A$5:$A$8,$F$5:$F$8,""),"")</f>
        <v/>
      </c>
      <c r="J243" s="38">
        <f t="shared" si="26"/>
        <v>200</v>
      </c>
      <c r="K243" t="str">
        <f t="shared" si="27"/>
        <v>Per pay period</v>
      </c>
      <c r="L243" t="str">
        <f t="shared" si="28"/>
        <v>Every pay period (ongoing)</v>
      </c>
      <c r="M243" s="39">
        <f t="array" ref="M243">MAX(_xlfn.XLOOKUP($A243,TRIM(SUBSTITUTE('worker file'!$A$2:$A$406,_xlfn.UNICHAR(160)," ")),'worker file'!$M$2:$M$406,0),_xlfn.XLOOKUP($B243,TRIM('pay group &amp; schedule'!$A$2:$A$6),'pay group &amp; schedule'!$D$2:$D$6,0))</f>
        <v>46311</v>
      </c>
      <c r="N243" s="39" t="str">
        <f t="array" ref="N243">_xlfn.LET(_xlpm.t,_xlfn.XLOOKUP($A243,TRIM(SUBSTITUTE('worker file'!$A$2:$A$406,_xlfn.UNICHAR(160)," ")),'worker file'!$N$2:$N$406,""),IF(N(_xlpm.t)=0,"",_xlpm.t))</f>
        <v/>
      </c>
    </row>
    <row r="244" spans="1:14" x14ac:dyDescent="0.2">
      <c r="A244" s="35" t="s">
        <v>183</v>
      </c>
      <c r="B244" s="36" t="str">
        <f t="array" ref="B244">_xlfn.XLOOKUP($A244,TRIM(SUBSTITUTE('worker file'!$A$2:$A$406,_xlfn.UNICHAR(160)," ")),'worker file'!$L$2:$L$406,"Not found")</f>
        <v>US Semi-monthly</v>
      </c>
      <c r="C244" s="36" t="str">
        <f t="array" ref="C244">_xlfn.XLOOKUP($A244,TRIM(SUBSTITUTE('worker file'!$A$2:$A$406,_xlfn.UNICHAR(160)," ")),'worker file'!$D$2:$D$406,"Not found")</f>
        <v>CA</v>
      </c>
      <c r="D244" s="36" t="str">
        <f t="array" ref="D244">_xlfn.XLOOKUP($A244,TRIM(SUBSTITUTE('worker file'!$A$2:$A$406,_xlfn.UNICHAR(160)," ")),'worker file'!$Q$2:$Q$406,"Not found")</f>
        <v>Active</v>
      </c>
      <c r="E244" s="35" t="s">
        <v>632</v>
      </c>
      <c r="F244" t="str">
        <f t="shared" si="23"/>
        <v>Dental – Employee</v>
      </c>
      <c r="G244" t="str">
        <f t="shared" si="24"/>
        <v>Pre-tax Section 125 (exempt from FIT/SIT/FICA)</v>
      </c>
      <c r="H244" t="str">
        <f t="shared" si="25"/>
        <v>Flat</v>
      </c>
      <c r="I244" s="40" t="str">
        <f>IF($H244="Percent",_xlfn.XLOOKUP($E244,$A$5:$A$8,$F$5:$F$8,""),"")</f>
        <v/>
      </c>
      <c r="J244" s="38">
        <f t="shared" si="26"/>
        <v>44</v>
      </c>
      <c r="K244" t="str">
        <f t="shared" si="27"/>
        <v>Per pay period</v>
      </c>
      <c r="L244" t="str">
        <f t="shared" si="28"/>
        <v>Every pay period (ongoing)</v>
      </c>
      <c r="M244" s="39">
        <f t="array" ref="M244">MAX(_xlfn.XLOOKUP($A244,TRIM(SUBSTITUTE('worker file'!$A$2:$A$406,_xlfn.UNICHAR(160)," ")),'worker file'!$M$2:$M$406,0),_xlfn.XLOOKUP($B244,TRIM('pay group &amp; schedule'!$A$2:$A$6),'pay group &amp; schedule'!$D$2:$D$6,0))</f>
        <v>46311</v>
      </c>
      <c r="N244" s="39" t="str">
        <f t="array" ref="N244">_xlfn.LET(_xlpm.t,_xlfn.XLOOKUP($A244,TRIM(SUBSTITUTE('worker file'!$A$2:$A$406,_xlfn.UNICHAR(160)," ")),'worker file'!$N$2:$N$406,""),IF(N(_xlpm.t)=0,"",_xlpm.t))</f>
        <v/>
      </c>
    </row>
    <row r="245" spans="1:14" x14ac:dyDescent="0.2">
      <c r="A245" s="35" t="s">
        <v>183</v>
      </c>
      <c r="B245" s="36" t="str">
        <f t="array" ref="B245">_xlfn.XLOOKUP($A245,TRIM(SUBSTITUTE('worker file'!$A$2:$A$406,_xlfn.UNICHAR(160)," ")),'worker file'!$L$2:$L$406,"Not found")</f>
        <v>US Semi-monthly</v>
      </c>
      <c r="C245" s="36" t="str">
        <f t="array" ref="C245">_xlfn.XLOOKUP($A245,TRIM(SUBSTITUTE('worker file'!$A$2:$A$406,_xlfn.UNICHAR(160)," ")),'worker file'!$D$2:$D$406,"Not found")</f>
        <v>CA</v>
      </c>
      <c r="D245" s="36" t="str">
        <f t="array" ref="D245">_xlfn.XLOOKUP($A245,TRIM(SUBSTITUTE('worker file'!$A$2:$A$406,_xlfn.UNICHAR(160)," ")),'worker file'!$Q$2:$Q$406,"Not found")</f>
        <v>Active</v>
      </c>
      <c r="E245" s="35" t="s">
        <v>634</v>
      </c>
      <c r="F245" t="str">
        <f t="shared" si="23"/>
        <v>Vision – Employee</v>
      </c>
      <c r="G245" t="str">
        <f t="shared" si="24"/>
        <v>Pre-tax Section 125 (exempt from FIT/SIT/FICA)</v>
      </c>
      <c r="H245" t="str">
        <f t="shared" si="25"/>
        <v>Flat</v>
      </c>
      <c r="I245" s="40" t="str">
        <f>IF($H245="Percent",_xlfn.XLOOKUP($E245,$A$5:$A$8,$F$5:$F$8,""),"")</f>
        <v/>
      </c>
      <c r="J245" s="38">
        <f t="shared" si="26"/>
        <v>30</v>
      </c>
      <c r="K245" t="str">
        <f t="shared" si="27"/>
        <v>Per pay period</v>
      </c>
      <c r="L245" t="str">
        <f t="shared" si="28"/>
        <v>Every pay period (ongoing)</v>
      </c>
      <c r="M245" s="39">
        <f t="array" ref="M245">MAX(_xlfn.XLOOKUP($A245,TRIM(SUBSTITUTE('worker file'!$A$2:$A$406,_xlfn.UNICHAR(160)," ")),'worker file'!$M$2:$M$406,0),_xlfn.XLOOKUP($B245,TRIM('pay group &amp; schedule'!$A$2:$A$6),'pay group &amp; schedule'!$D$2:$D$6,0))</f>
        <v>46311</v>
      </c>
      <c r="N245" s="39" t="str">
        <f t="array" ref="N245">_xlfn.LET(_xlpm.t,_xlfn.XLOOKUP($A245,TRIM(SUBSTITUTE('worker file'!$A$2:$A$406,_xlfn.UNICHAR(160)," ")),'worker file'!$N$2:$N$406,""),IF(N(_xlpm.t)=0,"",_xlpm.t))</f>
        <v/>
      </c>
    </row>
    <row r="246" spans="1:14" x14ac:dyDescent="0.2">
      <c r="A246" s="35" t="s">
        <v>184</v>
      </c>
      <c r="B246" s="36" t="str">
        <f t="array" ref="B246">_xlfn.XLOOKUP($A246,TRIM(SUBSTITUTE('worker file'!$A$2:$A$406,_xlfn.UNICHAR(160)," ")),'worker file'!$L$2:$L$406,"Not found")</f>
        <v>US Semi-monthly</v>
      </c>
      <c r="C246" s="36" t="str">
        <f t="array" ref="C246">_xlfn.XLOOKUP($A246,TRIM(SUBSTITUTE('worker file'!$A$2:$A$406,_xlfn.UNICHAR(160)," ")),'worker file'!$D$2:$D$406,"Not found")</f>
        <v>GA</v>
      </c>
      <c r="D246" s="36" t="str">
        <f t="array" ref="D246">_xlfn.XLOOKUP($A246,TRIM(SUBSTITUTE('worker file'!$A$2:$A$406,_xlfn.UNICHAR(160)," ")),'worker file'!$Q$2:$Q$406,"Not found")</f>
        <v>Active</v>
      </c>
      <c r="E246" s="35" t="s">
        <v>618</v>
      </c>
      <c r="F246" t="str">
        <f t="shared" si="23"/>
        <v>401(k) Employee Deferral</v>
      </c>
      <c r="G246" t="str">
        <f t="shared" si="24"/>
        <v>Pre-tax (exempt from FIT/SIT; subject to FICA)</v>
      </c>
      <c r="H246" t="str">
        <f t="shared" si="25"/>
        <v>Percent</v>
      </c>
      <c r="I246" s="37">
        <v>7.0000000000000007E-2</v>
      </c>
      <c r="J246" s="38" t="str">
        <f t="shared" si="26"/>
        <v/>
      </c>
      <c r="K246" t="str">
        <f t="shared" si="27"/>
        <v>Gross pay</v>
      </c>
      <c r="L246" t="str">
        <f t="shared" si="28"/>
        <v>Every pay period (ongoing)</v>
      </c>
      <c r="M246" s="39">
        <f t="array" ref="M246">MAX(_xlfn.XLOOKUP($A246,TRIM(SUBSTITUTE('worker file'!$A$2:$A$406,_xlfn.UNICHAR(160)," ")),'worker file'!$M$2:$M$406,0),_xlfn.XLOOKUP($B246,TRIM('pay group &amp; schedule'!$A$2:$A$6),'pay group &amp; schedule'!$D$2:$D$6,0))</f>
        <v>46311</v>
      </c>
      <c r="N246" s="39" t="str">
        <f t="array" ref="N246">_xlfn.LET(_xlpm.t,_xlfn.XLOOKUP($A246,TRIM(SUBSTITUTE('worker file'!$A$2:$A$406,_xlfn.UNICHAR(160)," ")),'worker file'!$N$2:$N$406,""),IF(N(_xlpm.t)=0,"",_xlpm.t))</f>
        <v/>
      </c>
    </row>
    <row r="247" spans="1:14" x14ac:dyDescent="0.2">
      <c r="A247" s="35" t="s">
        <v>184</v>
      </c>
      <c r="B247" s="36" t="str">
        <f t="array" ref="B247">_xlfn.XLOOKUP($A247,TRIM(SUBSTITUTE('worker file'!$A$2:$A$406,_xlfn.UNICHAR(160)," ")),'worker file'!$L$2:$L$406,"Not found")</f>
        <v>US Semi-monthly</v>
      </c>
      <c r="C247" s="36" t="str">
        <f t="array" ref="C247">_xlfn.XLOOKUP($A247,TRIM(SUBSTITUTE('worker file'!$A$2:$A$406,_xlfn.UNICHAR(160)," ")),'worker file'!$D$2:$D$406,"Not found")</f>
        <v>GA</v>
      </c>
      <c r="D247" s="36" t="str">
        <f t="array" ref="D247">_xlfn.XLOOKUP($A247,TRIM(SUBSTITUTE('worker file'!$A$2:$A$406,_xlfn.UNICHAR(160)," ")),'worker file'!$Q$2:$Q$406,"Not found")</f>
        <v>Active</v>
      </c>
      <c r="E247" s="35" t="s">
        <v>626</v>
      </c>
      <c r="F247" t="str">
        <f t="shared" si="23"/>
        <v>Medical (Health) – Employee</v>
      </c>
      <c r="G247" t="str">
        <f t="shared" si="24"/>
        <v>Pre-tax Section 125 (exempt from FIT/SIT/FICA)</v>
      </c>
      <c r="H247" t="str">
        <f t="shared" si="25"/>
        <v>Flat</v>
      </c>
      <c r="I247" s="40" t="str">
        <f t="shared" ref="I247:I252" si="30">IF($H247="Percent",_xlfn.XLOOKUP($E247,$A$5:$A$8,$F$5:$F$8,""),"")</f>
        <v/>
      </c>
      <c r="J247" s="38">
        <f t="shared" si="26"/>
        <v>200</v>
      </c>
      <c r="K247" t="str">
        <f t="shared" si="27"/>
        <v>Per pay period</v>
      </c>
      <c r="L247" t="str">
        <f t="shared" si="28"/>
        <v>Every pay period (ongoing)</v>
      </c>
      <c r="M247" s="39">
        <f t="array" ref="M247">MAX(_xlfn.XLOOKUP($A247,TRIM(SUBSTITUTE('worker file'!$A$2:$A$406,_xlfn.UNICHAR(160)," ")),'worker file'!$M$2:$M$406,0),_xlfn.XLOOKUP($B247,TRIM('pay group &amp; schedule'!$A$2:$A$6),'pay group &amp; schedule'!$D$2:$D$6,0))</f>
        <v>46311</v>
      </c>
      <c r="N247" s="39" t="str">
        <f t="array" ref="N247">_xlfn.LET(_xlpm.t,_xlfn.XLOOKUP($A247,TRIM(SUBSTITUTE('worker file'!$A$2:$A$406,_xlfn.UNICHAR(160)," ")),'worker file'!$N$2:$N$406,""),IF(N(_xlpm.t)=0,"",_xlpm.t))</f>
        <v/>
      </c>
    </row>
    <row r="248" spans="1:14" x14ac:dyDescent="0.2">
      <c r="A248" s="35" t="s">
        <v>184</v>
      </c>
      <c r="B248" s="36" t="str">
        <f t="array" ref="B248">_xlfn.XLOOKUP($A248,TRIM(SUBSTITUTE('worker file'!$A$2:$A$406,_xlfn.UNICHAR(160)," ")),'worker file'!$L$2:$L$406,"Not found")</f>
        <v>US Semi-monthly</v>
      </c>
      <c r="C248" s="36" t="str">
        <f t="array" ref="C248">_xlfn.XLOOKUP($A248,TRIM(SUBSTITUTE('worker file'!$A$2:$A$406,_xlfn.UNICHAR(160)," ")),'worker file'!$D$2:$D$406,"Not found")</f>
        <v>GA</v>
      </c>
      <c r="D248" s="36" t="str">
        <f t="array" ref="D248">_xlfn.XLOOKUP($A248,TRIM(SUBSTITUTE('worker file'!$A$2:$A$406,_xlfn.UNICHAR(160)," ")),'worker file'!$Q$2:$Q$406,"Not found")</f>
        <v>Active</v>
      </c>
      <c r="E248" s="35" t="s">
        <v>632</v>
      </c>
      <c r="F248" t="str">
        <f t="shared" si="23"/>
        <v>Dental – Employee</v>
      </c>
      <c r="G248" t="str">
        <f t="shared" si="24"/>
        <v>Pre-tax Section 125 (exempt from FIT/SIT/FICA)</v>
      </c>
      <c r="H248" t="str">
        <f t="shared" si="25"/>
        <v>Flat</v>
      </c>
      <c r="I248" s="40" t="str">
        <f t="shared" si="30"/>
        <v/>
      </c>
      <c r="J248" s="38">
        <f t="shared" si="26"/>
        <v>44</v>
      </c>
      <c r="K248" t="str">
        <f t="shared" si="27"/>
        <v>Per pay period</v>
      </c>
      <c r="L248" t="str">
        <f t="shared" si="28"/>
        <v>Every pay period (ongoing)</v>
      </c>
      <c r="M248" s="39">
        <f t="array" ref="M248">MAX(_xlfn.XLOOKUP($A248,TRIM(SUBSTITUTE('worker file'!$A$2:$A$406,_xlfn.UNICHAR(160)," ")),'worker file'!$M$2:$M$406,0),_xlfn.XLOOKUP($B248,TRIM('pay group &amp; schedule'!$A$2:$A$6),'pay group &amp; schedule'!$D$2:$D$6,0))</f>
        <v>46311</v>
      </c>
      <c r="N248" s="39" t="str">
        <f t="array" ref="N248">_xlfn.LET(_xlpm.t,_xlfn.XLOOKUP($A248,TRIM(SUBSTITUTE('worker file'!$A$2:$A$406,_xlfn.UNICHAR(160)," ")),'worker file'!$N$2:$N$406,""),IF(N(_xlpm.t)=0,"",_xlpm.t))</f>
        <v/>
      </c>
    </row>
    <row r="249" spans="1:14" x14ac:dyDescent="0.2">
      <c r="A249" s="35" t="s">
        <v>184</v>
      </c>
      <c r="B249" s="36" t="str">
        <f t="array" ref="B249">_xlfn.XLOOKUP($A249,TRIM(SUBSTITUTE('worker file'!$A$2:$A$406,_xlfn.UNICHAR(160)," ")),'worker file'!$L$2:$L$406,"Not found")</f>
        <v>US Semi-monthly</v>
      </c>
      <c r="C249" s="36" t="str">
        <f t="array" ref="C249">_xlfn.XLOOKUP($A249,TRIM(SUBSTITUTE('worker file'!$A$2:$A$406,_xlfn.UNICHAR(160)," ")),'worker file'!$D$2:$D$406,"Not found")</f>
        <v>GA</v>
      </c>
      <c r="D249" s="36" t="str">
        <f t="array" ref="D249">_xlfn.XLOOKUP($A249,TRIM(SUBSTITUTE('worker file'!$A$2:$A$406,_xlfn.UNICHAR(160)," ")),'worker file'!$Q$2:$Q$406,"Not found")</f>
        <v>Active</v>
      </c>
      <c r="E249" s="35" t="s">
        <v>634</v>
      </c>
      <c r="F249" t="str">
        <f t="shared" si="23"/>
        <v>Vision – Employee</v>
      </c>
      <c r="G249" t="str">
        <f t="shared" si="24"/>
        <v>Pre-tax Section 125 (exempt from FIT/SIT/FICA)</v>
      </c>
      <c r="H249" t="str">
        <f t="shared" si="25"/>
        <v>Flat</v>
      </c>
      <c r="I249" s="40" t="str">
        <f t="shared" si="30"/>
        <v/>
      </c>
      <c r="J249" s="38">
        <f t="shared" si="26"/>
        <v>30</v>
      </c>
      <c r="K249" t="str">
        <f t="shared" si="27"/>
        <v>Per pay period</v>
      </c>
      <c r="L249" t="str">
        <f t="shared" si="28"/>
        <v>Every pay period (ongoing)</v>
      </c>
      <c r="M249" s="39">
        <f t="array" ref="M249">MAX(_xlfn.XLOOKUP($A249,TRIM(SUBSTITUTE('worker file'!$A$2:$A$406,_xlfn.UNICHAR(160)," ")),'worker file'!$M$2:$M$406,0),_xlfn.XLOOKUP($B249,TRIM('pay group &amp; schedule'!$A$2:$A$6),'pay group &amp; schedule'!$D$2:$D$6,0))</f>
        <v>46311</v>
      </c>
      <c r="N249" s="39" t="str">
        <f t="array" ref="N249">_xlfn.LET(_xlpm.t,_xlfn.XLOOKUP($A249,TRIM(SUBSTITUTE('worker file'!$A$2:$A$406,_xlfn.UNICHAR(160)," ")),'worker file'!$N$2:$N$406,""),IF(N(_xlpm.t)=0,"",_xlpm.t))</f>
        <v/>
      </c>
    </row>
    <row r="250" spans="1:14" x14ac:dyDescent="0.2">
      <c r="A250" s="35" t="s">
        <v>186</v>
      </c>
      <c r="B250" s="36" t="str">
        <f t="array" ref="B250">_xlfn.XLOOKUP($A250,TRIM(SUBSTITUTE('worker file'!$A$2:$A$406,_xlfn.UNICHAR(160)," ")),'worker file'!$L$2:$L$406,"Not found")</f>
        <v>US Semi-monthly</v>
      </c>
      <c r="C250" s="36" t="str">
        <f t="array" ref="C250">_xlfn.XLOOKUP($A250,TRIM(SUBSTITUTE('worker file'!$A$2:$A$406,_xlfn.UNICHAR(160)," ")),'worker file'!$D$2:$D$406,"Not found")</f>
        <v>CA</v>
      </c>
      <c r="D250" s="36" t="str">
        <f t="array" ref="D250">_xlfn.XLOOKUP($A250,TRIM(SUBSTITUTE('worker file'!$A$2:$A$406,_xlfn.UNICHAR(160)," ")),'worker file'!$Q$2:$Q$406,"Not found")</f>
        <v>Active</v>
      </c>
      <c r="E250" s="35" t="s">
        <v>626</v>
      </c>
      <c r="F250" t="str">
        <f t="shared" si="23"/>
        <v>Medical (Health) – Employee</v>
      </c>
      <c r="G250" t="str">
        <f t="shared" si="24"/>
        <v>Pre-tax Section 125 (exempt from FIT/SIT/FICA)</v>
      </c>
      <c r="H250" t="str">
        <f t="shared" si="25"/>
        <v>Flat</v>
      </c>
      <c r="I250" s="40" t="str">
        <f t="shared" si="30"/>
        <v/>
      </c>
      <c r="J250" s="38">
        <f t="shared" si="26"/>
        <v>200</v>
      </c>
      <c r="K250" t="str">
        <f t="shared" si="27"/>
        <v>Per pay period</v>
      </c>
      <c r="L250" t="str">
        <f t="shared" si="28"/>
        <v>Every pay period (ongoing)</v>
      </c>
      <c r="M250" s="39">
        <f t="array" ref="M250">MAX(_xlfn.XLOOKUP($A250,TRIM(SUBSTITUTE('worker file'!$A$2:$A$406,_xlfn.UNICHAR(160)," ")),'worker file'!$M$2:$M$406,0),_xlfn.XLOOKUP($B250,TRIM('pay group &amp; schedule'!$A$2:$A$6),'pay group &amp; schedule'!$D$2:$D$6,0))</f>
        <v>46311</v>
      </c>
      <c r="N250" s="39" t="str">
        <f t="array" ref="N250">_xlfn.LET(_xlpm.t,_xlfn.XLOOKUP($A250,TRIM(SUBSTITUTE('worker file'!$A$2:$A$406,_xlfn.UNICHAR(160)," ")),'worker file'!$N$2:$N$406,""),IF(N(_xlpm.t)=0,"",_xlpm.t))</f>
        <v/>
      </c>
    </row>
    <row r="251" spans="1:14" x14ac:dyDescent="0.2">
      <c r="A251" s="35" t="s">
        <v>186</v>
      </c>
      <c r="B251" s="36" t="str">
        <f t="array" ref="B251">_xlfn.XLOOKUP($A251,TRIM(SUBSTITUTE('worker file'!$A$2:$A$406,_xlfn.UNICHAR(160)," ")),'worker file'!$L$2:$L$406,"Not found")</f>
        <v>US Semi-monthly</v>
      </c>
      <c r="C251" s="36" t="str">
        <f t="array" ref="C251">_xlfn.XLOOKUP($A251,TRIM(SUBSTITUTE('worker file'!$A$2:$A$406,_xlfn.UNICHAR(160)," ")),'worker file'!$D$2:$D$406,"Not found")</f>
        <v>CA</v>
      </c>
      <c r="D251" s="36" t="str">
        <f t="array" ref="D251">_xlfn.XLOOKUP($A251,TRIM(SUBSTITUTE('worker file'!$A$2:$A$406,_xlfn.UNICHAR(160)," ")),'worker file'!$Q$2:$Q$406,"Not found")</f>
        <v>Active</v>
      </c>
      <c r="E251" s="35" t="s">
        <v>632</v>
      </c>
      <c r="F251" t="str">
        <f t="shared" si="23"/>
        <v>Dental – Employee</v>
      </c>
      <c r="G251" t="str">
        <f t="shared" si="24"/>
        <v>Pre-tax Section 125 (exempt from FIT/SIT/FICA)</v>
      </c>
      <c r="H251" t="str">
        <f t="shared" si="25"/>
        <v>Flat</v>
      </c>
      <c r="I251" s="40" t="str">
        <f t="shared" si="30"/>
        <v/>
      </c>
      <c r="J251" s="38">
        <f t="shared" si="26"/>
        <v>44</v>
      </c>
      <c r="K251" t="str">
        <f t="shared" si="27"/>
        <v>Per pay period</v>
      </c>
      <c r="L251" t="str">
        <f t="shared" si="28"/>
        <v>Every pay period (ongoing)</v>
      </c>
      <c r="M251" s="39">
        <f t="array" ref="M251">MAX(_xlfn.XLOOKUP($A251,TRIM(SUBSTITUTE('worker file'!$A$2:$A$406,_xlfn.UNICHAR(160)," ")),'worker file'!$M$2:$M$406,0),_xlfn.XLOOKUP($B251,TRIM('pay group &amp; schedule'!$A$2:$A$6),'pay group &amp; schedule'!$D$2:$D$6,0))</f>
        <v>46311</v>
      </c>
      <c r="N251" s="39" t="str">
        <f t="array" ref="N251">_xlfn.LET(_xlpm.t,_xlfn.XLOOKUP($A251,TRIM(SUBSTITUTE('worker file'!$A$2:$A$406,_xlfn.UNICHAR(160)," ")),'worker file'!$N$2:$N$406,""),IF(N(_xlpm.t)=0,"",_xlpm.t))</f>
        <v/>
      </c>
    </row>
    <row r="252" spans="1:14" x14ac:dyDescent="0.2">
      <c r="A252" s="35" t="s">
        <v>186</v>
      </c>
      <c r="B252" s="36" t="str">
        <f t="array" ref="B252">_xlfn.XLOOKUP($A252,TRIM(SUBSTITUTE('worker file'!$A$2:$A$406,_xlfn.UNICHAR(160)," ")),'worker file'!$L$2:$L$406,"Not found")</f>
        <v>US Semi-monthly</v>
      </c>
      <c r="C252" s="36" t="str">
        <f t="array" ref="C252">_xlfn.XLOOKUP($A252,TRIM(SUBSTITUTE('worker file'!$A$2:$A$406,_xlfn.UNICHAR(160)," ")),'worker file'!$D$2:$D$406,"Not found")</f>
        <v>CA</v>
      </c>
      <c r="D252" s="36" t="str">
        <f t="array" ref="D252">_xlfn.XLOOKUP($A252,TRIM(SUBSTITUTE('worker file'!$A$2:$A$406,_xlfn.UNICHAR(160)," ")),'worker file'!$Q$2:$Q$406,"Not found")</f>
        <v>Active</v>
      </c>
      <c r="E252" s="35" t="s">
        <v>634</v>
      </c>
      <c r="F252" t="str">
        <f t="shared" si="23"/>
        <v>Vision – Employee</v>
      </c>
      <c r="G252" t="str">
        <f t="shared" si="24"/>
        <v>Pre-tax Section 125 (exempt from FIT/SIT/FICA)</v>
      </c>
      <c r="H252" t="str">
        <f t="shared" si="25"/>
        <v>Flat</v>
      </c>
      <c r="I252" s="40" t="str">
        <f t="shared" si="30"/>
        <v/>
      </c>
      <c r="J252" s="38">
        <f t="shared" si="26"/>
        <v>30</v>
      </c>
      <c r="K252" t="str">
        <f t="shared" si="27"/>
        <v>Per pay period</v>
      </c>
      <c r="L252" t="str">
        <f t="shared" si="28"/>
        <v>Every pay period (ongoing)</v>
      </c>
      <c r="M252" s="39">
        <f t="array" ref="M252">MAX(_xlfn.XLOOKUP($A252,TRIM(SUBSTITUTE('worker file'!$A$2:$A$406,_xlfn.UNICHAR(160)," ")),'worker file'!$M$2:$M$406,0),_xlfn.XLOOKUP($B252,TRIM('pay group &amp; schedule'!$A$2:$A$6),'pay group &amp; schedule'!$D$2:$D$6,0))</f>
        <v>46311</v>
      </c>
      <c r="N252" s="39" t="str">
        <f t="array" ref="N252">_xlfn.LET(_xlpm.t,_xlfn.XLOOKUP($A252,TRIM(SUBSTITUTE('worker file'!$A$2:$A$406,_xlfn.UNICHAR(160)," ")),'worker file'!$N$2:$N$406,""),IF(N(_xlpm.t)=0,"",_xlpm.t))</f>
        <v/>
      </c>
    </row>
    <row r="253" spans="1:14" x14ac:dyDescent="0.2">
      <c r="A253" s="35" t="s">
        <v>187</v>
      </c>
      <c r="B253" s="36" t="str">
        <f t="array" ref="B253">_xlfn.XLOOKUP($A253,TRIM(SUBSTITUTE('worker file'!$A$2:$A$406,_xlfn.UNICHAR(160)," ")),'worker file'!$L$2:$L$406,"Not found")</f>
        <v>US Semi-monthly</v>
      </c>
      <c r="C253" s="36" t="str">
        <f t="array" ref="C253">_xlfn.XLOOKUP($A253,TRIM(SUBSTITUTE('worker file'!$A$2:$A$406,_xlfn.UNICHAR(160)," ")),'worker file'!$D$2:$D$406,"Not found")</f>
        <v>WA</v>
      </c>
      <c r="D253" s="36" t="str">
        <f t="array" ref="D253">_xlfn.XLOOKUP($A253,TRIM(SUBSTITUTE('worker file'!$A$2:$A$406,_xlfn.UNICHAR(160)," ")),'worker file'!$Q$2:$Q$406,"Not found")</f>
        <v>Active</v>
      </c>
      <c r="E253" s="35" t="s">
        <v>618</v>
      </c>
      <c r="F253" t="str">
        <f t="shared" si="23"/>
        <v>401(k) Employee Deferral</v>
      </c>
      <c r="G253" t="str">
        <f t="shared" si="24"/>
        <v>Pre-tax (exempt from FIT/SIT; subject to FICA)</v>
      </c>
      <c r="H253" t="str">
        <f t="shared" si="25"/>
        <v>Percent</v>
      </c>
      <c r="I253" s="37">
        <v>0.01</v>
      </c>
      <c r="J253" s="38" t="str">
        <f t="shared" si="26"/>
        <v/>
      </c>
      <c r="K253" t="str">
        <f t="shared" si="27"/>
        <v>Gross pay</v>
      </c>
      <c r="L253" t="str">
        <f t="shared" si="28"/>
        <v>Every pay period (ongoing)</v>
      </c>
      <c r="M253" s="39">
        <f t="array" ref="M253">MAX(_xlfn.XLOOKUP($A253,TRIM(SUBSTITUTE('worker file'!$A$2:$A$406,_xlfn.UNICHAR(160)," ")),'worker file'!$M$2:$M$406,0),_xlfn.XLOOKUP($B253,TRIM('pay group &amp; schedule'!$A$2:$A$6),'pay group &amp; schedule'!$D$2:$D$6,0))</f>
        <v>46311</v>
      </c>
      <c r="N253" s="39" t="str">
        <f t="array" ref="N253">_xlfn.LET(_xlpm.t,_xlfn.XLOOKUP($A253,TRIM(SUBSTITUTE('worker file'!$A$2:$A$406,_xlfn.UNICHAR(160)," ")),'worker file'!$N$2:$N$406,""),IF(N(_xlpm.t)=0,"",_xlpm.t))</f>
        <v/>
      </c>
    </row>
    <row r="254" spans="1:14" x14ac:dyDescent="0.2">
      <c r="A254" s="35" t="s">
        <v>187</v>
      </c>
      <c r="B254" s="36" t="str">
        <f t="array" ref="B254">_xlfn.XLOOKUP($A254,TRIM(SUBSTITUTE('worker file'!$A$2:$A$406,_xlfn.UNICHAR(160)," ")),'worker file'!$L$2:$L$406,"Not found")</f>
        <v>US Semi-monthly</v>
      </c>
      <c r="C254" s="36" t="str">
        <f t="array" ref="C254">_xlfn.XLOOKUP($A254,TRIM(SUBSTITUTE('worker file'!$A$2:$A$406,_xlfn.UNICHAR(160)," ")),'worker file'!$D$2:$D$406,"Not found")</f>
        <v>WA</v>
      </c>
      <c r="D254" s="36" t="str">
        <f t="array" ref="D254">_xlfn.XLOOKUP($A254,TRIM(SUBSTITUTE('worker file'!$A$2:$A$406,_xlfn.UNICHAR(160)," ")),'worker file'!$Q$2:$Q$406,"Not found")</f>
        <v>Active</v>
      </c>
      <c r="E254" s="35" t="s">
        <v>626</v>
      </c>
      <c r="F254" t="str">
        <f t="shared" si="23"/>
        <v>Medical (Health) – Employee</v>
      </c>
      <c r="G254" t="str">
        <f t="shared" si="24"/>
        <v>Pre-tax Section 125 (exempt from FIT/SIT/FICA)</v>
      </c>
      <c r="H254" t="str">
        <f t="shared" si="25"/>
        <v>Flat</v>
      </c>
      <c r="I254" s="40" t="str">
        <f>IF($H254="Percent",_xlfn.XLOOKUP($E254,$A$5:$A$8,$F$5:$F$8,""),"")</f>
        <v/>
      </c>
      <c r="J254" s="38">
        <f t="shared" si="26"/>
        <v>200</v>
      </c>
      <c r="K254" t="str">
        <f t="shared" si="27"/>
        <v>Per pay period</v>
      </c>
      <c r="L254" t="str">
        <f t="shared" si="28"/>
        <v>Every pay period (ongoing)</v>
      </c>
      <c r="M254" s="39">
        <f t="array" ref="M254">MAX(_xlfn.XLOOKUP($A254,TRIM(SUBSTITUTE('worker file'!$A$2:$A$406,_xlfn.UNICHAR(160)," ")),'worker file'!$M$2:$M$406,0),_xlfn.XLOOKUP($B254,TRIM('pay group &amp; schedule'!$A$2:$A$6),'pay group &amp; schedule'!$D$2:$D$6,0))</f>
        <v>46311</v>
      </c>
      <c r="N254" s="39" t="str">
        <f t="array" ref="N254">_xlfn.LET(_xlpm.t,_xlfn.XLOOKUP($A254,TRIM(SUBSTITUTE('worker file'!$A$2:$A$406,_xlfn.UNICHAR(160)," ")),'worker file'!$N$2:$N$406,""),IF(N(_xlpm.t)=0,"",_xlpm.t))</f>
        <v/>
      </c>
    </row>
    <row r="255" spans="1:14" x14ac:dyDescent="0.2">
      <c r="A255" s="35" t="s">
        <v>187</v>
      </c>
      <c r="B255" s="36" t="str">
        <f t="array" ref="B255">_xlfn.XLOOKUP($A255,TRIM(SUBSTITUTE('worker file'!$A$2:$A$406,_xlfn.UNICHAR(160)," ")),'worker file'!$L$2:$L$406,"Not found")</f>
        <v>US Semi-monthly</v>
      </c>
      <c r="C255" s="36" t="str">
        <f t="array" ref="C255">_xlfn.XLOOKUP($A255,TRIM(SUBSTITUTE('worker file'!$A$2:$A$406,_xlfn.UNICHAR(160)," ")),'worker file'!$D$2:$D$406,"Not found")</f>
        <v>WA</v>
      </c>
      <c r="D255" s="36" t="str">
        <f t="array" ref="D255">_xlfn.XLOOKUP($A255,TRIM(SUBSTITUTE('worker file'!$A$2:$A$406,_xlfn.UNICHAR(160)," ")),'worker file'!$Q$2:$Q$406,"Not found")</f>
        <v>Active</v>
      </c>
      <c r="E255" s="35" t="s">
        <v>632</v>
      </c>
      <c r="F255" t="str">
        <f t="shared" si="23"/>
        <v>Dental – Employee</v>
      </c>
      <c r="G255" t="str">
        <f t="shared" si="24"/>
        <v>Pre-tax Section 125 (exempt from FIT/SIT/FICA)</v>
      </c>
      <c r="H255" t="str">
        <f t="shared" si="25"/>
        <v>Flat</v>
      </c>
      <c r="I255" s="40" t="str">
        <f>IF($H255="Percent",_xlfn.XLOOKUP($E255,$A$5:$A$8,$F$5:$F$8,""),"")</f>
        <v/>
      </c>
      <c r="J255" s="38">
        <f t="shared" si="26"/>
        <v>44</v>
      </c>
      <c r="K255" t="str">
        <f t="shared" si="27"/>
        <v>Per pay period</v>
      </c>
      <c r="L255" t="str">
        <f t="shared" si="28"/>
        <v>Every pay period (ongoing)</v>
      </c>
      <c r="M255" s="39">
        <f t="array" ref="M255">MAX(_xlfn.XLOOKUP($A255,TRIM(SUBSTITUTE('worker file'!$A$2:$A$406,_xlfn.UNICHAR(160)," ")),'worker file'!$M$2:$M$406,0),_xlfn.XLOOKUP($B255,TRIM('pay group &amp; schedule'!$A$2:$A$6),'pay group &amp; schedule'!$D$2:$D$6,0))</f>
        <v>46311</v>
      </c>
      <c r="N255" s="39" t="str">
        <f t="array" ref="N255">_xlfn.LET(_xlpm.t,_xlfn.XLOOKUP($A255,TRIM(SUBSTITUTE('worker file'!$A$2:$A$406,_xlfn.UNICHAR(160)," ")),'worker file'!$N$2:$N$406,""),IF(N(_xlpm.t)=0,"",_xlpm.t))</f>
        <v/>
      </c>
    </row>
    <row r="256" spans="1:14" x14ac:dyDescent="0.2">
      <c r="A256" s="35" t="s">
        <v>187</v>
      </c>
      <c r="B256" s="36" t="str">
        <f t="array" ref="B256">_xlfn.XLOOKUP($A256,TRIM(SUBSTITUTE('worker file'!$A$2:$A$406,_xlfn.UNICHAR(160)," ")),'worker file'!$L$2:$L$406,"Not found")</f>
        <v>US Semi-monthly</v>
      </c>
      <c r="C256" s="36" t="str">
        <f t="array" ref="C256">_xlfn.XLOOKUP($A256,TRIM(SUBSTITUTE('worker file'!$A$2:$A$406,_xlfn.UNICHAR(160)," ")),'worker file'!$D$2:$D$406,"Not found")</f>
        <v>WA</v>
      </c>
      <c r="D256" s="36" t="str">
        <f t="array" ref="D256">_xlfn.XLOOKUP($A256,TRIM(SUBSTITUTE('worker file'!$A$2:$A$406,_xlfn.UNICHAR(160)," ")),'worker file'!$Q$2:$Q$406,"Not found")</f>
        <v>Active</v>
      </c>
      <c r="E256" s="35" t="s">
        <v>634</v>
      </c>
      <c r="F256" t="str">
        <f t="shared" si="23"/>
        <v>Vision – Employee</v>
      </c>
      <c r="G256" t="str">
        <f t="shared" si="24"/>
        <v>Pre-tax Section 125 (exempt from FIT/SIT/FICA)</v>
      </c>
      <c r="H256" t="str">
        <f t="shared" si="25"/>
        <v>Flat</v>
      </c>
      <c r="I256" s="40" t="str">
        <f>IF($H256="Percent",_xlfn.XLOOKUP($E256,$A$5:$A$8,$F$5:$F$8,""),"")</f>
        <v/>
      </c>
      <c r="J256" s="38">
        <f t="shared" si="26"/>
        <v>30</v>
      </c>
      <c r="K256" t="str">
        <f t="shared" si="27"/>
        <v>Per pay period</v>
      </c>
      <c r="L256" t="str">
        <f t="shared" si="28"/>
        <v>Every pay period (ongoing)</v>
      </c>
      <c r="M256" s="39">
        <f t="array" ref="M256">MAX(_xlfn.XLOOKUP($A256,TRIM(SUBSTITUTE('worker file'!$A$2:$A$406,_xlfn.UNICHAR(160)," ")),'worker file'!$M$2:$M$406,0),_xlfn.XLOOKUP($B256,TRIM('pay group &amp; schedule'!$A$2:$A$6),'pay group &amp; schedule'!$D$2:$D$6,0))</f>
        <v>46311</v>
      </c>
      <c r="N256" s="39" t="str">
        <f t="array" ref="N256">_xlfn.LET(_xlpm.t,_xlfn.XLOOKUP($A256,TRIM(SUBSTITUTE('worker file'!$A$2:$A$406,_xlfn.UNICHAR(160)," ")),'worker file'!$N$2:$N$406,""),IF(N(_xlpm.t)=0,"",_xlpm.t))</f>
        <v/>
      </c>
    </row>
    <row r="257" spans="1:14" x14ac:dyDescent="0.2">
      <c r="A257" s="35" t="s">
        <v>188</v>
      </c>
      <c r="B257" s="36" t="str">
        <f t="array" ref="B257">_xlfn.XLOOKUP($A257,TRIM(SUBSTITUTE('worker file'!$A$2:$A$406,_xlfn.UNICHAR(160)," ")),'worker file'!$L$2:$L$406,"Not found")</f>
        <v>US Semi-monthly</v>
      </c>
      <c r="C257" s="36" t="str">
        <f t="array" ref="C257">_xlfn.XLOOKUP($A257,TRIM(SUBSTITUTE('worker file'!$A$2:$A$406,_xlfn.UNICHAR(160)," ")),'worker file'!$D$2:$D$406,"Not found")</f>
        <v>IL</v>
      </c>
      <c r="D257" s="36" t="str">
        <f t="array" ref="D257">_xlfn.XLOOKUP($A257,TRIM(SUBSTITUTE('worker file'!$A$2:$A$406,_xlfn.UNICHAR(160)," ")),'worker file'!$Q$2:$Q$406,"Not found")</f>
        <v>Active</v>
      </c>
      <c r="E257" s="35" t="s">
        <v>618</v>
      </c>
      <c r="F257" t="str">
        <f t="shared" si="23"/>
        <v>401(k) Employee Deferral</v>
      </c>
      <c r="G257" t="str">
        <f t="shared" si="24"/>
        <v>Pre-tax (exempt from FIT/SIT; subject to FICA)</v>
      </c>
      <c r="H257" t="str">
        <f t="shared" si="25"/>
        <v>Percent</v>
      </c>
      <c r="I257" s="37">
        <v>0.06</v>
      </c>
      <c r="J257" s="38" t="str">
        <f t="shared" si="26"/>
        <v/>
      </c>
      <c r="K257" t="str">
        <f t="shared" si="27"/>
        <v>Gross pay</v>
      </c>
      <c r="L257" t="str">
        <f t="shared" si="28"/>
        <v>Every pay period (ongoing)</v>
      </c>
      <c r="M257" s="39">
        <f t="array" ref="M257">MAX(_xlfn.XLOOKUP($A257,TRIM(SUBSTITUTE('worker file'!$A$2:$A$406,_xlfn.UNICHAR(160)," ")),'worker file'!$M$2:$M$406,0),_xlfn.XLOOKUP($B257,TRIM('pay group &amp; schedule'!$A$2:$A$6),'pay group &amp; schedule'!$D$2:$D$6,0))</f>
        <v>46311</v>
      </c>
      <c r="N257" s="39" t="str">
        <f t="array" ref="N257">_xlfn.LET(_xlpm.t,_xlfn.XLOOKUP($A257,TRIM(SUBSTITUTE('worker file'!$A$2:$A$406,_xlfn.UNICHAR(160)," ")),'worker file'!$N$2:$N$406,""),IF(N(_xlpm.t)=0,"",_xlpm.t))</f>
        <v/>
      </c>
    </row>
    <row r="258" spans="1:14" x14ac:dyDescent="0.2">
      <c r="A258" s="35" t="s">
        <v>188</v>
      </c>
      <c r="B258" s="36" t="str">
        <f t="array" ref="B258">_xlfn.XLOOKUP($A258,TRIM(SUBSTITUTE('worker file'!$A$2:$A$406,_xlfn.UNICHAR(160)," ")),'worker file'!$L$2:$L$406,"Not found")</f>
        <v>US Semi-monthly</v>
      </c>
      <c r="C258" s="36" t="str">
        <f t="array" ref="C258">_xlfn.XLOOKUP($A258,TRIM(SUBSTITUTE('worker file'!$A$2:$A$406,_xlfn.UNICHAR(160)," ")),'worker file'!$D$2:$D$406,"Not found")</f>
        <v>IL</v>
      </c>
      <c r="D258" s="36" t="str">
        <f t="array" ref="D258">_xlfn.XLOOKUP($A258,TRIM(SUBSTITUTE('worker file'!$A$2:$A$406,_xlfn.UNICHAR(160)," ")),'worker file'!$Q$2:$Q$406,"Not found")</f>
        <v>Active</v>
      </c>
      <c r="E258" s="35" t="s">
        <v>626</v>
      </c>
      <c r="F258" t="str">
        <f t="shared" si="23"/>
        <v>Medical (Health) – Employee</v>
      </c>
      <c r="G258" t="str">
        <f t="shared" si="24"/>
        <v>Pre-tax Section 125 (exempt from FIT/SIT/FICA)</v>
      </c>
      <c r="H258" t="str">
        <f t="shared" si="25"/>
        <v>Flat</v>
      </c>
      <c r="I258" s="40" t="str">
        <f>IF($H258="Percent",_xlfn.XLOOKUP($E258,$A$5:$A$8,$F$5:$F$8,""),"")</f>
        <v/>
      </c>
      <c r="J258" s="38">
        <f t="shared" si="26"/>
        <v>200</v>
      </c>
      <c r="K258" t="str">
        <f t="shared" si="27"/>
        <v>Per pay period</v>
      </c>
      <c r="L258" t="str">
        <f t="shared" si="28"/>
        <v>Every pay period (ongoing)</v>
      </c>
      <c r="M258" s="39">
        <f t="array" ref="M258">MAX(_xlfn.XLOOKUP($A258,TRIM(SUBSTITUTE('worker file'!$A$2:$A$406,_xlfn.UNICHAR(160)," ")),'worker file'!$M$2:$M$406,0),_xlfn.XLOOKUP($B258,TRIM('pay group &amp; schedule'!$A$2:$A$6),'pay group &amp; schedule'!$D$2:$D$6,0))</f>
        <v>46311</v>
      </c>
      <c r="N258" s="39" t="str">
        <f t="array" ref="N258">_xlfn.LET(_xlpm.t,_xlfn.XLOOKUP($A258,TRIM(SUBSTITUTE('worker file'!$A$2:$A$406,_xlfn.UNICHAR(160)," ")),'worker file'!$N$2:$N$406,""),IF(N(_xlpm.t)=0,"",_xlpm.t))</f>
        <v/>
      </c>
    </row>
    <row r="259" spans="1:14" x14ac:dyDescent="0.2">
      <c r="A259" s="35" t="s">
        <v>188</v>
      </c>
      <c r="B259" s="36" t="str">
        <f t="array" ref="B259">_xlfn.XLOOKUP($A259,TRIM(SUBSTITUTE('worker file'!$A$2:$A$406,_xlfn.UNICHAR(160)," ")),'worker file'!$L$2:$L$406,"Not found")</f>
        <v>US Semi-monthly</v>
      </c>
      <c r="C259" s="36" t="str">
        <f t="array" ref="C259">_xlfn.XLOOKUP($A259,TRIM(SUBSTITUTE('worker file'!$A$2:$A$406,_xlfn.UNICHAR(160)," ")),'worker file'!$D$2:$D$406,"Not found")</f>
        <v>IL</v>
      </c>
      <c r="D259" s="36" t="str">
        <f t="array" ref="D259">_xlfn.XLOOKUP($A259,TRIM(SUBSTITUTE('worker file'!$A$2:$A$406,_xlfn.UNICHAR(160)," ")),'worker file'!$Q$2:$Q$406,"Not found")</f>
        <v>Active</v>
      </c>
      <c r="E259" s="35" t="s">
        <v>632</v>
      </c>
      <c r="F259" t="str">
        <f t="shared" si="23"/>
        <v>Dental – Employee</v>
      </c>
      <c r="G259" t="str">
        <f t="shared" si="24"/>
        <v>Pre-tax Section 125 (exempt from FIT/SIT/FICA)</v>
      </c>
      <c r="H259" t="str">
        <f t="shared" si="25"/>
        <v>Flat</v>
      </c>
      <c r="I259" s="40" t="str">
        <f>IF($H259="Percent",_xlfn.XLOOKUP($E259,$A$5:$A$8,$F$5:$F$8,""),"")</f>
        <v/>
      </c>
      <c r="J259" s="38">
        <f t="shared" si="26"/>
        <v>44</v>
      </c>
      <c r="K259" t="str">
        <f t="shared" si="27"/>
        <v>Per pay period</v>
      </c>
      <c r="L259" t="str">
        <f t="shared" si="28"/>
        <v>Every pay period (ongoing)</v>
      </c>
      <c r="M259" s="39">
        <f t="array" ref="M259">MAX(_xlfn.XLOOKUP($A259,TRIM(SUBSTITUTE('worker file'!$A$2:$A$406,_xlfn.UNICHAR(160)," ")),'worker file'!$M$2:$M$406,0),_xlfn.XLOOKUP($B259,TRIM('pay group &amp; schedule'!$A$2:$A$6),'pay group &amp; schedule'!$D$2:$D$6,0))</f>
        <v>46311</v>
      </c>
      <c r="N259" s="39" t="str">
        <f t="array" ref="N259">_xlfn.LET(_xlpm.t,_xlfn.XLOOKUP($A259,TRIM(SUBSTITUTE('worker file'!$A$2:$A$406,_xlfn.UNICHAR(160)," ")),'worker file'!$N$2:$N$406,""),IF(N(_xlpm.t)=0,"",_xlpm.t))</f>
        <v/>
      </c>
    </row>
    <row r="260" spans="1:14" x14ac:dyDescent="0.2">
      <c r="A260" s="35" t="s">
        <v>188</v>
      </c>
      <c r="B260" s="36" t="str">
        <f t="array" ref="B260">_xlfn.XLOOKUP($A260,TRIM(SUBSTITUTE('worker file'!$A$2:$A$406,_xlfn.UNICHAR(160)," ")),'worker file'!$L$2:$L$406,"Not found")</f>
        <v>US Semi-monthly</v>
      </c>
      <c r="C260" s="36" t="str">
        <f t="array" ref="C260">_xlfn.XLOOKUP($A260,TRIM(SUBSTITUTE('worker file'!$A$2:$A$406,_xlfn.UNICHAR(160)," ")),'worker file'!$D$2:$D$406,"Not found")</f>
        <v>IL</v>
      </c>
      <c r="D260" s="36" t="str">
        <f t="array" ref="D260">_xlfn.XLOOKUP($A260,TRIM(SUBSTITUTE('worker file'!$A$2:$A$406,_xlfn.UNICHAR(160)," ")),'worker file'!$Q$2:$Q$406,"Not found")</f>
        <v>Active</v>
      </c>
      <c r="E260" s="35" t="s">
        <v>634</v>
      </c>
      <c r="F260" t="str">
        <f t="shared" si="23"/>
        <v>Vision – Employee</v>
      </c>
      <c r="G260" t="str">
        <f t="shared" si="24"/>
        <v>Pre-tax Section 125 (exempt from FIT/SIT/FICA)</v>
      </c>
      <c r="H260" t="str">
        <f t="shared" si="25"/>
        <v>Flat</v>
      </c>
      <c r="I260" s="40" t="str">
        <f>IF($H260="Percent",_xlfn.XLOOKUP($E260,$A$5:$A$8,$F$5:$F$8,""),"")</f>
        <v/>
      </c>
      <c r="J260" s="38">
        <f t="shared" si="26"/>
        <v>30</v>
      </c>
      <c r="K260" t="str">
        <f t="shared" si="27"/>
        <v>Per pay period</v>
      </c>
      <c r="L260" t="str">
        <f t="shared" si="28"/>
        <v>Every pay period (ongoing)</v>
      </c>
      <c r="M260" s="39">
        <f t="array" ref="M260">MAX(_xlfn.XLOOKUP($A260,TRIM(SUBSTITUTE('worker file'!$A$2:$A$406,_xlfn.UNICHAR(160)," ")),'worker file'!$M$2:$M$406,0),_xlfn.XLOOKUP($B260,TRIM('pay group &amp; schedule'!$A$2:$A$6),'pay group &amp; schedule'!$D$2:$D$6,0))</f>
        <v>46311</v>
      </c>
      <c r="N260" s="39" t="str">
        <f t="array" ref="N260">_xlfn.LET(_xlpm.t,_xlfn.XLOOKUP($A260,TRIM(SUBSTITUTE('worker file'!$A$2:$A$406,_xlfn.UNICHAR(160)," ")),'worker file'!$N$2:$N$406,""),IF(N(_xlpm.t)=0,"",_xlpm.t))</f>
        <v/>
      </c>
    </row>
    <row r="261" spans="1:14" x14ac:dyDescent="0.2">
      <c r="A261" s="35" t="s">
        <v>190</v>
      </c>
      <c r="B261" s="36" t="str">
        <f t="array" ref="B261">_xlfn.XLOOKUP($A261,TRIM(SUBSTITUTE('worker file'!$A$2:$A$406,_xlfn.UNICHAR(160)," ")),'worker file'!$L$2:$L$406,"Not found")</f>
        <v>US Semi-monthly</v>
      </c>
      <c r="C261" s="36" t="str">
        <f t="array" ref="C261">_xlfn.XLOOKUP($A261,TRIM(SUBSTITUTE('worker file'!$A$2:$A$406,_xlfn.UNICHAR(160)," ")),'worker file'!$D$2:$D$406,"Not found")</f>
        <v>WA</v>
      </c>
      <c r="D261" s="36" t="str">
        <f t="array" ref="D261">_xlfn.XLOOKUP($A261,TRIM(SUBSTITUTE('worker file'!$A$2:$A$406,_xlfn.UNICHAR(160)," ")),'worker file'!$Q$2:$Q$406,"Not found")</f>
        <v>Active</v>
      </c>
      <c r="E261" s="35" t="s">
        <v>618</v>
      </c>
      <c r="F261" t="str">
        <f t="shared" si="23"/>
        <v>401(k) Employee Deferral</v>
      </c>
      <c r="G261" t="str">
        <f t="shared" si="24"/>
        <v>Pre-tax (exempt from FIT/SIT; subject to FICA)</v>
      </c>
      <c r="H261" t="str">
        <f t="shared" si="25"/>
        <v>Percent</v>
      </c>
      <c r="I261" s="37">
        <v>0.03</v>
      </c>
      <c r="J261" s="38" t="str">
        <f t="shared" si="26"/>
        <v/>
      </c>
      <c r="K261" t="str">
        <f t="shared" si="27"/>
        <v>Gross pay</v>
      </c>
      <c r="L261" t="str">
        <f t="shared" si="28"/>
        <v>Every pay period (ongoing)</v>
      </c>
      <c r="M261" s="39">
        <f t="array" ref="M261">MAX(_xlfn.XLOOKUP($A261,TRIM(SUBSTITUTE('worker file'!$A$2:$A$406,_xlfn.UNICHAR(160)," ")),'worker file'!$M$2:$M$406,0),_xlfn.XLOOKUP($B261,TRIM('pay group &amp; schedule'!$A$2:$A$6),'pay group &amp; schedule'!$D$2:$D$6,0))</f>
        <v>46311</v>
      </c>
      <c r="N261" s="39" t="str">
        <f t="array" ref="N261">_xlfn.LET(_xlpm.t,_xlfn.XLOOKUP($A261,TRIM(SUBSTITUTE('worker file'!$A$2:$A$406,_xlfn.UNICHAR(160)," ")),'worker file'!$N$2:$N$406,""),IF(N(_xlpm.t)=0,"",_xlpm.t))</f>
        <v/>
      </c>
    </row>
    <row r="262" spans="1:14" x14ac:dyDescent="0.2">
      <c r="A262" s="35" t="s">
        <v>190</v>
      </c>
      <c r="B262" s="36" t="str">
        <f t="array" ref="B262">_xlfn.XLOOKUP($A262,TRIM(SUBSTITUTE('worker file'!$A$2:$A$406,_xlfn.UNICHAR(160)," ")),'worker file'!$L$2:$L$406,"Not found")</f>
        <v>US Semi-monthly</v>
      </c>
      <c r="C262" s="36" t="str">
        <f t="array" ref="C262">_xlfn.XLOOKUP($A262,TRIM(SUBSTITUTE('worker file'!$A$2:$A$406,_xlfn.UNICHAR(160)," ")),'worker file'!$D$2:$D$406,"Not found")</f>
        <v>WA</v>
      </c>
      <c r="D262" s="36" t="str">
        <f t="array" ref="D262">_xlfn.XLOOKUP($A262,TRIM(SUBSTITUTE('worker file'!$A$2:$A$406,_xlfn.UNICHAR(160)," ")),'worker file'!$Q$2:$Q$406,"Not found")</f>
        <v>Active</v>
      </c>
      <c r="E262" s="35" t="s">
        <v>626</v>
      </c>
      <c r="F262" t="str">
        <f t="shared" si="23"/>
        <v>Medical (Health) – Employee</v>
      </c>
      <c r="G262" t="str">
        <f t="shared" si="24"/>
        <v>Pre-tax Section 125 (exempt from FIT/SIT/FICA)</v>
      </c>
      <c r="H262" t="str">
        <f t="shared" si="25"/>
        <v>Flat</v>
      </c>
      <c r="I262" s="40" t="str">
        <f>IF($H262="Percent",_xlfn.XLOOKUP($E262,$A$5:$A$8,$F$5:$F$8,""),"")</f>
        <v/>
      </c>
      <c r="J262" s="38">
        <f t="shared" si="26"/>
        <v>200</v>
      </c>
      <c r="K262" t="str">
        <f t="shared" si="27"/>
        <v>Per pay period</v>
      </c>
      <c r="L262" t="str">
        <f t="shared" si="28"/>
        <v>Every pay period (ongoing)</v>
      </c>
      <c r="M262" s="39">
        <f t="array" ref="M262">MAX(_xlfn.XLOOKUP($A262,TRIM(SUBSTITUTE('worker file'!$A$2:$A$406,_xlfn.UNICHAR(160)," ")),'worker file'!$M$2:$M$406,0),_xlfn.XLOOKUP($B262,TRIM('pay group &amp; schedule'!$A$2:$A$6),'pay group &amp; schedule'!$D$2:$D$6,0))</f>
        <v>46311</v>
      </c>
      <c r="N262" s="39" t="str">
        <f t="array" ref="N262">_xlfn.LET(_xlpm.t,_xlfn.XLOOKUP($A262,TRIM(SUBSTITUTE('worker file'!$A$2:$A$406,_xlfn.UNICHAR(160)," ")),'worker file'!$N$2:$N$406,""),IF(N(_xlpm.t)=0,"",_xlpm.t))</f>
        <v/>
      </c>
    </row>
    <row r="263" spans="1:14" x14ac:dyDescent="0.2">
      <c r="A263" s="35" t="s">
        <v>190</v>
      </c>
      <c r="B263" s="36" t="str">
        <f t="array" ref="B263">_xlfn.XLOOKUP($A263,TRIM(SUBSTITUTE('worker file'!$A$2:$A$406,_xlfn.UNICHAR(160)," ")),'worker file'!$L$2:$L$406,"Not found")</f>
        <v>US Semi-monthly</v>
      </c>
      <c r="C263" s="36" t="str">
        <f t="array" ref="C263">_xlfn.XLOOKUP($A263,TRIM(SUBSTITUTE('worker file'!$A$2:$A$406,_xlfn.UNICHAR(160)," ")),'worker file'!$D$2:$D$406,"Not found")</f>
        <v>WA</v>
      </c>
      <c r="D263" s="36" t="str">
        <f t="array" ref="D263">_xlfn.XLOOKUP($A263,TRIM(SUBSTITUTE('worker file'!$A$2:$A$406,_xlfn.UNICHAR(160)," ")),'worker file'!$Q$2:$Q$406,"Not found")</f>
        <v>Active</v>
      </c>
      <c r="E263" s="35" t="s">
        <v>632</v>
      </c>
      <c r="F263" t="str">
        <f t="shared" si="23"/>
        <v>Dental – Employee</v>
      </c>
      <c r="G263" t="str">
        <f t="shared" si="24"/>
        <v>Pre-tax Section 125 (exempt from FIT/SIT/FICA)</v>
      </c>
      <c r="H263" t="str">
        <f t="shared" si="25"/>
        <v>Flat</v>
      </c>
      <c r="I263" s="40" t="str">
        <f>IF($H263="Percent",_xlfn.XLOOKUP($E263,$A$5:$A$8,$F$5:$F$8,""),"")</f>
        <v/>
      </c>
      <c r="J263" s="38">
        <f t="shared" si="26"/>
        <v>44</v>
      </c>
      <c r="K263" t="str">
        <f t="shared" si="27"/>
        <v>Per pay period</v>
      </c>
      <c r="L263" t="str">
        <f t="shared" si="28"/>
        <v>Every pay period (ongoing)</v>
      </c>
      <c r="M263" s="39">
        <f t="array" ref="M263">MAX(_xlfn.XLOOKUP($A263,TRIM(SUBSTITUTE('worker file'!$A$2:$A$406,_xlfn.UNICHAR(160)," ")),'worker file'!$M$2:$M$406,0),_xlfn.XLOOKUP($B263,TRIM('pay group &amp; schedule'!$A$2:$A$6),'pay group &amp; schedule'!$D$2:$D$6,0))</f>
        <v>46311</v>
      </c>
      <c r="N263" s="39" t="str">
        <f t="array" ref="N263">_xlfn.LET(_xlpm.t,_xlfn.XLOOKUP($A263,TRIM(SUBSTITUTE('worker file'!$A$2:$A$406,_xlfn.UNICHAR(160)," ")),'worker file'!$N$2:$N$406,""),IF(N(_xlpm.t)=0,"",_xlpm.t))</f>
        <v/>
      </c>
    </row>
    <row r="264" spans="1:14" x14ac:dyDescent="0.2">
      <c r="A264" s="35" t="s">
        <v>190</v>
      </c>
      <c r="B264" s="36" t="str">
        <f t="array" ref="B264">_xlfn.XLOOKUP($A264,TRIM(SUBSTITUTE('worker file'!$A$2:$A$406,_xlfn.UNICHAR(160)," ")),'worker file'!$L$2:$L$406,"Not found")</f>
        <v>US Semi-monthly</v>
      </c>
      <c r="C264" s="36" t="str">
        <f t="array" ref="C264">_xlfn.XLOOKUP($A264,TRIM(SUBSTITUTE('worker file'!$A$2:$A$406,_xlfn.UNICHAR(160)," ")),'worker file'!$D$2:$D$406,"Not found")</f>
        <v>WA</v>
      </c>
      <c r="D264" s="36" t="str">
        <f t="array" ref="D264">_xlfn.XLOOKUP($A264,TRIM(SUBSTITUTE('worker file'!$A$2:$A$406,_xlfn.UNICHAR(160)," ")),'worker file'!$Q$2:$Q$406,"Not found")</f>
        <v>Active</v>
      </c>
      <c r="E264" s="35" t="s">
        <v>634</v>
      </c>
      <c r="F264" t="str">
        <f t="shared" si="23"/>
        <v>Vision – Employee</v>
      </c>
      <c r="G264" t="str">
        <f t="shared" si="24"/>
        <v>Pre-tax Section 125 (exempt from FIT/SIT/FICA)</v>
      </c>
      <c r="H264" t="str">
        <f t="shared" si="25"/>
        <v>Flat</v>
      </c>
      <c r="I264" s="40" t="str">
        <f>IF($H264="Percent",_xlfn.XLOOKUP($E264,$A$5:$A$8,$F$5:$F$8,""),"")</f>
        <v/>
      </c>
      <c r="J264" s="38">
        <f t="shared" si="26"/>
        <v>30</v>
      </c>
      <c r="K264" t="str">
        <f t="shared" si="27"/>
        <v>Per pay period</v>
      </c>
      <c r="L264" t="str">
        <f t="shared" si="28"/>
        <v>Every pay period (ongoing)</v>
      </c>
      <c r="M264" s="39">
        <f t="array" ref="M264">MAX(_xlfn.XLOOKUP($A264,TRIM(SUBSTITUTE('worker file'!$A$2:$A$406,_xlfn.UNICHAR(160)," ")),'worker file'!$M$2:$M$406,0),_xlfn.XLOOKUP($B264,TRIM('pay group &amp; schedule'!$A$2:$A$6),'pay group &amp; schedule'!$D$2:$D$6,0))</f>
        <v>46311</v>
      </c>
      <c r="N264" s="39" t="str">
        <f t="array" ref="N264">_xlfn.LET(_xlpm.t,_xlfn.XLOOKUP($A264,TRIM(SUBSTITUTE('worker file'!$A$2:$A$406,_xlfn.UNICHAR(160)," ")),'worker file'!$N$2:$N$406,""),IF(N(_xlpm.t)=0,"",_xlpm.t))</f>
        <v/>
      </c>
    </row>
    <row r="265" spans="1:14" x14ac:dyDescent="0.2">
      <c r="A265" s="35" t="s">
        <v>192</v>
      </c>
      <c r="B265" s="36" t="str">
        <f t="array" ref="B265">_xlfn.XLOOKUP($A265,TRIM(SUBSTITUTE('worker file'!$A$2:$A$406,_xlfn.UNICHAR(160)," ")),'worker file'!$L$2:$L$406,"Not found")</f>
        <v>US Semi-monthly</v>
      </c>
      <c r="C265" s="36" t="str">
        <f t="array" ref="C265">_xlfn.XLOOKUP($A265,TRIM(SUBSTITUTE('worker file'!$A$2:$A$406,_xlfn.UNICHAR(160)," ")),'worker file'!$D$2:$D$406,"Not found")</f>
        <v>TX</v>
      </c>
      <c r="D265" s="36" t="str">
        <f t="array" ref="D265">_xlfn.XLOOKUP($A265,TRIM(SUBSTITUTE('worker file'!$A$2:$A$406,_xlfn.UNICHAR(160)," ")),'worker file'!$Q$2:$Q$406,"Not found")</f>
        <v>Active</v>
      </c>
      <c r="E265" s="35" t="s">
        <v>618</v>
      </c>
      <c r="F265" t="str">
        <f t="shared" si="23"/>
        <v>401(k) Employee Deferral</v>
      </c>
      <c r="G265" t="str">
        <f t="shared" si="24"/>
        <v>Pre-tax (exempt from FIT/SIT; subject to FICA)</v>
      </c>
      <c r="H265" t="str">
        <f t="shared" si="25"/>
        <v>Percent</v>
      </c>
      <c r="I265" s="37">
        <v>0</v>
      </c>
      <c r="J265" s="38" t="str">
        <f t="shared" si="26"/>
        <v/>
      </c>
      <c r="K265" t="str">
        <f t="shared" si="27"/>
        <v>Gross pay</v>
      </c>
      <c r="L265" t="str">
        <f t="shared" si="28"/>
        <v>Every pay period (ongoing)</v>
      </c>
      <c r="M265" s="39">
        <f t="array" ref="M265">MAX(_xlfn.XLOOKUP($A265,TRIM(SUBSTITUTE('worker file'!$A$2:$A$406,_xlfn.UNICHAR(160)," ")),'worker file'!$M$2:$M$406,0),_xlfn.XLOOKUP($B265,TRIM('pay group &amp; schedule'!$A$2:$A$6),'pay group &amp; schedule'!$D$2:$D$6,0))</f>
        <v>46311</v>
      </c>
      <c r="N265" s="39" t="str">
        <f t="array" ref="N265">_xlfn.LET(_xlpm.t,_xlfn.XLOOKUP($A265,TRIM(SUBSTITUTE('worker file'!$A$2:$A$406,_xlfn.UNICHAR(160)," ")),'worker file'!$N$2:$N$406,""),IF(N(_xlpm.t)=0,"",_xlpm.t))</f>
        <v/>
      </c>
    </row>
    <row r="266" spans="1:14" x14ac:dyDescent="0.2">
      <c r="A266" s="35" t="s">
        <v>192</v>
      </c>
      <c r="B266" s="36" t="str">
        <f t="array" ref="B266">_xlfn.XLOOKUP($A266,TRIM(SUBSTITUTE('worker file'!$A$2:$A$406,_xlfn.UNICHAR(160)," ")),'worker file'!$L$2:$L$406,"Not found")</f>
        <v>US Semi-monthly</v>
      </c>
      <c r="C266" s="36" t="str">
        <f t="array" ref="C266">_xlfn.XLOOKUP($A266,TRIM(SUBSTITUTE('worker file'!$A$2:$A$406,_xlfn.UNICHAR(160)," ")),'worker file'!$D$2:$D$406,"Not found")</f>
        <v>TX</v>
      </c>
      <c r="D266" s="36" t="str">
        <f t="array" ref="D266">_xlfn.XLOOKUP($A266,TRIM(SUBSTITUTE('worker file'!$A$2:$A$406,_xlfn.UNICHAR(160)," ")),'worker file'!$Q$2:$Q$406,"Not found")</f>
        <v>Active</v>
      </c>
      <c r="E266" s="35" t="s">
        <v>626</v>
      </c>
      <c r="F266" t="str">
        <f t="shared" si="23"/>
        <v>Medical (Health) – Employee</v>
      </c>
      <c r="G266" t="str">
        <f t="shared" si="24"/>
        <v>Pre-tax Section 125 (exempt from FIT/SIT/FICA)</v>
      </c>
      <c r="H266" t="str">
        <f t="shared" si="25"/>
        <v>Flat</v>
      </c>
      <c r="I266" s="40" t="str">
        <f>IF($H266="Percent",_xlfn.XLOOKUP($E266,$A$5:$A$8,$F$5:$F$8,""),"")</f>
        <v/>
      </c>
      <c r="J266" s="38">
        <f t="shared" si="26"/>
        <v>200</v>
      </c>
      <c r="K266" t="str">
        <f t="shared" si="27"/>
        <v>Per pay period</v>
      </c>
      <c r="L266" t="str">
        <f t="shared" si="28"/>
        <v>Every pay period (ongoing)</v>
      </c>
      <c r="M266" s="39">
        <f t="array" ref="M266">MAX(_xlfn.XLOOKUP($A266,TRIM(SUBSTITUTE('worker file'!$A$2:$A$406,_xlfn.UNICHAR(160)," ")),'worker file'!$M$2:$M$406,0),_xlfn.XLOOKUP($B266,TRIM('pay group &amp; schedule'!$A$2:$A$6),'pay group &amp; schedule'!$D$2:$D$6,0))</f>
        <v>46311</v>
      </c>
      <c r="N266" s="39" t="str">
        <f t="array" ref="N266">_xlfn.LET(_xlpm.t,_xlfn.XLOOKUP($A266,TRIM(SUBSTITUTE('worker file'!$A$2:$A$406,_xlfn.UNICHAR(160)," ")),'worker file'!$N$2:$N$406,""),IF(N(_xlpm.t)=0,"",_xlpm.t))</f>
        <v/>
      </c>
    </row>
    <row r="267" spans="1:14" x14ac:dyDescent="0.2">
      <c r="A267" s="35" t="s">
        <v>192</v>
      </c>
      <c r="B267" s="36" t="str">
        <f t="array" ref="B267">_xlfn.XLOOKUP($A267,TRIM(SUBSTITUTE('worker file'!$A$2:$A$406,_xlfn.UNICHAR(160)," ")),'worker file'!$L$2:$L$406,"Not found")</f>
        <v>US Semi-monthly</v>
      </c>
      <c r="C267" s="36" t="str">
        <f t="array" ref="C267">_xlfn.XLOOKUP($A267,TRIM(SUBSTITUTE('worker file'!$A$2:$A$406,_xlfn.UNICHAR(160)," ")),'worker file'!$D$2:$D$406,"Not found")</f>
        <v>TX</v>
      </c>
      <c r="D267" s="36" t="str">
        <f t="array" ref="D267">_xlfn.XLOOKUP($A267,TRIM(SUBSTITUTE('worker file'!$A$2:$A$406,_xlfn.UNICHAR(160)," ")),'worker file'!$Q$2:$Q$406,"Not found")</f>
        <v>Active</v>
      </c>
      <c r="E267" s="35" t="s">
        <v>632</v>
      </c>
      <c r="F267" t="str">
        <f t="shared" si="23"/>
        <v>Dental – Employee</v>
      </c>
      <c r="G267" t="str">
        <f t="shared" si="24"/>
        <v>Pre-tax Section 125 (exempt from FIT/SIT/FICA)</v>
      </c>
      <c r="H267" t="str">
        <f t="shared" si="25"/>
        <v>Flat</v>
      </c>
      <c r="I267" s="40" t="str">
        <f>IF($H267="Percent",_xlfn.XLOOKUP($E267,$A$5:$A$8,$F$5:$F$8,""),"")</f>
        <v/>
      </c>
      <c r="J267" s="38">
        <f t="shared" si="26"/>
        <v>44</v>
      </c>
      <c r="K267" t="str">
        <f t="shared" si="27"/>
        <v>Per pay period</v>
      </c>
      <c r="L267" t="str">
        <f t="shared" si="28"/>
        <v>Every pay period (ongoing)</v>
      </c>
      <c r="M267" s="39">
        <f t="array" ref="M267">MAX(_xlfn.XLOOKUP($A267,TRIM(SUBSTITUTE('worker file'!$A$2:$A$406,_xlfn.UNICHAR(160)," ")),'worker file'!$M$2:$M$406,0),_xlfn.XLOOKUP($B267,TRIM('pay group &amp; schedule'!$A$2:$A$6),'pay group &amp; schedule'!$D$2:$D$6,0))</f>
        <v>46311</v>
      </c>
      <c r="N267" s="39" t="str">
        <f t="array" ref="N267">_xlfn.LET(_xlpm.t,_xlfn.XLOOKUP($A267,TRIM(SUBSTITUTE('worker file'!$A$2:$A$406,_xlfn.UNICHAR(160)," ")),'worker file'!$N$2:$N$406,""),IF(N(_xlpm.t)=0,"",_xlpm.t))</f>
        <v/>
      </c>
    </row>
    <row r="268" spans="1:14" x14ac:dyDescent="0.2">
      <c r="A268" s="35" t="s">
        <v>192</v>
      </c>
      <c r="B268" s="36" t="str">
        <f t="array" ref="B268">_xlfn.XLOOKUP($A268,TRIM(SUBSTITUTE('worker file'!$A$2:$A$406,_xlfn.UNICHAR(160)," ")),'worker file'!$L$2:$L$406,"Not found")</f>
        <v>US Semi-monthly</v>
      </c>
      <c r="C268" s="36" t="str">
        <f t="array" ref="C268">_xlfn.XLOOKUP($A268,TRIM(SUBSTITUTE('worker file'!$A$2:$A$406,_xlfn.UNICHAR(160)," ")),'worker file'!$D$2:$D$406,"Not found")</f>
        <v>TX</v>
      </c>
      <c r="D268" s="36" t="str">
        <f t="array" ref="D268">_xlfn.XLOOKUP($A268,TRIM(SUBSTITUTE('worker file'!$A$2:$A$406,_xlfn.UNICHAR(160)," ")),'worker file'!$Q$2:$Q$406,"Not found")</f>
        <v>Active</v>
      </c>
      <c r="E268" s="35" t="s">
        <v>634</v>
      </c>
      <c r="F268" t="str">
        <f t="shared" ref="F268:F331" si="31">_xlfn.XLOOKUP($E268,$A$5:$A$8,$B$5:$B$8,"")</f>
        <v>Vision – Employee</v>
      </c>
      <c r="G268" t="str">
        <f t="shared" ref="G268:G331" si="32">_xlfn.XLOOKUP($E268,$A$5:$A$8,$D$5:$D$8,"")</f>
        <v>Pre-tax Section 125 (exempt from FIT/SIT/FICA)</v>
      </c>
      <c r="H268" t="str">
        <f t="shared" ref="H268:H331" si="33">_xlfn.XLOOKUP($E268,$A$5:$A$8,$E$5:$E$8,"")</f>
        <v>Flat</v>
      </c>
      <c r="I268" s="40" t="str">
        <f>IF($H268="Percent",_xlfn.XLOOKUP($E268,$A$5:$A$8,$F$5:$F$8,""),"")</f>
        <v/>
      </c>
      <c r="J268" s="38">
        <f t="shared" ref="J268:J331" si="34">IF($H268="Flat",_xlfn.XLOOKUP($E268,$A$5:$A$8,$F$5:$F$8,""),"")</f>
        <v>30</v>
      </c>
      <c r="K268" t="str">
        <f t="shared" ref="K268:K331" si="35">_xlfn.XLOOKUP($E268,$A$5:$A$8,$G$5:$G$8,"")</f>
        <v>Per pay period</v>
      </c>
      <c r="L268" t="str">
        <f t="shared" ref="L268:L331" si="36">_xlfn.XLOOKUP($E268,$A$5:$A$8,$H$5:$H$8,"")</f>
        <v>Every pay period (ongoing)</v>
      </c>
      <c r="M268" s="39">
        <f t="array" ref="M268">MAX(_xlfn.XLOOKUP($A268,TRIM(SUBSTITUTE('worker file'!$A$2:$A$406,_xlfn.UNICHAR(160)," ")),'worker file'!$M$2:$M$406,0),_xlfn.XLOOKUP($B268,TRIM('pay group &amp; schedule'!$A$2:$A$6),'pay group &amp; schedule'!$D$2:$D$6,0))</f>
        <v>46311</v>
      </c>
      <c r="N268" s="39" t="str">
        <f t="array" ref="N268">_xlfn.LET(_xlpm.t,_xlfn.XLOOKUP($A268,TRIM(SUBSTITUTE('worker file'!$A$2:$A$406,_xlfn.UNICHAR(160)," ")),'worker file'!$N$2:$N$406,""),IF(N(_xlpm.t)=0,"",_xlpm.t))</f>
        <v/>
      </c>
    </row>
    <row r="269" spans="1:14" x14ac:dyDescent="0.2">
      <c r="A269" s="35" t="s">
        <v>194</v>
      </c>
      <c r="B269" s="36" t="str">
        <f t="array" ref="B269">_xlfn.XLOOKUP($A269,TRIM(SUBSTITUTE('worker file'!$A$2:$A$406,_xlfn.UNICHAR(160)," ")),'worker file'!$L$2:$L$406,"Not found")</f>
        <v>US Biweekly</v>
      </c>
      <c r="C269" s="36" t="str">
        <f t="array" ref="C269">_xlfn.XLOOKUP($A269,TRIM(SUBSTITUTE('worker file'!$A$2:$A$406,_xlfn.UNICHAR(160)," ")),'worker file'!$D$2:$D$406,"Not found")</f>
        <v>CA</v>
      </c>
      <c r="D269" s="36" t="str">
        <f t="array" ref="D269">_xlfn.XLOOKUP($A269,TRIM(SUBSTITUTE('worker file'!$A$2:$A$406,_xlfn.UNICHAR(160)," ")),'worker file'!$Q$2:$Q$406,"Not found")</f>
        <v>Active</v>
      </c>
      <c r="E269" s="35" t="s">
        <v>618</v>
      </c>
      <c r="F269" t="str">
        <f t="shared" si="31"/>
        <v>401(k) Employee Deferral</v>
      </c>
      <c r="G269" t="str">
        <f t="shared" si="32"/>
        <v>Pre-tax (exempt from FIT/SIT; subject to FICA)</v>
      </c>
      <c r="H269" t="str">
        <f t="shared" si="33"/>
        <v>Percent</v>
      </c>
      <c r="I269" s="37">
        <v>0.05</v>
      </c>
      <c r="J269" s="38" t="str">
        <f t="shared" si="34"/>
        <v/>
      </c>
      <c r="K269" t="str">
        <f t="shared" si="35"/>
        <v>Gross pay</v>
      </c>
      <c r="L269" t="str">
        <f t="shared" si="36"/>
        <v>Every pay period (ongoing)</v>
      </c>
      <c r="M269" s="39">
        <f t="array" ref="M269">MAX(_xlfn.XLOOKUP($A269,TRIM(SUBSTITUTE('worker file'!$A$2:$A$406,_xlfn.UNICHAR(160)," ")),'worker file'!$M$2:$M$406,0),_xlfn.XLOOKUP($B269,TRIM('pay group &amp; schedule'!$A$2:$A$6),'pay group &amp; schedule'!$D$2:$D$6,0))</f>
        <v>46299</v>
      </c>
      <c r="N269" s="39" t="str">
        <f t="array" ref="N269">_xlfn.LET(_xlpm.t,_xlfn.XLOOKUP($A269,TRIM(SUBSTITUTE('worker file'!$A$2:$A$406,_xlfn.UNICHAR(160)," ")),'worker file'!$N$2:$N$406,""),IF(N(_xlpm.t)=0,"",_xlpm.t))</f>
        <v/>
      </c>
    </row>
    <row r="270" spans="1:14" x14ac:dyDescent="0.2">
      <c r="A270" s="35" t="s">
        <v>194</v>
      </c>
      <c r="B270" s="36" t="str">
        <f t="array" ref="B270">_xlfn.XLOOKUP($A270,TRIM(SUBSTITUTE('worker file'!$A$2:$A$406,_xlfn.UNICHAR(160)," ")),'worker file'!$L$2:$L$406,"Not found")</f>
        <v>US Biweekly</v>
      </c>
      <c r="C270" s="36" t="str">
        <f t="array" ref="C270">_xlfn.XLOOKUP($A270,TRIM(SUBSTITUTE('worker file'!$A$2:$A$406,_xlfn.UNICHAR(160)," ")),'worker file'!$D$2:$D$406,"Not found")</f>
        <v>CA</v>
      </c>
      <c r="D270" s="36" t="str">
        <f t="array" ref="D270">_xlfn.XLOOKUP($A270,TRIM(SUBSTITUTE('worker file'!$A$2:$A$406,_xlfn.UNICHAR(160)," ")),'worker file'!$Q$2:$Q$406,"Not found")</f>
        <v>Active</v>
      </c>
      <c r="E270" s="35" t="s">
        <v>626</v>
      </c>
      <c r="F270" t="str">
        <f t="shared" si="31"/>
        <v>Medical (Health) – Employee</v>
      </c>
      <c r="G270" t="str">
        <f t="shared" si="32"/>
        <v>Pre-tax Section 125 (exempt from FIT/SIT/FICA)</v>
      </c>
      <c r="H270" t="str">
        <f t="shared" si="33"/>
        <v>Flat</v>
      </c>
      <c r="I270" s="40" t="str">
        <f>IF($H270="Percent",_xlfn.XLOOKUP($E270,$A$5:$A$8,$F$5:$F$8,""),"")</f>
        <v/>
      </c>
      <c r="J270" s="38">
        <f t="shared" si="34"/>
        <v>200</v>
      </c>
      <c r="K270" t="str">
        <f t="shared" si="35"/>
        <v>Per pay period</v>
      </c>
      <c r="L270" t="str">
        <f t="shared" si="36"/>
        <v>Every pay period (ongoing)</v>
      </c>
      <c r="M270" s="39">
        <f t="array" ref="M270">MAX(_xlfn.XLOOKUP($A270,TRIM(SUBSTITUTE('worker file'!$A$2:$A$406,_xlfn.UNICHAR(160)," ")),'worker file'!$M$2:$M$406,0),_xlfn.XLOOKUP($B270,TRIM('pay group &amp; schedule'!$A$2:$A$6),'pay group &amp; schedule'!$D$2:$D$6,0))</f>
        <v>46299</v>
      </c>
      <c r="N270" s="39" t="str">
        <f t="array" ref="N270">_xlfn.LET(_xlpm.t,_xlfn.XLOOKUP($A270,TRIM(SUBSTITUTE('worker file'!$A$2:$A$406,_xlfn.UNICHAR(160)," ")),'worker file'!$N$2:$N$406,""),IF(N(_xlpm.t)=0,"",_xlpm.t))</f>
        <v/>
      </c>
    </row>
    <row r="271" spans="1:14" x14ac:dyDescent="0.2">
      <c r="A271" s="35" t="s">
        <v>194</v>
      </c>
      <c r="B271" s="36" t="str">
        <f t="array" ref="B271">_xlfn.XLOOKUP($A271,TRIM(SUBSTITUTE('worker file'!$A$2:$A$406,_xlfn.UNICHAR(160)," ")),'worker file'!$L$2:$L$406,"Not found")</f>
        <v>US Biweekly</v>
      </c>
      <c r="C271" s="36" t="str">
        <f t="array" ref="C271">_xlfn.XLOOKUP($A271,TRIM(SUBSTITUTE('worker file'!$A$2:$A$406,_xlfn.UNICHAR(160)," ")),'worker file'!$D$2:$D$406,"Not found")</f>
        <v>CA</v>
      </c>
      <c r="D271" s="36" t="str">
        <f t="array" ref="D271">_xlfn.XLOOKUP($A271,TRIM(SUBSTITUTE('worker file'!$A$2:$A$406,_xlfn.UNICHAR(160)," ")),'worker file'!$Q$2:$Q$406,"Not found")</f>
        <v>Active</v>
      </c>
      <c r="E271" s="35" t="s">
        <v>632</v>
      </c>
      <c r="F271" t="str">
        <f t="shared" si="31"/>
        <v>Dental – Employee</v>
      </c>
      <c r="G271" t="str">
        <f t="shared" si="32"/>
        <v>Pre-tax Section 125 (exempt from FIT/SIT/FICA)</v>
      </c>
      <c r="H271" t="str">
        <f t="shared" si="33"/>
        <v>Flat</v>
      </c>
      <c r="I271" s="40" t="str">
        <f>IF($H271="Percent",_xlfn.XLOOKUP($E271,$A$5:$A$8,$F$5:$F$8,""),"")</f>
        <v/>
      </c>
      <c r="J271" s="38">
        <f t="shared" si="34"/>
        <v>44</v>
      </c>
      <c r="K271" t="str">
        <f t="shared" si="35"/>
        <v>Per pay period</v>
      </c>
      <c r="L271" t="str">
        <f t="shared" si="36"/>
        <v>Every pay period (ongoing)</v>
      </c>
      <c r="M271" s="39">
        <f t="array" ref="M271">MAX(_xlfn.XLOOKUP($A271,TRIM(SUBSTITUTE('worker file'!$A$2:$A$406,_xlfn.UNICHAR(160)," ")),'worker file'!$M$2:$M$406,0),_xlfn.XLOOKUP($B271,TRIM('pay group &amp; schedule'!$A$2:$A$6),'pay group &amp; schedule'!$D$2:$D$6,0))</f>
        <v>46299</v>
      </c>
      <c r="N271" s="39" t="str">
        <f t="array" ref="N271">_xlfn.LET(_xlpm.t,_xlfn.XLOOKUP($A271,TRIM(SUBSTITUTE('worker file'!$A$2:$A$406,_xlfn.UNICHAR(160)," ")),'worker file'!$N$2:$N$406,""),IF(N(_xlpm.t)=0,"",_xlpm.t))</f>
        <v/>
      </c>
    </row>
    <row r="272" spans="1:14" x14ac:dyDescent="0.2">
      <c r="A272" s="35" t="s">
        <v>194</v>
      </c>
      <c r="B272" s="36" t="str">
        <f t="array" ref="B272">_xlfn.XLOOKUP($A272,TRIM(SUBSTITUTE('worker file'!$A$2:$A$406,_xlfn.UNICHAR(160)," ")),'worker file'!$L$2:$L$406,"Not found")</f>
        <v>US Biweekly</v>
      </c>
      <c r="C272" s="36" t="str">
        <f t="array" ref="C272">_xlfn.XLOOKUP($A272,TRIM(SUBSTITUTE('worker file'!$A$2:$A$406,_xlfn.UNICHAR(160)," ")),'worker file'!$D$2:$D$406,"Not found")</f>
        <v>CA</v>
      </c>
      <c r="D272" s="36" t="str">
        <f t="array" ref="D272">_xlfn.XLOOKUP($A272,TRIM(SUBSTITUTE('worker file'!$A$2:$A$406,_xlfn.UNICHAR(160)," ")),'worker file'!$Q$2:$Q$406,"Not found")</f>
        <v>Active</v>
      </c>
      <c r="E272" s="35" t="s">
        <v>634</v>
      </c>
      <c r="F272" t="str">
        <f t="shared" si="31"/>
        <v>Vision – Employee</v>
      </c>
      <c r="G272" t="str">
        <f t="shared" si="32"/>
        <v>Pre-tax Section 125 (exempt from FIT/SIT/FICA)</v>
      </c>
      <c r="H272" t="str">
        <f t="shared" si="33"/>
        <v>Flat</v>
      </c>
      <c r="I272" s="40" t="str">
        <f>IF($H272="Percent",_xlfn.XLOOKUP($E272,$A$5:$A$8,$F$5:$F$8,""),"")</f>
        <v/>
      </c>
      <c r="J272" s="38">
        <f t="shared" si="34"/>
        <v>30</v>
      </c>
      <c r="K272" t="str">
        <f t="shared" si="35"/>
        <v>Per pay period</v>
      </c>
      <c r="L272" t="str">
        <f t="shared" si="36"/>
        <v>Every pay period (ongoing)</v>
      </c>
      <c r="M272" s="39">
        <f t="array" ref="M272">MAX(_xlfn.XLOOKUP($A272,TRIM(SUBSTITUTE('worker file'!$A$2:$A$406,_xlfn.UNICHAR(160)," ")),'worker file'!$M$2:$M$406,0),_xlfn.XLOOKUP($B272,TRIM('pay group &amp; schedule'!$A$2:$A$6),'pay group &amp; schedule'!$D$2:$D$6,0))</f>
        <v>46299</v>
      </c>
      <c r="N272" s="39" t="str">
        <f t="array" ref="N272">_xlfn.LET(_xlpm.t,_xlfn.XLOOKUP($A272,TRIM(SUBSTITUTE('worker file'!$A$2:$A$406,_xlfn.UNICHAR(160)," ")),'worker file'!$N$2:$N$406,""),IF(N(_xlpm.t)=0,"",_xlpm.t))</f>
        <v/>
      </c>
    </row>
    <row r="273" spans="1:14" x14ac:dyDescent="0.2">
      <c r="A273" s="35" t="s">
        <v>195</v>
      </c>
      <c r="B273" s="36" t="str">
        <f t="array" ref="B273">_xlfn.XLOOKUP($A273,TRIM(SUBSTITUTE('worker file'!$A$2:$A$406,_xlfn.UNICHAR(160)," ")),'worker file'!$L$2:$L$406,"Not found")</f>
        <v>US Semi-monthly</v>
      </c>
      <c r="C273" s="36" t="str">
        <f t="array" ref="C273">_xlfn.XLOOKUP($A273,TRIM(SUBSTITUTE('worker file'!$A$2:$A$406,_xlfn.UNICHAR(160)," ")),'worker file'!$D$2:$D$406,"Not found")</f>
        <v>CA</v>
      </c>
      <c r="D273" s="36" t="str">
        <f t="array" ref="D273">_xlfn.XLOOKUP($A273,TRIM(SUBSTITUTE('worker file'!$A$2:$A$406,_xlfn.UNICHAR(160)," ")),'worker file'!$Q$2:$Q$406,"Not found")</f>
        <v>Active</v>
      </c>
      <c r="E273" s="35" t="s">
        <v>618</v>
      </c>
      <c r="F273" t="str">
        <f t="shared" si="31"/>
        <v>401(k) Employee Deferral</v>
      </c>
      <c r="G273" t="str">
        <f t="shared" si="32"/>
        <v>Pre-tax (exempt from FIT/SIT; subject to FICA)</v>
      </c>
      <c r="H273" t="str">
        <f t="shared" si="33"/>
        <v>Percent</v>
      </c>
      <c r="I273" s="37">
        <v>0.02</v>
      </c>
      <c r="J273" s="38" t="str">
        <f t="shared" si="34"/>
        <v/>
      </c>
      <c r="K273" t="str">
        <f t="shared" si="35"/>
        <v>Gross pay</v>
      </c>
      <c r="L273" t="str">
        <f t="shared" si="36"/>
        <v>Every pay period (ongoing)</v>
      </c>
      <c r="M273" s="39">
        <f t="array" ref="M273">MAX(_xlfn.XLOOKUP($A273,TRIM(SUBSTITUTE('worker file'!$A$2:$A$406,_xlfn.UNICHAR(160)," ")),'worker file'!$M$2:$M$406,0),_xlfn.XLOOKUP($B273,TRIM('pay group &amp; schedule'!$A$2:$A$6),'pay group &amp; schedule'!$D$2:$D$6,0))</f>
        <v>46311</v>
      </c>
      <c r="N273" s="39" t="str">
        <f t="array" ref="N273">_xlfn.LET(_xlpm.t,_xlfn.XLOOKUP($A273,TRIM(SUBSTITUTE('worker file'!$A$2:$A$406,_xlfn.UNICHAR(160)," ")),'worker file'!$N$2:$N$406,""),IF(N(_xlpm.t)=0,"",_xlpm.t))</f>
        <v/>
      </c>
    </row>
    <row r="274" spans="1:14" x14ac:dyDescent="0.2">
      <c r="A274" s="35" t="s">
        <v>195</v>
      </c>
      <c r="B274" s="36" t="str">
        <f t="array" ref="B274">_xlfn.XLOOKUP($A274,TRIM(SUBSTITUTE('worker file'!$A$2:$A$406,_xlfn.UNICHAR(160)," ")),'worker file'!$L$2:$L$406,"Not found")</f>
        <v>US Semi-monthly</v>
      </c>
      <c r="C274" s="36" t="str">
        <f t="array" ref="C274">_xlfn.XLOOKUP($A274,TRIM(SUBSTITUTE('worker file'!$A$2:$A$406,_xlfn.UNICHAR(160)," ")),'worker file'!$D$2:$D$406,"Not found")</f>
        <v>CA</v>
      </c>
      <c r="D274" s="36" t="str">
        <f t="array" ref="D274">_xlfn.XLOOKUP($A274,TRIM(SUBSTITUTE('worker file'!$A$2:$A$406,_xlfn.UNICHAR(160)," ")),'worker file'!$Q$2:$Q$406,"Not found")</f>
        <v>Active</v>
      </c>
      <c r="E274" s="35" t="s">
        <v>626</v>
      </c>
      <c r="F274" t="str">
        <f t="shared" si="31"/>
        <v>Medical (Health) – Employee</v>
      </c>
      <c r="G274" t="str">
        <f t="shared" si="32"/>
        <v>Pre-tax Section 125 (exempt from FIT/SIT/FICA)</v>
      </c>
      <c r="H274" t="str">
        <f t="shared" si="33"/>
        <v>Flat</v>
      </c>
      <c r="I274" s="40" t="str">
        <f>IF($H274="Percent",_xlfn.XLOOKUP($E274,$A$5:$A$8,$F$5:$F$8,""),"")</f>
        <v/>
      </c>
      <c r="J274" s="38">
        <f t="shared" si="34"/>
        <v>200</v>
      </c>
      <c r="K274" t="str">
        <f t="shared" si="35"/>
        <v>Per pay period</v>
      </c>
      <c r="L274" t="str">
        <f t="shared" si="36"/>
        <v>Every pay period (ongoing)</v>
      </c>
      <c r="M274" s="39">
        <f t="array" ref="M274">MAX(_xlfn.XLOOKUP($A274,TRIM(SUBSTITUTE('worker file'!$A$2:$A$406,_xlfn.UNICHAR(160)," ")),'worker file'!$M$2:$M$406,0),_xlfn.XLOOKUP($B274,TRIM('pay group &amp; schedule'!$A$2:$A$6),'pay group &amp; schedule'!$D$2:$D$6,0))</f>
        <v>46311</v>
      </c>
      <c r="N274" s="39" t="str">
        <f t="array" ref="N274">_xlfn.LET(_xlpm.t,_xlfn.XLOOKUP($A274,TRIM(SUBSTITUTE('worker file'!$A$2:$A$406,_xlfn.UNICHAR(160)," ")),'worker file'!$N$2:$N$406,""),IF(N(_xlpm.t)=0,"",_xlpm.t))</f>
        <v/>
      </c>
    </row>
    <row r="275" spans="1:14" x14ac:dyDescent="0.2">
      <c r="A275" s="35" t="s">
        <v>195</v>
      </c>
      <c r="B275" s="36" t="str">
        <f t="array" ref="B275">_xlfn.XLOOKUP($A275,TRIM(SUBSTITUTE('worker file'!$A$2:$A$406,_xlfn.UNICHAR(160)," ")),'worker file'!$L$2:$L$406,"Not found")</f>
        <v>US Semi-monthly</v>
      </c>
      <c r="C275" s="36" t="str">
        <f t="array" ref="C275">_xlfn.XLOOKUP($A275,TRIM(SUBSTITUTE('worker file'!$A$2:$A$406,_xlfn.UNICHAR(160)," ")),'worker file'!$D$2:$D$406,"Not found")</f>
        <v>CA</v>
      </c>
      <c r="D275" s="36" t="str">
        <f t="array" ref="D275">_xlfn.XLOOKUP($A275,TRIM(SUBSTITUTE('worker file'!$A$2:$A$406,_xlfn.UNICHAR(160)," ")),'worker file'!$Q$2:$Q$406,"Not found")</f>
        <v>Active</v>
      </c>
      <c r="E275" s="35" t="s">
        <v>632</v>
      </c>
      <c r="F275" t="str">
        <f t="shared" si="31"/>
        <v>Dental – Employee</v>
      </c>
      <c r="G275" t="str">
        <f t="shared" si="32"/>
        <v>Pre-tax Section 125 (exempt from FIT/SIT/FICA)</v>
      </c>
      <c r="H275" t="str">
        <f t="shared" si="33"/>
        <v>Flat</v>
      </c>
      <c r="I275" s="40" t="str">
        <f>IF($H275="Percent",_xlfn.XLOOKUP($E275,$A$5:$A$8,$F$5:$F$8,""),"")</f>
        <v/>
      </c>
      <c r="J275" s="38">
        <f t="shared" si="34"/>
        <v>44</v>
      </c>
      <c r="K275" t="str">
        <f t="shared" si="35"/>
        <v>Per pay period</v>
      </c>
      <c r="L275" t="str">
        <f t="shared" si="36"/>
        <v>Every pay period (ongoing)</v>
      </c>
      <c r="M275" s="39">
        <f t="array" ref="M275">MAX(_xlfn.XLOOKUP($A275,TRIM(SUBSTITUTE('worker file'!$A$2:$A$406,_xlfn.UNICHAR(160)," ")),'worker file'!$M$2:$M$406,0),_xlfn.XLOOKUP($B275,TRIM('pay group &amp; schedule'!$A$2:$A$6),'pay group &amp; schedule'!$D$2:$D$6,0))</f>
        <v>46311</v>
      </c>
      <c r="N275" s="39" t="str">
        <f t="array" ref="N275">_xlfn.LET(_xlpm.t,_xlfn.XLOOKUP($A275,TRIM(SUBSTITUTE('worker file'!$A$2:$A$406,_xlfn.UNICHAR(160)," ")),'worker file'!$N$2:$N$406,""),IF(N(_xlpm.t)=0,"",_xlpm.t))</f>
        <v/>
      </c>
    </row>
    <row r="276" spans="1:14" x14ac:dyDescent="0.2">
      <c r="A276" s="35" t="s">
        <v>195</v>
      </c>
      <c r="B276" s="36" t="str">
        <f t="array" ref="B276">_xlfn.XLOOKUP($A276,TRIM(SUBSTITUTE('worker file'!$A$2:$A$406,_xlfn.UNICHAR(160)," ")),'worker file'!$L$2:$L$406,"Not found")</f>
        <v>US Semi-monthly</v>
      </c>
      <c r="C276" s="36" t="str">
        <f t="array" ref="C276">_xlfn.XLOOKUP($A276,TRIM(SUBSTITUTE('worker file'!$A$2:$A$406,_xlfn.UNICHAR(160)," ")),'worker file'!$D$2:$D$406,"Not found")</f>
        <v>CA</v>
      </c>
      <c r="D276" s="36" t="str">
        <f t="array" ref="D276">_xlfn.XLOOKUP($A276,TRIM(SUBSTITUTE('worker file'!$A$2:$A$406,_xlfn.UNICHAR(160)," ")),'worker file'!$Q$2:$Q$406,"Not found")</f>
        <v>Active</v>
      </c>
      <c r="E276" s="35" t="s">
        <v>634</v>
      </c>
      <c r="F276" t="str">
        <f t="shared" si="31"/>
        <v>Vision – Employee</v>
      </c>
      <c r="G276" t="str">
        <f t="shared" si="32"/>
        <v>Pre-tax Section 125 (exempt from FIT/SIT/FICA)</v>
      </c>
      <c r="H276" t="str">
        <f t="shared" si="33"/>
        <v>Flat</v>
      </c>
      <c r="I276" s="40" t="str">
        <f>IF($H276="Percent",_xlfn.XLOOKUP($E276,$A$5:$A$8,$F$5:$F$8,""),"")</f>
        <v/>
      </c>
      <c r="J276" s="38">
        <f t="shared" si="34"/>
        <v>30</v>
      </c>
      <c r="K276" t="str">
        <f t="shared" si="35"/>
        <v>Per pay period</v>
      </c>
      <c r="L276" t="str">
        <f t="shared" si="36"/>
        <v>Every pay period (ongoing)</v>
      </c>
      <c r="M276" s="39">
        <f t="array" ref="M276">MAX(_xlfn.XLOOKUP($A276,TRIM(SUBSTITUTE('worker file'!$A$2:$A$406,_xlfn.UNICHAR(160)," ")),'worker file'!$M$2:$M$406,0),_xlfn.XLOOKUP($B276,TRIM('pay group &amp; schedule'!$A$2:$A$6),'pay group &amp; schedule'!$D$2:$D$6,0))</f>
        <v>46311</v>
      </c>
      <c r="N276" s="39" t="str">
        <f t="array" ref="N276">_xlfn.LET(_xlpm.t,_xlfn.XLOOKUP($A276,TRIM(SUBSTITUTE('worker file'!$A$2:$A$406,_xlfn.UNICHAR(160)," ")),'worker file'!$N$2:$N$406,""),IF(N(_xlpm.t)=0,"",_xlpm.t))</f>
        <v/>
      </c>
    </row>
    <row r="277" spans="1:14" x14ac:dyDescent="0.2">
      <c r="A277" s="35" t="s">
        <v>196</v>
      </c>
      <c r="B277" s="36" t="str">
        <f t="array" ref="B277">_xlfn.XLOOKUP($A277,TRIM(SUBSTITUTE('worker file'!$A$2:$A$406,_xlfn.UNICHAR(160)," ")),'worker file'!$L$2:$L$406,"Not found")</f>
        <v>US Biweekly</v>
      </c>
      <c r="C277" s="36" t="str">
        <f t="array" ref="C277">_xlfn.XLOOKUP($A277,TRIM(SUBSTITUTE('worker file'!$A$2:$A$406,_xlfn.UNICHAR(160)," ")),'worker file'!$D$2:$D$406,"Not found")</f>
        <v>TX</v>
      </c>
      <c r="D277" s="36" t="str">
        <f t="array" ref="D277">_xlfn.XLOOKUP($A277,TRIM(SUBSTITUTE('worker file'!$A$2:$A$406,_xlfn.UNICHAR(160)," ")),'worker file'!$Q$2:$Q$406,"Not found")</f>
        <v>Active</v>
      </c>
      <c r="E277" s="35" t="s">
        <v>618</v>
      </c>
      <c r="F277" t="str">
        <f t="shared" si="31"/>
        <v>401(k) Employee Deferral</v>
      </c>
      <c r="G277" t="str">
        <f t="shared" si="32"/>
        <v>Pre-tax (exempt from FIT/SIT; subject to FICA)</v>
      </c>
      <c r="H277" t="str">
        <f t="shared" si="33"/>
        <v>Percent</v>
      </c>
      <c r="I277" s="37">
        <v>7.0000000000000007E-2</v>
      </c>
      <c r="J277" s="38" t="str">
        <f t="shared" si="34"/>
        <v/>
      </c>
      <c r="K277" t="str">
        <f t="shared" si="35"/>
        <v>Gross pay</v>
      </c>
      <c r="L277" t="str">
        <f t="shared" si="36"/>
        <v>Every pay period (ongoing)</v>
      </c>
      <c r="M277" s="39">
        <f t="array" ref="M277">MAX(_xlfn.XLOOKUP($A277,TRIM(SUBSTITUTE('worker file'!$A$2:$A$406,_xlfn.UNICHAR(160)," ")),'worker file'!$M$2:$M$406,0),_xlfn.XLOOKUP($B277,TRIM('pay group &amp; schedule'!$A$2:$A$6),'pay group &amp; schedule'!$D$2:$D$6,0))</f>
        <v>46299</v>
      </c>
      <c r="N277" s="39" t="str">
        <f t="array" ref="N277">_xlfn.LET(_xlpm.t,_xlfn.XLOOKUP($A277,TRIM(SUBSTITUTE('worker file'!$A$2:$A$406,_xlfn.UNICHAR(160)," ")),'worker file'!$N$2:$N$406,""),IF(N(_xlpm.t)=0,"",_xlpm.t))</f>
        <v/>
      </c>
    </row>
    <row r="278" spans="1:14" x14ac:dyDescent="0.2">
      <c r="A278" s="35" t="s">
        <v>196</v>
      </c>
      <c r="B278" s="36" t="str">
        <f t="array" ref="B278">_xlfn.XLOOKUP($A278,TRIM(SUBSTITUTE('worker file'!$A$2:$A$406,_xlfn.UNICHAR(160)," ")),'worker file'!$L$2:$L$406,"Not found")</f>
        <v>US Biweekly</v>
      </c>
      <c r="C278" s="36" t="str">
        <f t="array" ref="C278">_xlfn.XLOOKUP($A278,TRIM(SUBSTITUTE('worker file'!$A$2:$A$406,_xlfn.UNICHAR(160)," ")),'worker file'!$D$2:$D$406,"Not found")</f>
        <v>TX</v>
      </c>
      <c r="D278" s="36" t="str">
        <f t="array" ref="D278">_xlfn.XLOOKUP($A278,TRIM(SUBSTITUTE('worker file'!$A$2:$A$406,_xlfn.UNICHAR(160)," ")),'worker file'!$Q$2:$Q$406,"Not found")</f>
        <v>Active</v>
      </c>
      <c r="E278" s="35" t="s">
        <v>626</v>
      </c>
      <c r="F278" t="str">
        <f t="shared" si="31"/>
        <v>Medical (Health) – Employee</v>
      </c>
      <c r="G278" t="str">
        <f t="shared" si="32"/>
        <v>Pre-tax Section 125 (exempt from FIT/SIT/FICA)</v>
      </c>
      <c r="H278" t="str">
        <f t="shared" si="33"/>
        <v>Flat</v>
      </c>
      <c r="I278" s="40" t="str">
        <f>IF($H278="Percent",_xlfn.XLOOKUP($E278,$A$5:$A$8,$F$5:$F$8,""),"")</f>
        <v/>
      </c>
      <c r="J278" s="38">
        <f t="shared" si="34"/>
        <v>200</v>
      </c>
      <c r="K278" t="str">
        <f t="shared" si="35"/>
        <v>Per pay period</v>
      </c>
      <c r="L278" t="str">
        <f t="shared" si="36"/>
        <v>Every pay period (ongoing)</v>
      </c>
      <c r="M278" s="39">
        <f t="array" ref="M278">MAX(_xlfn.XLOOKUP($A278,TRIM(SUBSTITUTE('worker file'!$A$2:$A$406,_xlfn.UNICHAR(160)," ")),'worker file'!$M$2:$M$406,0),_xlfn.XLOOKUP($B278,TRIM('pay group &amp; schedule'!$A$2:$A$6),'pay group &amp; schedule'!$D$2:$D$6,0))</f>
        <v>46299</v>
      </c>
      <c r="N278" s="39" t="str">
        <f t="array" ref="N278">_xlfn.LET(_xlpm.t,_xlfn.XLOOKUP($A278,TRIM(SUBSTITUTE('worker file'!$A$2:$A$406,_xlfn.UNICHAR(160)," ")),'worker file'!$N$2:$N$406,""),IF(N(_xlpm.t)=0,"",_xlpm.t))</f>
        <v/>
      </c>
    </row>
    <row r="279" spans="1:14" x14ac:dyDescent="0.2">
      <c r="A279" s="35" t="s">
        <v>196</v>
      </c>
      <c r="B279" s="36" t="str">
        <f t="array" ref="B279">_xlfn.XLOOKUP($A279,TRIM(SUBSTITUTE('worker file'!$A$2:$A$406,_xlfn.UNICHAR(160)," ")),'worker file'!$L$2:$L$406,"Not found")</f>
        <v>US Biweekly</v>
      </c>
      <c r="C279" s="36" t="str">
        <f t="array" ref="C279">_xlfn.XLOOKUP($A279,TRIM(SUBSTITUTE('worker file'!$A$2:$A$406,_xlfn.UNICHAR(160)," ")),'worker file'!$D$2:$D$406,"Not found")</f>
        <v>TX</v>
      </c>
      <c r="D279" s="36" t="str">
        <f t="array" ref="D279">_xlfn.XLOOKUP($A279,TRIM(SUBSTITUTE('worker file'!$A$2:$A$406,_xlfn.UNICHAR(160)," ")),'worker file'!$Q$2:$Q$406,"Not found")</f>
        <v>Active</v>
      </c>
      <c r="E279" s="35" t="s">
        <v>632</v>
      </c>
      <c r="F279" t="str">
        <f t="shared" si="31"/>
        <v>Dental – Employee</v>
      </c>
      <c r="G279" t="str">
        <f t="shared" si="32"/>
        <v>Pre-tax Section 125 (exempt from FIT/SIT/FICA)</v>
      </c>
      <c r="H279" t="str">
        <f t="shared" si="33"/>
        <v>Flat</v>
      </c>
      <c r="I279" s="40" t="str">
        <f>IF($H279="Percent",_xlfn.XLOOKUP($E279,$A$5:$A$8,$F$5:$F$8,""),"")</f>
        <v/>
      </c>
      <c r="J279" s="38">
        <f t="shared" si="34"/>
        <v>44</v>
      </c>
      <c r="K279" t="str">
        <f t="shared" si="35"/>
        <v>Per pay period</v>
      </c>
      <c r="L279" t="str">
        <f t="shared" si="36"/>
        <v>Every pay period (ongoing)</v>
      </c>
      <c r="M279" s="39">
        <f t="array" ref="M279">MAX(_xlfn.XLOOKUP($A279,TRIM(SUBSTITUTE('worker file'!$A$2:$A$406,_xlfn.UNICHAR(160)," ")),'worker file'!$M$2:$M$406,0),_xlfn.XLOOKUP($B279,TRIM('pay group &amp; schedule'!$A$2:$A$6),'pay group &amp; schedule'!$D$2:$D$6,0))</f>
        <v>46299</v>
      </c>
      <c r="N279" s="39" t="str">
        <f t="array" ref="N279">_xlfn.LET(_xlpm.t,_xlfn.XLOOKUP($A279,TRIM(SUBSTITUTE('worker file'!$A$2:$A$406,_xlfn.UNICHAR(160)," ")),'worker file'!$N$2:$N$406,""),IF(N(_xlpm.t)=0,"",_xlpm.t))</f>
        <v/>
      </c>
    </row>
    <row r="280" spans="1:14" x14ac:dyDescent="0.2">
      <c r="A280" s="35" t="s">
        <v>196</v>
      </c>
      <c r="B280" s="36" t="str">
        <f t="array" ref="B280">_xlfn.XLOOKUP($A280,TRIM(SUBSTITUTE('worker file'!$A$2:$A$406,_xlfn.UNICHAR(160)," ")),'worker file'!$L$2:$L$406,"Not found")</f>
        <v>US Biweekly</v>
      </c>
      <c r="C280" s="36" t="str">
        <f t="array" ref="C280">_xlfn.XLOOKUP($A280,TRIM(SUBSTITUTE('worker file'!$A$2:$A$406,_xlfn.UNICHAR(160)," ")),'worker file'!$D$2:$D$406,"Not found")</f>
        <v>TX</v>
      </c>
      <c r="D280" s="36" t="str">
        <f t="array" ref="D280">_xlfn.XLOOKUP($A280,TRIM(SUBSTITUTE('worker file'!$A$2:$A$406,_xlfn.UNICHAR(160)," ")),'worker file'!$Q$2:$Q$406,"Not found")</f>
        <v>Active</v>
      </c>
      <c r="E280" s="35" t="s">
        <v>634</v>
      </c>
      <c r="F280" t="str">
        <f t="shared" si="31"/>
        <v>Vision – Employee</v>
      </c>
      <c r="G280" t="str">
        <f t="shared" si="32"/>
        <v>Pre-tax Section 125 (exempt from FIT/SIT/FICA)</v>
      </c>
      <c r="H280" t="str">
        <f t="shared" si="33"/>
        <v>Flat</v>
      </c>
      <c r="I280" s="40" t="str">
        <f>IF($H280="Percent",_xlfn.XLOOKUP($E280,$A$5:$A$8,$F$5:$F$8,""),"")</f>
        <v/>
      </c>
      <c r="J280" s="38">
        <f t="shared" si="34"/>
        <v>30</v>
      </c>
      <c r="K280" t="str">
        <f t="shared" si="35"/>
        <v>Per pay period</v>
      </c>
      <c r="L280" t="str">
        <f t="shared" si="36"/>
        <v>Every pay period (ongoing)</v>
      </c>
      <c r="M280" s="39">
        <f t="array" ref="M280">MAX(_xlfn.XLOOKUP($A280,TRIM(SUBSTITUTE('worker file'!$A$2:$A$406,_xlfn.UNICHAR(160)," ")),'worker file'!$M$2:$M$406,0),_xlfn.XLOOKUP($B280,TRIM('pay group &amp; schedule'!$A$2:$A$6),'pay group &amp; schedule'!$D$2:$D$6,0))</f>
        <v>46299</v>
      </c>
      <c r="N280" s="39" t="str">
        <f t="array" ref="N280">_xlfn.LET(_xlpm.t,_xlfn.XLOOKUP($A280,TRIM(SUBSTITUTE('worker file'!$A$2:$A$406,_xlfn.UNICHAR(160)," ")),'worker file'!$N$2:$N$406,""),IF(N(_xlpm.t)=0,"",_xlpm.t))</f>
        <v/>
      </c>
    </row>
    <row r="281" spans="1:14" x14ac:dyDescent="0.2">
      <c r="A281" s="35" t="s">
        <v>197</v>
      </c>
      <c r="B281" s="36" t="str">
        <f t="array" ref="B281">_xlfn.XLOOKUP($A281,TRIM(SUBSTITUTE('worker file'!$A$2:$A$406,_xlfn.UNICHAR(160)," ")),'worker file'!$L$2:$L$406,"Not found")</f>
        <v>US Biweekly</v>
      </c>
      <c r="C281" s="36" t="str">
        <f t="array" ref="C281">_xlfn.XLOOKUP($A281,TRIM(SUBSTITUTE('worker file'!$A$2:$A$406,_xlfn.UNICHAR(160)," ")),'worker file'!$D$2:$D$406,"Not found")</f>
        <v>CA</v>
      </c>
      <c r="D281" s="36" t="str">
        <f t="array" ref="D281">_xlfn.XLOOKUP($A281,TRIM(SUBSTITUTE('worker file'!$A$2:$A$406,_xlfn.UNICHAR(160)," ")),'worker file'!$Q$2:$Q$406,"Not found")</f>
        <v>Active</v>
      </c>
      <c r="E281" s="35" t="s">
        <v>618</v>
      </c>
      <c r="F281" t="str">
        <f t="shared" si="31"/>
        <v>401(k) Employee Deferral</v>
      </c>
      <c r="G281" t="str">
        <f t="shared" si="32"/>
        <v>Pre-tax (exempt from FIT/SIT; subject to FICA)</v>
      </c>
      <c r="H281" t="str">
        <f t="shared" si="33"/>
        <v>Percent</v>
      </c>
      <c r="I281" s="37">
        <v>0.04</v>
      </c>
      <c r="J281" s="38" t="str">
        <f t="shared" si="34"/>
        <v/>
      </c>
      <c r="K281" t="str">
        <f t="shared" si="35"/>
        <v>Gross pay</v>
      </c>
      <c r="L281" t="str">
        <f t="shared" si="36"/>
        <v>Every pay period (ongoing)</v>
      </c>
      <c r="M281" s="39">
        <f t="array" ref="M281">MAX(_xlfn.XLOOKUP($A281,TRIM(SUBSTITUTE('worker file'!$A$2:$A$406,_xlfn.UNICHAR(160)," ")),'worker file'!$M$2:$M$406,0),_xlfn.XLOOKUP($B281,TRIM('pay group &amp; schedule'!$A$2:$A$6),'pay group &amp; schedule'!$D$2:$D$6,0))</f>
        <v>46299</v>
      </c>
      <c r="N281" s="39" t="str">
        <f t="array" ref="N281">_xlfn.LET(_xlpm.t,_xlfn.XLOOKUP($A281,TRIM(SUBSTITUTE('worker file'!$A$2:$A$406,_xlfn.UNICHAR(160)," ")),'worker file'!$N$2:$N$406,""),IF(N(_xlpm.t)=0,"",_xlpm.t))</f>
        <v/>
      </c>
    </row>
    <row r="282" spans="1:14" x14ac:dyDescent="0.2">
      <c r="A282" s="35" t="s">
        <v>197</v>
      </c>
      <c r="B282" s="36" t="str">
        <f t="array" ref="B282">_xlfn.XLOOKUP($A282,TRIM(SUBSTITUTE('worker file'!$A$2:$A$406,_xlfn.UNICHAR(160)," ")),'worker file'!$L$2:$L$406,"Not found")</f>
        <v>US Biweekly</v>
      </c>
      <c r="C282" s="36" t="str">
        <f t="array" ref="C282">_xlfn.XLOOKUP($A282,TRIM(SUBSTITUTE('worker file'!$A$2:$A$406,_xlfn.UNICHAR(160)," ")),'worker file'!$D$2:$D$406,"Not found")</f>
        <v>CA</v>
      </c>
      <c r="D282" s="36" t="str">
        <f t="array" ref="D282">_xlfn.XLOOKUP($A282,TRIM(SUBSTITUTE('worker file'!$A$2:$A$406,_xlfn.UNICHAR(160)," ")),'worker file'!$Q$2:$Q$406,"Not found")</f>
        <v>Active</v>
      </c>
      <c r="E282" s="35" t="s">
        <v>626</v>
      </c>
      <c r="F282" t="str">
        <f t="shared" si="31"/>
        <v>Medical (Health) – Employee</v>
      </c>
      <c r="G282" t="str">
        <f t="shared" si="32"/>
        <v>Pre-tax Section 125 (exempt from FIT/SIT/FICA)</v>
      </c>
      <c r="H282" t="str">
        <f t="shared" si="33"/>
        <v>Flat</v>
      </c>
      <c r="I282" s="40" t="str">
        <f>IF($H282="Percent",_xlfn.XLOOKUP($E282,$A$5:$A$8,$F$5:$F$8,""),"")</f>
        <v/>
      </c>
      <c r="J282" s="38">
        <f t="shared" si="34"/>
        <v>200</v>
      </c>
      <c r="K282" t="str">
        <f t="shared" si="35"/>
        <v>Per pay period</v>
      </c>
      <c r="L282" t="str">
        <f t="shared" si="36"/>
        <v>Every pay period (ongoing)</v>
      </c>
      <c r="M282" s="39">
        <f t="array" ref="M282">MAX(_xlfn.XLOOKUP($A282,TRIM(SUBSTITUTE('worker file'!$A$2:$A$406,_xlfn.UNICHAR(160)," ")),'worker file'!$M$2:$M$406,0),_xlfn.XLOOKUP($B282,TRIM('pay group &amp; schedule'!$A$2:$A$6),'pay group &amp; schedule'!$D$2:$D$6,0))</f>
        <v>46299</v>
      </c>
      <c r="N282" s="39" t="str">
        <f t="array" ref="N282">_xlfn.LET(_xlpm.t,_xlfn.XLOOKUP($A282,TRIM(SUBSTITUTE('worker file'!$A$2:$A$406,_xlfn.UNICHAR(160)," ")),'worker file'!$N$2:$N$406,""),IF(N(_xlpm.t)=0,"",_xlpm.t))</f>
        <v/>
      </c>
    </row>
    <row r="283" spans="1:14" x14ac:dyDescent="0.2">
      <c r="A283" s="35" t="s">
        <v>197</v>
      </c>
      <c r="B283" s="36" t="str">
        <f t="array" ref="B283">_xlfn.XLOOKUP($A283,TRIM(SUBSTITUTE('worker file'!$A$2:$A$406,_xlfn.UNICHAR(160)," ")),'worker file'!$L$2:$L$406,"Not found")</f>
        <v>US Biweekly</v>
      </c>
      <c r="C283" s="36" t="str">
        <f t="array" ref="C283">_xlfn.XLOOKUP($A283,TRIM(SUBSTITUTE('worker file'!$A$2:$A$406,_xlfn.UNICHAR(160)," ")),'worker file'!$D$2:$D$406,"Not found")</f>
        <v>CA</v>
      </c>
      <c r="D283" s="36" t="str">
        <f t="array" ref="D283">_xlfn.XLOOKUP($A283,TRIM(SUBSTITUTE('worker file'!$A$2:$A$406,_xlfn.UNICHAR(160)," ")),'worker file'!$Q$2:$Q$406,"Not found")</f>
        <v>Active</v>
      </c>
      <c r="E283" s="35" t="s">
        <v>632</v>
      </c>
      <c r="F283" t="str">
        <f t="shared" si="31"/>
        <v>Dental – Employee</v>
      </c>
      <c r="G283" t="str">
        <f t="shared" si="32"/>
        <v>Pre-tax Section 125 (exempt from FIT/SIT/FICA)</v>
      </c>
      <c r="H283" t="str">
        <f t="shared" si="33"/>
        <v>Flat</v>
      </c>
      <c r="I283" s="40" t="str">
        <f>IF($H283="Percent",_xlfn.XLOOKUP($E283,$A$5:$A$8,$F$5:$F$8,""),"")</f>
        <v/>
      </c>
      <c r="J283" s="38">
        <f t="shared" si="34"/>
        <v>44</v>
      </c>
      <c r="K283" t="str">
        <f t="shared" si="35"/>
        <v>Per pay period</v>
      </c>
      <c r="L283" t="str">
        <f t="shared" si="36"/>
        <v>Every pay period (ongoing)</v>
      </c>
      <c r="M283" s="39">
        <f t="array" ref="M283">MAX(_xlfn.XLOOKUP($A283,TRIM(SUBSTITUTE('worker file'!$A$2:$A$406,_xlfn.UNICHAR(160)," ")),'worker file'!$M$2:$M$406,0),_xlfn.XLOOKUP($B283,TRIM('pay group &amp; schedule'!$A$2:$A$6),'pay group &amp; schedule'!$D$2:$D$6,0))</f>
        <v>46299</v>
      </c>
      <c r="N283" s="39" t="str">
        <f t="array" ref="N283">_xlfn.LET(_xlpm.t,_xlfn.XLOOKUP($A283,TRIM(SUBSTITUTE('worker file'!$A$2:$A$406,_xlfn.UNICHAR(160)," ")),'worker file'!$N$2:$N$406,""),IF(N(_xlpm.t)=0,"",_xlpm.t))</f>
        <v/>
      </c>
    </row>
    <row r="284" spans="1:14" x14ac:dyDescent="0.2">
      <c r="A284" s="35" t="s">
        <v>197</v>
      </c>
      <c r="B284" s="36" t="str">
        <f t="array" ref="B284">_xlfn.XLOOKUP($A284,TRIM(SUBSTITUTE('worker file'!$A$2:$A$406,_xlfn.UNICHAR(160)," ")),'worker file'!$L$2:$L$406,"Not found")</f>
        <v>US Biweekly</v>
      </c>
      <c r="C284" s="36" t="str">
        <f t="array" ref="C284">_xlfn.XLOOKUP($A284,TRIM(SUBSTITUTE('worker file'!$A$2:$A$406,_xlfn.UNICHAR(160)," ")),'worker file'!$D$2:$D$406,"Not found")</f>
        <v>CA</v>
      </c>
      <c r="D284" s="36" t="str">
        <f t="array" ref="D284">_xlfn.XLOOKUP($A284,TRIM(SUBSTITUTE('worker file'!$A$2:$A$406,_xlfn.UNICHAR(160)," ")),'worker file'!$Q$2:$Q$406,"Not found")</f>
        <v>Active</v>
      </c>
      <c r="E284" s="35" t="s">
        <v>634</v>
      </c>
      <c r="F284" t="str">
        <f t="shared" si="31"/>
        <v>Vision – Employee</v>
      </c>
      <c r="G284" t="str">
        <f t="shared" si="32"/>
        <v>Pre-tax Section 125 (exempt from FIT/SIT/FICA)</v>
      </c>
      <c r="H284" t="str">
        <f t="shared" si="33"/>
        <v>Flat</v>
      </c>
      <c r="I284" s="40" t="str">
        <f>IF($H284="Percent",_xlfn.XLOOKUP($E284,$A$5:$A$8,$F$5:$F$8,""),"")</f>
        <v/>
      </c>
      <c r="J284" s="38">
        <f t="shared" si="34"/>
        <v>30</v>
      </c>
      <c r="K284" t="str">
        <f t="shared" si="35"/>
        <v>Per pay period</v>
      </c>
      <c r="L284" t="str">
        <f t="shared" si="36"/>
        <v>Every pay period (ongoing)</v>
      </c>
      <c r="M284" s="39">
        <f t="array" ref="M284">MAX(_xlfn.XLOOKUP($A284,TRIM(SUBSTITUTE('worker file'!$A$2:$A$406,_xlfn.UNICHAR(160)," ")),'worker file'!$M$2:$M$406,0),_xlfn.XLOOKUP($B284,TRIM('pay group &amp; schedule'!$A$2:$A$6),'pay group &amp; schedule'!$D$2:$D$6,0))</f>
        <v>46299</v>
      </c>
      <c r="N284" s="39" t="str">
        <f t="array" ref="N284">_xlfn.LET(_xlpm.t,_xlfn.XLOOKUP($A284,TRIM(SUBSTITUTE('worker file'!$A$2:$A$406,_xlfn.UNICHAR(160)," ")),'worker file'!$N$2:$N$406,""),IF(N(_xlpm.t)=0,"",_xlpm.t))</f>
        <v/>
      </c>
    </row>
    <row r="285" spans="1:14" x14ac:dyDescent="0.2">
      <c r="A285" s="35" t="s">
        <v>198</v>
      </c>
      <c r="B285" s="36" t="str">
        <f t="array" ref="B285">_xlfn.XLOOKUP($A285,TRIM(SUBSTITUTE('worker file'!$A$2:$A$406,_xlfn.UNICHAR(160)," ")),'worker file'!$L$2:$L$406,"Not found")</f>
        <v>US Semi-monthly</v>
      </c>
      <c r="C285" s="36" t="str">
        <f t="array" ref="C285">_xlfn.XLOOKUP($A285,TRIM(SUBSTITUTE('worker file'!$A$2:$A$406,_xlfn.UNICHAR(160)," ")),'worker file'!$D$2:$D$406,"Not found")</f>
        <v>CA</v>
      </c>
      <c r="D285" s="36" t="str">
        <f t="array" ref="D285">_xlfn.XLOOKUP($A285,TRIM(SUBSTITUTE('worker file'!$A$2:$A$406,_xlfn.UNICHAR(160)," ")),'worker file'!$Q$2:$Q$406,"Not found")</f>
        <v>Active</v>
      </c>
      <c r="E285" s="35" t="s">
        <v>618</v>
      </c>
      <c r="F285" t="str">
        <f t="shared" si="31"/>
        <v>401(k) Employee Deferral</v>
      </c>
      <c r="G285" t="str">
        <f t="shared" si="32"/>
        <v>Pre-tax (exempt from FIT/SIT; subject to FICA)</v>
      </c>
      <c r="H285" t="str">
        <f t="shared" si="33"/>
        <v>Percent</v>
      </c>
      <c r="I285" s="37">
        <v>0.01</v>
      </c>
      <c r="J285" s="38" t="str">
        <f t="shared" si="34"/>
        <v/>
      </c>
      <c r="K285" t="str">
        <f t="shared" si="35"/>
        <v>Gross pay</v>
      </c>
      <c r="L285" t="str">
        <f t="shared" si="36"/>
        <v>Every pay period (ongoing)</v>
      </c>
      <c r="M285" s="39">
        <f t="array" ref="M285">MAX(_xlfn.XLOOKUP($A285,TRIM(SUBSTITUTE('worker file'!$A$2:$A$406,_xlfn.UNICHAR(160)," ")),'worker file'!$M$2:$M$406,0),_xlfn.XLOOKUP($B285,TRIM('pay group &amp; schedule'!$A$2:$A$6),'pay group &amp; schedule'!$D$2:$D$6,0))</f>
        <v>46311</v>
      </c>
      <c r="N285" s="39" t="str">
        <f t="array" ref="N285">_xlfn.LET(_xlpm.t,_xlfn.XLOOKUP($A285,TRIM(SUBSTITUTE('worker file'!$A$2:$A$406,_xlfn.UNICHAR(160)," ")),'worker file'!$N$2:$N$406,""),IF(N(_xlpm.t)=0,"",_xlpm.t))</f>
        <v/>
      </c>
    </row>
    <row r="286" spans="1:14" x14ac:dyDescent="0.2">
      <c r="A286" s="35" t="s">
        <v>198</v>
      </c>
      <c r="B286" s="36" t="str">
        <f t="array" ref="B286">_xlfn.XLOOKUP($A286,TRIM(SUBSTITUTE('worker file'!$A$2:$A$406,_xlfn.UNICHAR(160)," ")),'worker file'!$L$2:$L$406,"Not found")</f>
        <v>US Semi-monthly</v>
      </c>
      <c r="C286" s="36" t="str">
        <f t="array" ref="C286">_xlfn.XLOOKUP($A286,TRIM(SUBSTITUTE('worker file'!$A$2:$A$406,_xlfn.UNICHAR(160)," ")),'worker file'!$D$2:$D$406,"Not found")</f>
        <v>CA</v>
      </c>
      <c r="D286" s="36" t="str">
        <f t="array" ref="D286">_xlfn.XLOOKUP($A286,TRIM(SUBSTITUTE('worker file'!$A$2:$A$406,_xlfn.UNICHAR(160)," ")),'worker file'!$Q$2:$Q$406,"Not found")</f>
        <v>Active</v>
      </c>
      <c r="E286" s="35" t="s">
        <v>626</v>
      </c>
      <c r="F286" t="str">
        <f t="shared" si="31"/>
        <v>Medical (Health) – Employee</v>
      </c>
      <c r="G286" t="str">
        <f t="shared" si="32"/>
        <v>Pre-tax Section 125 (exempt from FIT/SIT/FICA)</v>
      </c>
      <c r="H286" t="str">
        <f t="shared" si="33"/>
        <v>Flat</v>
      </c>
      <c r="I286" s="40" t="str">
        <f t="shared" ref="I286:I291" si="37">IF($H286="Percent",_xlfn.XLOOKUP($E286,$A$5:$A$8,$F$5:$F$8,""),"")</f>
        <v/>
      </c>
      <c r="J286" s="38">
        <f t="shared" si="34"/>
        <v>200</v>
      </c>
      <c r="K286" t="str">
        <f t="shared" si="35"/>
        <v>Per pay period</v>
      </c>
      <c r="L286" t="str">
        <f t="shared" si="36"/>
        <v>Every pay period (ongoing)</v>
      </c>
      <c r="M286" s="39">
        <f t="array" ref="M286">MAX(_xlfn.XLOOKUP($A286,TRIM(SUBSTITUTE('worker file'!$A$2:$A$406,_xlfn.UNICHAR(160)," ")),'worker file'!$M$2:$M$406,0),_xlfn.XLOOKUP($B286,TRIM('pay group &amp; schedule'!$A$2:$A$6),'pay group &amp; schedule'!$D$2:$D$6,0))</f>
        <v>46311</v>
      </c>
      <c r="N286" s="39" t="str">
        <f t="array" ref="N286">_xlfn.LET(_xlpm.t,_xlfn.XLOOKUP($A286,TRIM(SUBSTITUTE('worker file'!$A$2:$A$406,_xlfn.UNICHAR(160)," ")),'worker file'!$N$2:$N$406,""),IF(N(_xlpm.t)=0,"",_xlpm.t))</f>
        <v/>
      </c>
    </row>
    <row r="287" spans="1:14" x14ac:dyDescent="0.2">
      <c r="A287" s="35" t="s">
        <v>198</v>
      </c>
      <c r="B287" s="36" t="str">
        <f t="array" ref="B287">_xlfn.XLOOKUP($A287,TRIM(SUBSTITUTE('worker file'!$A$2:$A$406,_xlfn.UNICHAR(160)," ")),'worker file'!$L$2:$L$406,"Not found")</f>
        <v>US Semi-monthly</v>
      </c>
      <c r="C287" s="36" t="str">
        <f t="array" ref="C287">_xlfn.XLOOKUP($A287,TRIM(SUBSTITUTE('worker file'!$A$2:$A$406,_xlfn.UNICHAR(160)," ")),'worker file'!$D$2:$D$406,"Not found")</f>
        <v>CA</v>
      </c>
      <c r="D287" s="36" t="str">
        <f t="array" ref="D287">_xlfn.XLOOKUP($A287,TRIM(SUBSTITUTE('worker file'!$A$2:$A$406,_xlfn.UNICHAR(160)," ")),'worker file'!$Q$2:$Q$406,"Not found")</f>
        <v>Active</v>
      </c>
      <c r="E287" s="35" t="s">
        <v>632</v>
      </c>
      <c r="F287" t="str">
        <f t="shared" si="31"/>
        <v>Dental – Employee</v>
      </c>
      <c r="G287" t="str">
        <f t="shared" si="32"/>
        <v>Pre-tax Section 125 (exempt from FIT/SIT/FICA)</v>
      </c>
      <c r="H287" t="str">
        <f t="shared" si="33"/>
        <v>Flat</v>
      </c>
      <c r="I287" s="40" t="str">
        <f t="shared" si="37"/>
        <v/>
      </c>
      <c r="J287" s="38">
        <f t="shared" si="34"/>
        <v>44</v>
      </c>
      <c r="K287" t="str">
        <f t="shared" si="35"/>
        <v>Per pay period</v>
      </c>
      <c r="L287" t="str">
        <f t="shared" si="36"/>
        <v>Every pay period (ongoing)</v>
      </c>
      <c r="M287" s="39">
        <f t="array" ref="M287">MAX(_xlfn.XLOOKUP($A287,TRIM(SUBSTITUTE('worker file'!$A$2:$A$406,_xlfn.UNICHAR(160)," ")),'worker file'!$M$2:$M$406,0),_xlfn.XLOOKUP($B287,TRIM('pay group &amp; schedule'!$A$2:$A$6),'pay group &amp; schedule'!$D$2:$D$6,0))</f>
        <v>46311</v>
      </c>
      <c r="N287" s="39" t="str">
        <f t="array" ref="N287">_xlfn.LET(_xlpm.t,_xlfn.XLOOKUP($A287,TRIM(SUBSTITUTE('worker file'!$A$2:$A$406,_xlfn.UNICHAR(160)," ")),'worker file'!$N$2:$N$406,""),IF(N(_xlpm.t)=0,"",_xlpm.t))</f>
        <v/>
      </c>
    </row>
    <row r="288" spans="1:14" x14ac:dyDescent="0.2">
      <c r="A288" s="35" t="s">
        <v>198</v>
      </c>
      <c r="B288" s="36" t="str">
        <f t="array" ref="B288">_xlfn.XLOOKUP($A288,TRIM(SUBSTITUTE('worker file'!$A$2:$A$406,_xlfn.UNICHAR(160)," ")),'worker file'!$L$2:$L$406,"Not found")</f>
        <v>US Semi-monthly</v>
      </c>
      <c r="C288" s="36" t="str">
        <f t="array" ref="C288">_xlfn.XLOOKUP($A288,TRIM(SUBSTITUTE('worker file'!$A$2:$A$406,_xlfn.UNICHAR(160)," ")),'worker file'!$D$2:$D$406,"Not found")</f>
        <v>CA</v>
      </c>
      <c r="D288" s="36" t="str">
        <f t="array" ref="D288">_xlfn.XLOOKUP($A288,TRIM(SUBSTITUTE('worker file'!$A$2:$A$406,_xlfn.UNICHAR(160)," ")),'worker file'!$Q$2:$Q$406,"Not found")</f>
        <v>Active</v>
      </c>
      <c r="E288" s="35" t="s">
        <v>634</v>
      </c>
      <c r="F288" t="str">
        <f t="shared" si="31"/>
        <v>Vision – Employee</v>
      </c>
      <c r="G288" t="str">
        <f t="shared" si="32"/>
        <v>Pre-tax Section 125 (exempt from FIT/SIT/FICA)</v>
      </c>
      <c r="H288" t="str">
        <f t="shared" si="33"/>
        <v>Flat</v>
      </c>
      <c r="I288" s="40" t="str">
        <f t="shared" si="37"/>
        <v/>
      </c>
      <c r="J288" s="38">
        <f t="shared" si="34"/>
        <v>30</v>
      </c>
      <c r="K288" t="str">
        <f t="shared" si="35"/>
        <v>Per pay period</v>
      </c>
      <c r="L288" t="str">
        <f t="shared" si="36"/>
        <v>Every pay period (ongoing)</v>
      </c>
      <c r="M288" s="39">
        <f t="array" ref="M288">MAX(_xlfn.XLOOKUP($A288,TRIM(SUBSTITUTE('worker file'!$A$2:$A$406,_xlfn.UNICHAR(160)," ")),'worker file'!$M$2:$M$406,0),_xlfn.XLOOKUP($B288,TRIM('pay group &amp; schedule'!$A$2:$A$6),'pay group &amp; schedule'!$D$2:$D$6,0))</f>
        <v>46311</v>
      </c>
      <c r="N288" s="39" t="str">
        <f t="array" ref="N288">_xlfn.LET(_xlpm.t,_xlfn.XLOOKUP($A288,TRIM(SUBSTITUTE('worker file'!$A$2:$A$406,_xlfn.UNICHAR(160)," ")),'worker file'!$N$2:$N$406,""),IF(N(_xlpm.t)=0,"",_xlpm.t))</f>
        <v/>
      </c>
    </row>
    <row r="289" spans="1:14" x14ac:dyDescent="0.2">
      <c r="A289" s="35" t="s">
        <v>199</v>
      </c>
      <c r="B289" s="36" t="str">
        <f t="array" ref="B289">_xlfn.XLOOKUP($A289,TRIM(SUBSTITUTE('worker file'!$A$2:$A$406,_xlfn.UNICHAR(160)," ")),'worker file'!$L$2:$L$406,"Not found")</f>
        <v>US Semi-monthly</v>
      </c>
      <c r="C289" s="36" t="str">
        <f t="array" ref="C289">_xlfn.XLOOKUP($A289,TRIM(SUBSTITUTE('worker file'!$A$2:$A$406,_xlfn.UNICHAR(160)," ")),'worker file'!$D$2:$D$406,"Not found")</f>
        <v>WA</v>
      </c>
      <c r="D289" s="36" t="str">
        <f t="array" ref="D289">_xlfn.XLOOKUP($A289,TRIM(SUBSTITUTE('worker file'!$A$2:$A$406,_xlfn.UNICHAR(160)," ")),'worker file'!$Q$2:$Q$406,"Not found")</f>
        <v>Active</v>
      </c>
      <c r="E289" s="35" t="s">
        <v>626</v>
      </c>
      <c r="F289" t="str">
        <f t="shared" si="31"/>
        <v>Medical (Health) – Employee</v>
      </c>
      <c r="G289" t="str">
        <f t="shared" si="32"/>
        <v>Pre-tax Section 125 (exempt from FIT/SIT/FICA)</v>
      </c>
      <c r="H289" t="str">
        <f t="shared" si="33"/>
        <v>Flat</v>
      </c>
      <c r="I289" s="40" t="str">
        <f t="shared" si="37"/>
        <v/>
      </c>
      <c r="J289" s="38">
        <f t="shared" si="34"/>
        <v>200</v>
      </c>
      <c r="K289" t="str">
        <f t="shared" si="35"/>
        <v>Per pay period</v>
      </c>
      <c r="L289" t="str">
        <f t="shared" si="36"/>
        <v>Every pay period (ongoing)</v>
      </c>
      <c r="M289" s="39">
        <f t="array" ref="M289">MAX(_xlfn.XLOOKUP($A289,TRIM(SUBSTITUTE('worker file'!$A$2:$A$406,_xlfn.UNICHAR(160)," ")),'worker file'!$M$2:$M$406,0),_xlfn.XLOOKUP($B289,TRIM('pay group &amp; schedule'!$A$2:$A$6),'pay group &amp; schedule'!$D$2:$D$6,0))</f>
        <v>46311</v>
      </c>
      <c r="N289" s="39" t="str">
        <f t="array" ref="N289">_xlfn.LET(_xlpm.t,_xlfn.XLOOKUP($A289,TRIM(SUBSTITUTE('worker file'!$A$2:$A$406,_xlfn.UNICHAR(160)," ")),'worker file'!$N$2:$N$406,""),IF(N(_xlpm.t)=0,"",_xlpm.t))</f>
        <v/>
      </c>
    </row>
    <row r="290" spans="1:14" x14ac:dyDescent="0.2">
      <c r="A290" s="35" t="s">
        <v>199</v>
      </c>
      <c r="B290" s="36" t="str">
        <f t="array" ref="B290">_xlfn.XLOOKUP($A290,TRIM(SUBSTITUTE('worker file'!$A$2:$A$406,_xlfn.UNICHAR(160)," ")),'worker file'!$L$2:$L$406,"Not found")</f>
        <v>US Semi-monthly</v>
      </c>
      <c r="C290" s="36" t="str">
        <f t="array" ref="C290">_xlfn.XLOOKUP($A290,TRIM(SUBSTITUTE('worker file'!$A$2:$A$406,_xlfn.UNICHAR(160)," ")),'worker file'!$D$2:$D$406,"Not found")</f>
        <v>WA</v>
      </c>
      <c r="D290" s="36" t="str">
        <f t="array" ref="D290">_xlfn.XLOOKUP($A290,TRIM(SUBSTITUTE('worker file'!$A$2:$A$406,_xlfn.UNICHAR(160)," ")),'worker file'!$Q$2:$Q$406,"Not found")</f>
        <v>Active</v>
      </c>
      <c r="E290" s="35" t="s">
        <v>632</v>
      </c>
      <c r="F290" t="str">
        <f t="shared" si="31"/>
        <v>Dental – Employee</v>
      </c>
      <c r="G290" t="str">
        <f t="shared" si="32"/>
        <v>Pre-tax Section 125 (exempt from FIT/SIT/FICA)</v>
      </c>
      <c r="H290" t="str">
        <f t="shared" si="33"/>
        <v>Flat</v>
      </c>
      <c r="I290" s="40" t="str">
        <f t="shared" si="37"/>
        <v/>
      </c>
      <c r="J290" s="38">
        <f t="shared" si="34"/>
        <v>44</v>
      </c>
      <c r="K290" t="str">
        <f t="shared" si="35"/>
        <v>Per pay period</v>
      </c>
      <c r="L290" t="str">
        <f t="shared" si="36"/>
        <v>Every pay period (ongoing)</v>
      </c>
      <c r="M290" s="39">
        <f t="array" ref="M290">MAX(_xlfn.XLOOKUP($A290,TRIM(SUBSTITUTE('worker file'!$A$2:$A$406,_xlfn.UNICHAR(160)," ")),'worker file'!$M$2:$M$406,0),_xlfn.XLOOKUP($B290,TRIM('pay group &amp; schedule'!$A$2:$A$6),'pay group &amp; schedule'!$D$2:$D$6,0))</f>
        <v>46311</v>
      </c>
      <c r="N290" s="39" t="str">
        <f t="array" ref="N290">_xlfn.LET(_xlpm.t,_xlfn.XLOOKUP($A290,TRIM(SUBSTITUTE('worker file'!$A$2:$A$406,_xlfn.UNICHAR(160)," ")),'worker file'!$N$2:$N$406,""),IF(N(_xlpm.t)=0,"",_xlpm.t))</f>
        <v/>
      </c>
    </row>
    <row r="291" spans="1:14" x14ac:dyDescent="0.2">
      <c r="A291" s="35" t="s">
        <v>199</v>
      </c>
      <c r="B291" s="36" t="str">
        <f t="array" ref="B291">_xlfn.XLOOKUP($A291,TRIM(SUBSTITUTE('worker file'!$A$2:$A$406,_xlfn.UNICHAR(160)," ")),'worker file'!$L$2:$L$406,"Not found")</f>
        <v>US Semi-monthly</v>
      </c>
      <c r="C291" s="36" t="str">
        <f t="array" ref="C291">_xlfn.XLOOKUP($A291,TRIM(SUBSTITUTE('worker file'!$A$2:$A$406,_xlfn.UNICHAR(160)," ")),'worker file'!$D$2:$D$406,"Not found")</f>
        <v>WA</v>
      </c>
      <c r="D291" s="36" t="str">
        <f t="array" ref="D291">_xlfn.XLOOKUP($A291,TRIM(SUBSTITUTE('worker file'!$A$2:$A$406,_xlfn.UNICHAR(160)," ")),'worker file'!$Q$2:$Q$406,"Not found")</f>
        <v>Active</v>
      </c>
      <c r="E291" s="35" t="s">
        <v>634</v>
      </c>
      <c r="F291" t="str">
        <f t="shared" si="31"/>
        <v>Vision – Employee</v>
      </c>
      <c r="G291" t="str">
        <f t="shared" si="32"/>
        <v>Pre-tax Section 125 (exempt from FIT/SIT/FICA)</v>
      </c>
      <c r="H291" t="str">
        <f t="shared" si="33"/>
        <v>Flat</v>
      </c>
      <c r="I291" s="40" t="str">
        <f t="shared" si="37"/>
        <v/>
      </c>
      <c r="J291" s="38">
        <f t="shared" si="34"/>
        <v>30</v>
      </c>
      <c r="K291" t="str">
        <f t="shared" si="35"/>
        <v>Per pay period</v>
      </c>
      <c r="L291" t="str">
        <f t="shared" si="36"/>
        <v>Every pay period (ongoing)</v>
      </c>
      <c r="M291" s="39">
        <f t="array" ref="M291">MAX(_xlfn.XLOOKUP($A291,TRIM(SUBSTITUTE('worker file'!$A$2:$A$406,_xlfn.UNICHAR(160)," ")),'worker file'!$M$2:$M$406,0),_xlfn.XLOOKUP($B291,TRIM('pay group &amp; schedule'!$A$2:$A$6),'pay group &amp; schedule'!$D$2:$D$6,0))</f>
        <v>46311</v>
      </c>
      <c r="N291" s="39" t="str">
        <f t="array" ref="N291">_xlfn.LET(_xlpm.t,_xlfn.XLOOKUP($A291,TRIM(SUBSTITUTE('worker file'!$A$2:$A$406,_xlfn.UNICHAR(160)," ")),'worker file'!$N$2:$N$406,""),IF(N(_xlpm.t)=0,"",_xlpm.t))</f>
        <v/>
      </c>
    </row>
    <row r="292" spans="1:14" x14ac:dyDescent="0.2">
      <c r="A292" s="35" t="s">
        <v>200</v>
      </c>
      <c r="B292" s="36" t="str">
        <f t="array" ref="B292">_xlfn.XLOOKUP($A292,TRIM(SUBSTITUTE('worker file'!$A$2:$A$406,_xlfn.UNICHAR(160)," ")),'worker file'!$L$2:$L$406,"Not found")</f>
        <v>US Semi-monthly</v>
      </c>
      <c r="C292" s="36" t="str">
        <f t="array" ref="C292">_xlfn.XLOOKUP($A292,TRIM(SUBSTITUTE('worker file'!$A$2:$A$406,_xlfn.UNICHAR(160)," ")),'worker file'!$D$2:$D$406,"Not found")</f>
        <v>CA</v>
      </c>
      <c r="D292" s="36" t="str">
        <f t="array" ref="D292">_xlfn.XLOOKUP($A292,TRIM(SUBSTITUTE('worker file'!$A$2:$A$406,_xlfn.UNICHAR(160)," ")),'worker file'!$Q$2:$Q$406,"Not found")</f>
        <v>Active</v>
      </c>
      <c r="E292" s="35" t="s">
        <v>618</v>
      </c>
      <c r="F292" t="str">
        <f t="shared" si="31"/>
        <v>401(k) Employee Deferral</v>
      </c>
      <c r="G292" t="str">
        <f t="shared" si="32"/>
        <v>Pre-tax (exempt from FIT/SIT; subject to FICA)</v>
      </c>
      <c r="H292" t="str">
        <f t="shared" si="33"/>
        <v>Percent</v>
      </c>
      <c r="I292" s="37">
        <v>0.03</v>
      </c>
      <c r="J292" s="38" t="str">
        <f t="shared" si="34"/>
        <v/>
      </c>
      <c r="K292" t="str">
        <f t="shared" si="35"/>
        <v>Gross pay</v>
      </c>
      <c r="L292" t="str">
        <f t="shared" si="36"/>
        <v>Every pay period (ongoing)</v>
      </c>
      <c r="M292" s="39">
        <f t="array" ref="M292">MAX(_xlfn.XLOOKUP($A292,TRIM(SUBSTITUTE('worker file'!$A$2:$A$406,_xlfn.UNICHAR(160)," ")),'worker file'!$M$2:$M$406,0),_xlfn.XLOOKUP($B292,TRIM('pay group &amp; schedule'!$A$2:$A$6),'pay group &amp; schedule'!$D$2:$D$6,0))</f>
        <v>46311</v>
      </c>
      <c r="N292" s="39" t="str">
        <f t="array" ref="N292">_xlfn.LET(_xlpm.t,_xlfn.XLOOKUP($A292,TRIM(SUBSTITUTE('worker file'!$A$2:$A$406,_xlfn.UNICHAR(160)," ")),'worker file'!$N$2:$N$406,""),IF(N(_xlpm.t)=0,"",_xlpm.t))</f>
        <v/>
      </c>
    </row>
    <row r="293" spans="1:14" x14ac:dyDescent="0.2">
      <c r="A293" s="35" t="s">
        <v>200</v>
      </c>
      <c r="B293" s="36" t="str">
        <f t="array" ref="B293">_xlfn.XLOOKUP($A293,TRIM(SUBSTITUTE('worker file'!$A$2:$A$406,_xlfn.UNICHAR(160)," ")),'worker file'!$L$2:$L$406,"Not found")</f>
        <v>US Semi-monthly</v>
      </c>
      <c r="C293" s="36" t="str">
        <f t="array" ref="C293">_xlfn.XLOOKUP($A293,TRIM(SUBSTITUTE('worker file'!$A$2:$A$406,_xlfn.UNICHAR(160)," ")),'worker file'!$D$2:$D$406,"Not found")</f>
        <v>CA</v>
      </c>
      <c r="D293" s="36" t="str">
        <f t="array" ref="D293">_xlfn.XLOOKUP($A293,TRIM(SUBSTITUTE('worker file'!$A$2:$A$406,_xlfn.UNICHAR(160)," ")),'worker file'!$Q$2:$Q$406,"Not found")</f>
        <v>Active</v>
      </c>
      <c r="E293" s="35" t="s">
        <v>626</v>
      </c>
      <c r="F293" t="str">
        <f t="shared" si="31"/>
        <v>Medical (Health) – Employee</v>
      </c>
      <c r="G293" t="str">
        <f t="shared" si="32"/>
        <v>Pre-tax Section 125 (exempt from FIT/SIT/FICA)</v>
      </c>
      <c r="H293" t="str">
        <f t="shared" si="33"/>
        <v>Flat</v>
      </c>
      <c r="I293" s="40" t="str">
        <f>IF($H293="Percent",_xlfn.XLOOKUP($E293,$A$5:$A$8,$F$5:$F$8,""),"")</f>
        <v/>
      </c>
      <c r="J293" s="38">
        <f t="shared" si="34"/>
        <v>200</v>
      </c>
      <c r="K293" t="str">
        <f t="shared" si="35"/>
        <v>Per pay period</v>
      </c>
      <c r="L293" t="str">
        <f t="shared" si="36"/>
        <v>Every pay period (ongoing)</v>
      </c>
      <c r="M293" s="39">
        <f t="array" ref="M293">MAX(_xlfn.XLOOKUP($A293,TRIM(SUBSTITUTE('worker file'!$A$2:$A$406,_xlfn.UNICHAR(160)," ")),'worker file'!$M$2:$M$406,0),_xlfn.XLOOKUP($B293,TRIM('pay group &amp; schedule'!$A$2:$A$6),'pay group &amp; schedule'!$D$2:$D$6,0))</f>
        <v>46311</v>
      </c>
      <c r="N293" s="39" t="str">
        <f t="array" ref="N293">_xlfn.LET(_xlpm.t,_xlfn.XLOOKUP($A293,TRIM(SUBSTITUTE('worker file'!$A$2:$A$406,_xlfn.UNICHAR(160)," ")),'worker file'!$N$2:$N$406,""),IF(N(_xlpm.t)=0,"",_xlpm.t))</f>
        <v/>
      </c>
    </row>
    <row r="294" spans="1:14" x14ac:dyDescent="0.2">
      <c r="A294" s="35" t="s">
        <v>200</v>
      </c>
      <c r="B294" s="36" t="str">
        <f t="array" ref="B294">_xlfn.XLOOKUP($A294,TRIM(SUBSTITUTE('worker file'!$A$2:$A$406,_xlfn.UNICHAR(160)," ")),'worker file'!$L$2:$L$406,"Not found")</f>
        <v>US Semi-monthly</v>
      </c>
      <c r="C294" s="36" t="str">
        <f t="array" ref="C294">_xlfn.XLOOKUP($A294,TRIM(SUBSTITUTE('worker file'!$A$2:$A$406,_xlfn.UNICHAR(160)," ")),'worker file'!$D$2:$D$406,"Not found")</f>
        <v>CA</v>
      </c>
      <c r="D294" s="36" t="str">
        <f t="array" ref="D294">_xlfn.XLOOKUP($A294,TRIM(SUBSTITUTE('worker file'!$A$2:$A$406,_xlfn.UNICHAR(160)," ")),'worker file'!$Q$2:$Q$406,"Not found")</f>
        <v>Active</v>
      </c>
      <c r="E294" s="35" t="s">
        <v>632</v>
      </c>
      <c r="F294" t="str">
        <f t="shared" si="31"/>
        <v>Dental – Employee</v>
      </c>
      <c r="G294" t="str">
        <f t="shared" si="32"/>
        <v>Pre-tax Section 125 (exempt from FIT/SIT/FICA)</v>
      </c>
      <c r="H294" t="str">
        <f t="shared" si="33"/>
        <v>Flat</v>
      </c>
      <c r="I294" s="40" t="str">
        <f>IF($H294="Percent",_xlfn.XLOOKUP($E294,$A$5:$A$8,$F$5:$F$8,""),"")</f>
        <v/>
      </c>
      <c r="J294" s="38">
        <f t="shared" si="34"/>
        <v>44</v>
      </c>
      <c r="K294" t="str">
        <f t="shared" si="35"/>
        <v>Per pay period</v>
      </c>
      <c r="L294" t="str">
        <f t="shared" si="36"/>
        <v>Every pay period (ongoing)</v>
      </c>
      <c r="M294" s="39">
        <f t="array" ref="M294">MAX(_xlfn.XLOOKUP($A294,TRIM(SUBSTITUTE('worker file'!$A$2:$A$406,_xlfn.UNICHAR(160)," ")),'worker file'!$M$2:$M$406,0),_xlfn.XLOOKUP($B294,TRIM('pay group &amp; schedule'!$A$2:$A$6),'pay group &amp; schedule'!$D$2:$D$6,0))</f>
        <v>46311</v>
      </c>
      <c r="N294" s="39" t="str">
        <f t="array" ref="N294">_xlfn.LET(_xlpm.t,_xlfn.XLOOKUP($A294,TRIM(SUBSTITUTE('worker file'!$A$2:$A$406,_xlfn.UNICHAR(160)," ")),'worker file'!$N$2:$N$406,""),IF(N(_xlpm.t)=0,"",_xlpm.t))</f>
        <v/>
      </c>
    </row>
    <row r="295" spans="1:14" x14ac:dyDescent="0.2">
      <c r="A295" s="35" t="s">
        <v>200</v>
      </c>
      <c r="B295" s="36" t="str">
        <f t="array" ref="B295">_xlfn.XLOOKUP($A295,TRIM(SUBSTITUTE('worker file'!$A$2:$A$406,_xlfn.UNICHAR(160)," ")),'worker file'!$L$2:$L$406,"Not found")</f>
        <v>US Semi-monthly</v>
      </c>
      <c r="C295" s="36" t="str">
        <f t="array" ref="C295">_xlfn.XLOOKUP($A295,TRIM(SUBSTITUTE('worker file'!$A$2:$A$406,_xlfn.UNICHAR(160)," ")),'worker file'!$D$2:$D$406,"Not found")</f>
        <v>CA</v>
      </c>
      <c r="D295" s="36" t="str">
        <f t="array" ref="D295">_xlfn.XLOOKUP($A295,TRIM(SUBSTITUTE('worker file'!$A$2:$A$406,_xlfn.UNICHAR(160)," ")),'worker file'!$Q$2:$Q$406,"Not found")</f>
        <v>Active</v>
      </c>
      <c r="E295" s="35" t="s">
        <v>634</v>
      </c>
      <c r="F295" t="str">
        <f t="shared" si="31"/>
        <v>Vision – Employee</v>
      </c>
      <c r="G295" t="str">
        <f t="shared" si="32"/>
        <v>Pre-tax Section 125 (exempt from FIT/SIT/FICA)</v>
      </c>
      <c r="H295" t="str">
        <f t="shared" si="33"/>
        <v>Flat</v>
      </c>
      <c r="I295" s="40" t="str">
        <f>IF($H295="Percent",_xlfn.XLOOKUP($E295,$A$5:$A$8,$F$5:$F$8,""),"")</f>
        <v/>
      </c>
      <c r="J295" s="38">
        <f t="shared" si="34"/>
        <v>30</v>
      </c>
      <c r="K295" t="str">
        <f t="shared" si="35"/>
        <v>Per pay period</v>
      </c>
      <c r="L295" t="str">
        <f t="shared" si="36"/>
        <v>Every pay period (ongoing)</v>
      </c>
      <c r="M295" s="39">
        <f t="array" ref="M295">MAX(_xlfn.XLOOKUP($A295,TRIM(SUBSTITUTE('worker file'!$A$2:$A$406,_xlfn.UNICHAR(160)," ")),'worker file'!$M$2:$M$406,0),_xlfn.XLOOKUP($B295,TRIM('pay group &amp; schedule'!$A$2:$A$6),'pay group &amp; schedule'!$D$2:$D$6,0))</f>
        <v>46311</v>
      </c>
      <c r="N295" s="39" t="str">
        <f t="array" ref="N295">_xlfn.LET(_xlpm.t,_xlfn.XLOOKUP($A295,TRIM(SUBSTITUTE('worker file'!$A$2:$A$406,_xlfn.UNICHAR(160)," ")),'worker file'!$N$2:$N$406,""),IF(N(_xlpm.t)=0,"",_xlpm.t))</f>
        <v/>
      </c>
    </row>
    <row r="296" spans="1:14" x14ac:dyDescent="0.2">
      <c r="A296" s="35" t="s">
        <v>201</v>
      </c>
      <c r="B296" s="36" t="str">
        <f t="array" ref="B296">_xlfn.XLOOKUP($A296,TRIM(SUBSTITUTE('worker file'!$A$2:$A$406,_xlfn.UNICHAR(160)," ")),'worker file'!$L$2:$L$406,"Not found")</f>
        <v>US Biweekly</v>
      </c>
      <c r="C296" s="36" t="str">
        <f t="array" ref="C296">_xlfn.XLOOKUP($A296,TRIM(SUBSTITUTE('worker file'!$A$2:$A$406,_xlfn.UNICHAR(160)," ")),'worker file'!$D$2:$D$406,"Not found")</f>
        <v>CA</v>
      </c>
      <c r="D296" s="36" t="str">
        <f t="array" ref="D296">_xlfn.XLOOKUP($A296,TRIM(SUBSTITUTE('worker file'!$A$2:$A$406,_xlfn.UNICHAR(160)," ")),'worker file'!$Q$2:$Q$406,"Not found")</f>
        <v>Active</v>
      </c>
      <c r="E296" s="35" t="s">
        <v>618</v>
      </c>
      <c r="F296" t="str">
        <f t="shared" si="31"/>
        <v>401(k) Employee Deferral</v>
      </c>
      <c r="G296" t="str">
        <f t="shared" si="32"/>
        <v>Pre-tax (exempt from FIT/SIT; subject to FICA)</v>
      </c>
      <c r="H296" t="str">
        <f t="shared" si="33"/>
        <v>Percent</v>
      </c>
      <c r="I296" s="37">
        <v>0</v>
      </c>
      <c r="J296" s="38" t="str">
        <f t="shared" si="34"/>
        <v/>
      </c>
      <c r="K296" t="str">
        <f t="shared" si="35"/>
        <v>Gross pay</v>
      </c>
      <c r="L296" t="str">
        <f t="shared" si="36"/>
        <v>Every pay period (ongoing)</v>
      </c>
      <c r="M296" s="39">
        <f t="array" ref="M296">MAX(_xlfn.XLOOKUP($A296,TRIM(SUBSTITUTE('worker file'!$A$2:$A$406,_xlfn.UNICHAR(160)," ")),'worker file'!$M$2:$M$406,0),_xlfn.XLOOKUP($B296,TRIM('pay group &amp; schedule'!$A$2:$A$6),'pay group &amp; schedule'!$D$2:$D$6,0))</f>
        <v>46299</v>
      </c>
      <c r="N296" s="39" t="str">
        <f t="array" ref="N296">_xlfn.LET(_xlpm.t,_xlfn.XLOOKUP($A296,TRIM(SUBSTITUTE('worker file'!$A$2:$A$406,_xlfn.UNICHAR(160)," ")),'worker file'!$N$2:$N$406,""),IF(N(_xlpm.t)=0,"",_xlpm.t))</f>
        <v/>
      </c>
    </row>
    <row r="297" spans="1:14" x14ac:dyDescent="0.2">
      <c r="A297" s="35" t="s">
        <v>201</v>
      </c>
      <c r="B297" s="36" t="str">
        <f t="array" ref="B297">_xlfn.XLOOKUP($A297,TRIM(SUBSTITUTE('worker file'!$A$2:$A$406,_xlfn.UNICHAR(160)," ")),'worker file'!$L$2:$L$406,"Not found")</f>
        <v>US Biweekly</v>
      </c>
      <c r="C297" s="36" t="str">
        <f t="array" ref="C297">_xlfn.XLOOKUP($A297,TRIM(SUBSTITUTE('worker file'!$A$2:$A$406,_xlfn.UNICHAR(160)," ")),'worker file'!$D$2:$D$406,"Not found")</f>
        <v>CA</v>
      </c>
      <c r="D297" s="36" t="str">
        <f t="array" ref="D297">_xlfn.XLOOKUP($A297,TRIM(SUBSTITUTE('worker file'!$A$2:$A$406,_xlfn.UNICHAR(160)," ")),'worker file'!$Q$2:$Q$406,"Not found")</f>
        <v>Active</v>
      </c>
      <c r="E297" s="35" t="s">
        <v>626</v>
      </c>
      <c r="F297" t="str">
        <f t="shared" si="31"/>
        <v>Medical (Health) – Employee</v>
      </c>
      <c r="G297" t="str">
        <f t="shared" si="32"/>
        <v>Pre-tax Section 125 (exempt from FIT/SIT/FICA)</v>
      </c>
      <c r="H297" t="str">
        <f t="shared" si="33"/>
        <v>Flat</v>
      </c>
      <c r="I297" s="40" t="str">
        <f>IF($H297="Percent",_xlfn.XLOOKUP($E297,$A$5:$A$8,$F$5:$F$8,""),"")</f>
        <v/>
      </c>
      <c r="J297" s="38">
        <f t="shared" si="34"/>
        <v>200</v>
      </c>
      <c r="K297" t="str">
        <f t="shared" si="35"/>
        <v>Per pay period</v>
      </c>
      <c r="L297" t="str">
        <f t="shared" si="36"/>
        <v>Every pay period (ongoing)</v>
      </c>
      <c r="M297" s="39">
        <f t="array" ref="M297">MAX(_xlfn.XLOOKUP($A297,TRIM(SUBSTITUTE('worker file'!$A$2:$A$406,_xlfn.UNICHAR(160)," ")),'worker file'!$M$2:$M$406,0),_xlfn.XLOOKUP($B297,TRIM('pay group &amp; schedule'!$A$2:$A$6),'pay group &amp; schedule'!$D$2:$D$6,0))</f>
        <v>46299</v>
      </c>
      <c r="N297" s="39" t="str">
        <f t="array" ref="N297">_xlfn.LET(_xlpm.t,_xlfn.XLOOKUP($A297,TRIM(SUBSTITUTE('worker file'!$A$2:$A$406,_xlfn.UNICHAR(160)," ")),'worker file'!$N$2:$N$406,""),IF(N(_xlpm.t)=0,"",_xlpm.t))</f>
        <v/>
      </c>
    </row>
    <row r="298" spans="1:14" x14ac:dyDescent="0.2">
      <c r="A298" s="35" t="s">
        <v>201</v>
      </c>
      <c r="B298" s="36" t="str">
        <f t="array" ref="B298">_xlfn.XLOOKUP($A298,TRIM(SUBSTITUTE('worker file'!$A$2:$A$406,_xlfn.UNICHAR(160)," ")),'worker file'!$L$2:$L$406,"Not found")</f>
        <v>US Biweekly</v>
      </c>
      <c r="C298" s="36" t="str">
        <f t="array" ref="C298">_xlfn.XLOOKUP($A298,TRIM(SUBSTITUTE('worker file'!$A$2:$A$406,_xlfn.UNICHAR(160)," ")),'worker file'!$D$2:$D$406,"Not found")</f>
        <v>CA</v>
      </c>
      <c r="D298" s="36" t="str">
        <f t="array" ref="D298">_xlfn.XLOOKUP($A298,TRIM(SUBSTITUTE('worker file'!$A$2:$A$406,_xlfn.UNICHAR(160)," ")),'worker file'!$Q$2:$Q$406,"Not found")</f>
        <v>Active</v>
      </c>
      <c r="E298" s="35" t="s">
        <v>632</v>
      </c>
      <c r="F298" t="str">
        <f t="shared" si="31"/>
        <v>Dental – Employee</v>
      </c>
      <c r="G298" t="str">
        <f t="shared" si="32"/>
        <v>Pre-tax Section 125 (exempt from FIT/SIT/FICA)</v>
      </c>
      <c r="H298" t="str">
        <f t="shared" si="33"/>
        <v>Flat</v>
      </c>
      <c r="I298" s="40" t="str">
        <f>IF($H298="Percent",_xlfn.XLOOKUP($E298,$A$5:$A$8,$F$5:$F$8,""),"")</f>
        <v/>
      </c>
      <c r="J298" s="38">
        <f t="shared" si="34"/>
        <v>44</v>
      </c>
      <c r="K298" t="str">
        <f t="shared" si="35"/>
        <v>Per pay period</v>
      </c>
      <c r="L298" t="str">
        <f t="shared" si="36"/>
        <v>Every pay period (ongoing)</v>
      </c>
      <c r="M298" s="39">
        <f t="array" ref="M298">MAX(_xlfn.XLOOKUP($A298,TRIM(SUBSTITUTE('worker file'!$A$2:$A$406,_xlfn.UNICHAR(160)," ")),'worker file'!$M$2:$M$406,0),_xlfn.XLOOKUP($B298,TRIM('pay group &amp; schedule'!$A$2:$A$6),'pay group &amp; schedule'!$D$2:$D$6,0))</f>
        <v>46299</v>
      </c>
      <c r="N298" s="39" t="str">
        <f t="array" ref="N298">_xlfn.LET(_xlpm.t,_xlfn.XLOOKUP($A298,TRIM(SUBSTITUTE('worker file'!$A$2:$A$406,_xlfn.UNICHAR(160)," ")),'worker file'!$N$2:$N$406,""),IF(N(_xlpm.t)=0,"",_xlpm.t))</f>
        <v/>
      </c>
    </row>
    <row r="299" spans="1:14" x14ac:dyDescent="0.2">
      <c r="A299" s="35" t="s">
        <v>201</v>
      </c>
      <c r="B299" s="36" t="str">
        <f t="array" ref="B299">_xlfn.XLOOKUP($A299,TRIM(SUBSTITUTE('worker file'!$A$2:$A$406,_xlfn.UNICHAR(160)," ")),'worker file'!$L$2:$L$406,"Not found")</f>
        <v>US Biweekly</v>
      </c>
      <c r="C299" s="36" t="str">
        <f t="array" ref="C299">_xlfn.XLOOKUP($A299,TRIM(SUBSTITUTE('worker file'!$A$2:$A$406,_xlfn.UNICHAR(160)," ")),'worker file'!$D$2:$D$406,"Not found")</f>
        <v>CA</v>
      </c>
      <c r="D299" s="36" t="str">
        <f t="array" ref="D299">_xlfn.XLOOKUP($A299,TRIM(SUBSTITUTE('worker file'!$A$2:$A$406,_xlfn.UNICHAR(160)," ")),'worker file'!$Q$2:$Q$406,"Not found")</f>
        <v>Active</v>
      </c>
      <c r="E299" s="35" t="s">
        <v>634</v>
      </c>
      <c r="F299" t="str">
        <f t="shared" si="31"/>
        <v>Vision – Employee</v>
      </c>
      <c r="G299" t="str">
        <f t="shared" si="32"/>
        <v>Pre-tax Section 125 (exempt from FIT/SIT/FICA)</v>
      </c>
      <c r="H299" t="str">
        <f t="shared" si="33"/>
        <v>Flat</v>
      </c>
      <c r="I299" s="40" t="str">
        <f>IF($H299="Percent",_xlfn.XLOOKUP($E299,$A$5:$A$8,$F$5:$F$8,""),"")</f>
        <v/>
      </c>
      <c r="J299" s="38">
        <f t="shared" si="34"/>
        <v>30</v>
      </c>
      <c r="K299" t="str">
        <f t="shared" si="35"/>
        <v>Per pay period</v>
      </c>
      <c r="L299" t="str">
        <f t="shared" si="36"/>
        <v>Every pay period (ongoing)</v>
      </c>
      <c r="M299" s="39">
        <f t="array" ref="M299">MAX(_xlfn.XLOOKUP($A299,TRIM(SUBSTITUTE('worker file'!$A$2:$A$406,_xlfn.UNICHAR(160)," ")),'worker file'!$M$2:$M$406,0),_xlfn.XLOOKUP($B299,TRIM('pay group &amp; schedule'!$A$2:$A$6),'pay group &amp; schedule'!$D$2:$D$6,0))</f>
        <v>46299</v>
      </c>
      <c r="N299" s="39" t="str">
        <f t="array" ref="N299">_xlfn.LET(_xlpm.t,_xlfn.XLOOKUP($A299,TRIM(SUBSTITUTE('worker file'!$A$2:$A$406,_xlfn.UNICHAR(160)," ")),'worker file'!$N$2:$N$406,""),IF(N(_xlpm.t)=0,"",_xlpm.t))</f>
        <v/>
      </c>
    </row>
    <row r="300" spans="1:14" x14ac:dyDescent="0.2">
      <c r="A300" s="35" t="s">
        <v>202</v>
      </c>
      <c r="B300" s="36" t="str">
        <f t="array" ref="B300">_xlfn.XLOOKUP($A300,TRIM(SUBSTITUTE('worker file'!$A$2:$A$406,_xlfn.UNICHAR(160)," ")),'worker file'!$L$2:$L$406,"Not found")</f>
        <v>US Semi-monthly</v>
      </c>
      <c r="C300" s="36" t="str">
        <f t="array" ref="C300">_xlfn.XLOOKUP($A300,TRIM(SUBSTITUTE('worker file'!$A$2:$A$406,_xlfn.UNICHAR(160)," ")),'worker file'!$D$2:$D$406,"Not found")</f>
        <v>TX</v>
      </c>
      <c r="D300" s="36" t="str">
        <f t="array" ref="D300">_xlfn.XLOOKUP($A300,TRIM(SUBSTITUTE('worker file'!$A$2:$A$406,_xlfn.UNICHAR(160)," ")),'worker file'!$Q$2:$Q$406,"Not found")</f>
        <v>Active</v>
      </c>
      <c r="E300" s="35" t="s">
        <v>618</v>
      </c>
      <c r="F300" t="str">
        <f t="shared" si="31"/>
        <v>401(k) Employee Deferral</v>
      </c>
      <c r="G300" t="str">
        <f t="shared" si="32"/>
        <v>Pre-tax (exempt from FIT/SIT; subject to FICA)</v>
      </c>
      <c r="H300" t="str">
        <f t="shared" si="33"/>
        <v>Percent</v>
      </c>
      <c r="I300" s="37">
        <v>0.05</v>
      </c>
      <c r="J300" s="38" t="str">
        <f t="shared" si="34"/>
        <v/>
      </c>
      <c r="K300" t="str">
        <f t="shared" si="35"/>
        <v>Gross pay</v>
      </c>
      <c r="L300" t="str">
        <f t="shared" si="36"/>
        <v>Every pay period (ongoing)</v>
      </c>
      <c r="M300" s="39">
        <f t="array" ref="M300">MAX(_xlfn.XLOOKUP($A300,TRIM(SUBSTITUTE('worker file'!$A$2:$A$406,_xlfn.UNICHAR(160)," ")),'worker file'!$M$2:$M$406,0),_xlfn.XLOOKUP($B300,TRIM('pay group &amp; schedule'!$A$2:$A$6),'pay group &amp; schedule'!$D$2:$D$6,0))</f>
        <v>46311</v>
      </c>
      <c r="N300" s="39" t="str">
        <f t="array" ref="N300">_xlfn.LET(_xlpm.t,_xlfn.XLOOKUP($A300,TRIM(SUBSTITUTE('worker file'!$A$2:$A$406,_xlfn.UNICHAR(160)," ")),'worker file'!$N$2:$N$406,""),IF(N(_xlpm.t)=0,"",_xlpm.t))</f>
        <v/>
      </c>
    </row>
    <row r="301" spans="1:14" x14ac:dyDescent="0.2">
      <c r="A301" s="35" t="s">
        <v>202</v>
      </c>
      <c r="B301" s="36" t="str">
        <f t="array" ref="B301">_xlfn.XLOOKUP($A301,TRIM(SUBSTITUTE('worker file'!$A$2:$A$406,_xlfn.UNICHAR(160)," ")),'worker file'!$L$2:$L$406,"Not found")</f>
        <v>US Semi-monthly</v>
      </c>
      <c r="C301" s="36" t="str">
        <f t="array" ref="C301">_xlfn.XLOOKUP($A301,TRIM(SUBSTITUTE('worker file'!$A$2:$A$406,_xlfn.UNICHAR(160)," ")),'worker file'!$D$2:$D$406,"Not found")</f>
        <v>TX</v>
      </c>
      <c r="D301" s="36" t="str">
        <f t="array" ref="D301">_xlfn.XLOOKUP($A301,TRIM(SUBSTITUTE('worker file'!$A$2:$A$406,_xlfn.UNICHAR(160)," ")),'worker file'!$Q$2:$Q$406,"Not found")</f>
        <v>Active</v>
      </c>
      <c r="E301" s="35" t="s">
        <v>626</v>
      </c>
      <c r="F301" t="str">
        <f t="shared" si="31"/>
        <v>Medical (Health) – Employee</v>
      </c>
      <c r="G301" t="str">
        <f t="shared" si="32"/>
        <v>Pre-tax Section 125 (exempt from FIT/SIT/FICA)</v>
      </c>
      <c r="H301" t="str">
        <f t="shared" si="33"/>
        <v>Flat</v>
      </c>
      <c r="I301" s="40" t="str">
        <f>IF($H301="Percent",_xlfn.XLOOKUP($E301,$A$5:$A$8,$F$5:$F$8,""),"")</f>
        <v/>
      </c>
      <c r="J301" s="38">
        <f t="shared" si="34"/>
        <v>200</v>
      </c>
      <c r="K301" t="str">
        <f t="shared" si="35"/>
        <v>Per pay period</v>
      </c>
      <c r="L301" t="str">
        <f t="shared" si="36"/>
        <v>Every pay period (ongoing)</v>
      </c>
      <c r="M301" s="39">
        <f t="array" ref="M301">MAX(_xlfn.XLOOKUP($A301,TRIM(SUBSTITUTE('worker file'!$A$2:$A$406,_xlfn.UNICHAR(160)," ")),'worker file'!$M$2:$M$406,0),_xlfn.XLOOKUP($B301,TRIM('pay group &amp; schedule'!$A$2:$A$6),'pay group &amp; schedule'!$D$2:$D$6,0))</f>
        <v>46311</v>
      </c>
      <c r="N301" s="39" t="str">
        <f t="array" ref="N301">_xlfn.LET(_xlpm.t,_xlfn.XLOOKUP($A301,TRIM(SUBSTITUTE('worker file'!$A$2:$A$406,_xlfn.UNICHAR(160)," ")),'worker file'!$N$2:$N$406,""),IF(N(_xlpm.t)=0,"",_xlpm.t))</f>
        <v/>
      </c>
    </row>
    <row r="302" spans="1:14" x14ac:dyDescent="0.2">
      <c r="A302" s="35" t="s">
        <v>202</v>
      </c>
      <c r="B302" s="36" t="str">
        <f t="array" ref="B302">_xlfn.XLOOKUP($A302,TRIM(SUBSTITUTE('worker file'!$A$2:$A$406,_xlfn.UNICHAR(160)," ")),'worker file'!$L$2:$L$406,"Not found")</f>
        <v>US Semi-monthly</v>
      </c>
      <c r="C302" s="36" t="str">
        <f t="array" ref="C302">_xlfn.XLOOKUP($A302,TRIM(SUBSTITUTE('worker file'!$A$2:$A$406,_xlfn.UNICHAR(160)," ")),'worker file'!$D$2:$D$406,"Not found")</f>
        <v>TX</v>
      </c>
      <c r="D302" s="36" t="str">
        <f t="array" ref="D302">_xlfn.XLOOKUP($A302,TRIM(SUBSTITUTE('worker file'!$A$2:$A$406,_xlfn.UNICHAR(160)," ")),'worker file'!$Q$2:$Q$406,"Not found")</f>
        <v>Active</v>
      </c>
      <c r="E302" s="35" t="s">
        <v>632</v>
      </c>
      <c r="F302" t="str">
        <f t="shared" si="31"/>
        <v>Dental – Employee</v>
      </c>
      <c r="G302" t="str">
        <f t="shared" si="32"/>
        <v>Pre-tax Section 125 (exempt from FIT/SIT/FICA)</v>
      </c>
      <c r="H302" t="str">
        <f t="shared" si="33"/>
        <v>Flat</v>
      </c>
      <c r="I302" s="40" t="str">
        <f>IF($H302="Percent",_xlfn.XLOOKUP($E302,$A$5:$A$8,$F$5:$F$8,""),"")</f>
        <v/>
      </c>
      <c r="J302" s="38">
        <f t="shared" si="34"/>
        <v>44</v>
      </c>
      <c r="K302" t="str">
        <f t="shared" si="35"/>
        <v>Per pay period</v>
      </c>
      <c r="L302" t="str">
        <f t="shared" si="36"/>
        <v>Every pay period (ongoing)</v>
      </c>
      <c r="M302" s="39">
        <f t="array" ref="M302">MAX(_xlfn.XLOOKUP($A302,TRIM(SUBSTITUTE('worker file'!$A$2:$A$406,_xlfn.UNICHAR(160)," ")),'worker file'!$M$2:$M$406,0),_xlfn.XLOOKUP($B302,TRIM('pay group &amp; schedule'!$A$2:$A$6),'pay group &amp; schedule'!$D$2:$D$6,0))</f>
        <v>46311</v>
      </c>
      <c r="N302" s="39" t="str">
        <f t="array" ref="N302">_xlfn.LET(_xlpm.t,_xlfn.XLOOKUP($A302,TRIM(SUBSTITUTE('worker file'!$A$2:$A$406,_xlfn.UNICHAR(160)," ")),'worker file'!$N$2:$N$406,""),IF(N(_xlpm.t)=0,"",_xlpm.t))</f>
        <v/>
      </c>
    </row>
    <row r="303" spans="1:14" x14ac:dyDescent="0.2">
      <c r="A303" s="35" t="s">
        <v>202</v>
      </c>
      <c r="B303" s="36" t="str">
        <f t="array" ref="B303">_xlfn.XLOOKUP($A303,TRIM(SUBSTITUTE('worker file'!$A$2:$A$406,_xlfn.UNICHAR(160)," ")),'worker file'!$L$2:$L$406,"Not found")</f>
        <v>US Semi-monthly</v>
      </c>
      <c r="C303" s="36" t="str">
        <f t="array" ref="C303">_xlfn.XLOOKUP($A303,TRIM(SUBSTITUTE('worker file'!$A$2:$A$406,_xlfn.UNICHAR(160)," ")),'worker file'!$D$2:$D$406,"Not found")</f>
        <v>TX</v>
      </c>
      <c r="D303" s="36" t="str">
        <f t="array" ref="D303">_xlfn.XLOOKUP($A303,TRIM(SUBSTITUTE('worker file'!$A$2:$A$406,_xlfn.UNICHAR(160)," ")),'worker file'!$Q$2:$Q$406,"Not found")</f>
        <v>Active</v>
      </c>
      <c r="E303" s="35" t="s">
        <v>634</v>
      </c>
      <c r="F303" t="str">
        <f t="shared" si="31"/>
        <v>Vision – Employee</v>
      </c>
      <c r="G303" t="str">
        <f t="shared" si="32"/>
        <v>Pre-tax Section 125 (exempt from FIT/SIT/FICA)</v>
      </c>
      <c r="H303" t="str">
        <f t="shared" si="33"/>
        <v>Flat</v>
      </c>
      <c r="I303" s="40" t="str">
        <f>IF($H303="Percent",_xlfn.XLOOKUP($E303,$A$5:$A$8,$F$5:$F$8,""),"")</f>
        <v/>
      </c>
      <c r="J303" s="38">
        <f t="shared" si="34"/>
        <v>30</v>
      </c>
      <c r="K303" t="str">
        <f t="shared" si="35"/>
        <v>Per pay period</v>
      </c>
      <c r="L303" t="str">
        <f t="shared" si="36"/>
        <v>Every pay period (ongoing)</v>
      </c>
      <c r="M303" s="39">
        <f t="array" ref="M303">MAX(_xlfn.XLOOKUP($A303,TRIM(SUBSTITUTE('worker file'!$A$2:$A$406,_xlfn.UNICHAR(160)," ")),'worker file'!$M$2:$M$406,0),_xlfn.XLOOKUP($B303,TRIM('pay group &amp; schedule'!$A$2:$A$6),'pay group &amp; schedule'!$D$2:$D$6,0))</f>
        <v>46311</v>
      </c>
      <c r="N303" s="39" t="str">
        <f t="array" ref="N303">_xlfn.LET(_xlpm.t,_xlfn.XLOOKUP($A303,TRIM(SUBSTITUTE('worker file'!$A$2:$A$406,_xlfn.UNICHAR(160)," ")),'worker file'!$N$2:$N$406,""),IF(N(_xlpm.t)=0,"",_xlpm.t))</f>
        <v/>
      </c>
    </row>
    <row r="304" spans="1:14" x14ac:dyDescent="0.2">
      <c r="A304" s="35" t="s">
        <v>203</v>
      </c>
      <c r="B304" s="36" t="str">
        <f t="array" ref="B304">_xlfn.XLOOKUP($A304,TRIM(SUBSTITUTE('worker file'!$A$2:$A$406,_xlfn.UNICHAR(160)," ")),'worker file'!$L$2:$L$406,"Not found")</f>
        <v>US Semi-monthly</v>
      </c>
      <c r="C304" s="36" t="str">
        <f t="array" ref="C304">_xlfn.XLOOKUP($A304,TRIM(SUBSTITUTE('worker file'!$A$2:$A$406,_xlfn.UNICHAR(160)," ")),'worker file'!$D$2:$D$406,"Not found")</f>
        <v>WA</v>
      </c>
      <c r="D304" s="36" t="str">
        <f t="array" ref="D304">_xlfn.XLOOKUP($A304,TRIM(SUBSTITUTE('worker file'!$A$2:$A$406,_xlfn.UNICHAR(160)," ")),'worker file'!$Q$2:$Q$406,"Not found")</f>
        <v>Active</v>
      </c>
      <c r="E304" s="35" t="s">
        <v>618</v>
      </c>
      <c r="F304" t="str">
        <f t="shared" si="31"/>
        <v>401(k) Employee Deferral</v>
      </c>
      <c r="G304" t="str">
        <f t="shared" si="32"/>
        <v>Pre-tax (exempt from FIT/SIT; subject to FICA)</v>
      </c>
      <c r="H304" t="str">
        <f t="shared" si="33"/>
        <v>Percent</v>
      </c>
      <c r="I304" s="37">
        <v>0.02</v>
      </c>
      <c r="J304" s="38" t="str">
        <f t="shared" si="34"/>
        <v/>
      </c>
      <c r="K304" t="str">
        <f t="shared" si="35"/>
        <v>Gross pay</v>
      </c>
      <c r="L304" t="str">
        <f t="shared" si="36"/>
        <v>Every pay period (ongoing)</v>
      </c>
      <c r="M304" s="39">
        <f t="array" ref="M304">MAX(_xlfn.XLOOKUP($A304,TRIM(SUBSTITUTE('worker file'!$A$2:$A$406,_xlfn.UNICHAR(160)," ")),'worker file'!$M$2:$M$406,0),_xlfn.XLOOKUP($B304,TRIM('pay group &amp; schedule'!$A$2:$A$6),'pay group &amp; schedule'!$D$2:$D$6,0))</f>
        <v>46311</v>
      </c>
      <c r="N304" s="39" t="str">
        <f t="array" ref="N304">_xlfn.LET(_xlpm.t,_xlfn.XLOOKUP($A304,TRIM(SUBSTITUTE('worker file'!$A$2:$A$406,_xlfn.UNICHAR(160)," ")),'worker file'!$N$2:$N$406,""),IF(N(_xlpm.t)=0,"",_xlpm.t))</f>
        <v/>
      </c>
    </row>
    <row r="305" spans="1:14" x14ac:dyDescent="0.2">
      <c r="A305" s="35" t="s">
        <v>203</v>
      </c>
      <c r="B305" s="36" t="str">
        <f t="array" ref="B305">_xlfn.XLOOKUP($A305,TRIM(SUBSTITUTE('worker file'!$A$2:$A$406,_xlfn.UNICHAR(160)," ")),'worker file'!$L$2:$L$406,"Not found")</f>
        <v>US Semi-monthly</v>
      </c>
      <c r="C305" s="36" t="str">
        <f t="array" ref="C305">_xlfn.XLOOKUP($A305,TRIM(SUBSTITUTE('worker file'!$A$2:$A$406,_xlfn.UNICHAR(160)," ")),'worker file'!$D$2:$D$406,"Not found")</f>
        <v>WA</v>
      </c>
      <c r="D305" s="36" t="str">
        <f t="array" ref="D305">_xlfn.XLOOKUP($A305,TRIM(SUBSTITUTE('worker file'!$A$2:$A$406,_xlfn.UNICHAR(160)," ")),'worker file'!$Q$2:$Q$406,"Not found")</f>
        <v>Active</v>
      </c>
      <c r="E305" s="35" t="s">
        <v>626</v>
      </c>
      <c r="F305" t="str">
        <f t="shared" si="31"/>
        <v>Medical (Health) – Employee</v>
      </c>
      <c r="G305" t="str">
        <f t="shared" si="32"/>
        <v>Pre-tax Section 125 (exempt from FIT/SIT/FICA)</v>
      </c>
      <c r="H305" t="str">
        <f t="shared" si="33"/>
        <v>Flat</v>
      </c>
      <c r="I305" s="40" t="str">
        <f>IF($H305="Percent",_xlfn.XLOOKUP($E305,$A$5:$A$8,$F$5:$F$8,""),"")</f>
        <v/>
      </c>
      <c r="J305" s="38">
        <f t="shared" si="34"/>
        <v>200</v>
      </c>
      <c r="K305" t="str">
        <f t="shared" si="35"/>
        <v>Per pay period</v>
      </c>
      <c r="L305" t="str">
        <f t="shared" si="36"/>
        <v>Every pay period (ongoing)</v>
      </c>
      <c r="M305" s="39">
        <f t="array" ref="M305">MAX(_xlfn.XLOOKUP($A305,TRIM(SUBSTITUTE('worker file'!$A$2:$A$406,_xlfn.UNICHAR(160)," ")),'worker file'!$M$2:$M$406,0),_xlfn.XLOOKUP($B305,TRIM('pay group &amp; schedule'!$A$2:$A$6),'pay group &amp; schedule'!$D$2:$D$6,0))</f>
        <v>46311</v>
      </c>
      <c r="N305" s="39" t="str">
        <f t="array" ref="N305">_xlfn.LET(_xlpm.t,_xlfn.XLOOKUP($A305,TRIM(SUBSTITUTE('worker file'!$A$2:$A$406,_xlfn.UNICHAR(160)," ")),'worker file'!$N$2:$N$406,""),IF(N(_xlpm.t)=0,"",_xlpm.t))</f>
        <v/>
      </c>
    </row>
    <row r="306" spans="1:14" x14ac:dyDescent="0.2">
      <c r="A306" s="35" t="s">
        <v>203</v>
      </c>
      <c r="B306" s="36" t="str">
        <f t="array" ref="B306">_xlfn.XLOOKUP($A306,TRIM(SUBSTITUTE('worker file'!$A$2:$A$406,_xlfn.UNICHAR(160)," ")),'worker file'!$L$2:$L$406,"Not found")</f>
        <v>US Semi-monthly</v>
      </c>
      <c r="C306" s="36" t="str">
        <f t="array" ref="C306">_xlfn.XLOOKUP($A306,TRIM(SUBSTITUTE('worker file'!$A$2:$A$406,_xlfn.UNICHAR(160)," ")),'worker file'!$D$2:$D$406,"Not found")</f>
        <v>WA</v>
      </c>
      <c r="D306" s="36" t="str">
        <f t="array" ref="D306">_xlfn.XLOOKUP($A306,TRIM(SUBSTITUTE('worker file'!$A$2:$A$406,_xlfn.UNICHAR(160)," ")),'worker file'!$Q$2:$Q$406,"Not found")</f>
        <v>Active</v>
      </c>
      <c r="E306" s="35" t="s">
        <v>632</v>
      </c>
      <c r="F306" t="str">
        <f t="shared" si="31"/>
        <v>Dental – Employee</v>
      </c>
      <c r="G306" t="str">
        <f t="shared" si="32"/>
        <v>Pre-tax Section 125 (exempt from FIT/SIT/FICA)</v>
      </c>
      <c r="H306" t="str">
        <f t="shared" si="33"/>
        <v>Flat</v>
      </c>
      <c r="I306" s="40" t="str">
        <f>IF($H306="Percent",_xlfn.XLOOKUP($E306,$A$5:$A$8,$F$5:$F$8,""),"")</f>
        <v/>
      </c>
      <c r="J306" s="38">
        <f t="shared" si="34"/>
        <v>44</v>
      </c>
      <c r="K306" t="str">
        <f t="shared" si="35"/>
        <v>Per pay period</v>
      </c>
      <c r="L306" t="str">
        <f t="shared" si="36"/>
        <v>Every pay period (ongoing)</v>
      </c>
      <c r="M306" s="39">
        <f t="array" ref="M306">MAX(_xlfn.XLOOKUP($A306,TRIM(SUBSTITUTE('worker file'!$A$2:$A$406,_xlfn.UNICHAR(160)," ")),'worker file'!$M$2:$M$406,0),_xlfn.XLOOKUP($B306,TRIM('pay group &amp; schedule'!$A$2:$A$6),'pay group &amp; schedule'!$D$2:$D$6,0))</f>
        <v>46311</v>
      </c>
      <c r="N306" s="39" t="str">
        <f t="array" ref="N306">_xlfn.LET(_xlpm.t,_xlfn.XLOOKUP($A306,TRIM(SUBSTITUTE('worker file'!$A$2:$A$406,_xlfn.UNICHAR(160)," ")),'worker file'!$N$2:$N$406,""),IF(N(_xlpm.t)=0,"",_xlpm.t))</f>
        <v/>
      </c>
    </row>
    <row r="307" spans="1:14" x14ac:dyDescent="0.2">
      <c r="A307" s="35" t="s">
        <v>203</v>
      </c>
      <c r="B307" s="36" t="str">
        <f t="array" ref="B307">_xlfn.XLOOKUP($A307,TRIM(SUBSTITUTE('worker file'!$A$2:$A$406,_xlfn.UNICHAR(160)," ")),'worker file'!$L$2:$L$406,"Not found")</f>
        <v>US Semi-monthly</v>
      </c>
      <c r="C307" s="36" t="str">
        <f t="array" ref="C307">_xlfn.XLOOKUP($A307,TRIM(SUBSTITUTE('worker file'!$A$2:$A$406,_xlfn.UNICHAR(160)," ")),'worker file'!$D$2:$D$406,"Not found")</f>
        <v>WA</v>
      </c>
      <c r="D307" s="36" t="str">
        <f t="array" ref="D307">_xlfn.XLOOKUP($A307,TRIM(SUBSTITUTE('worker file'!$A$2:$A$406,_xlfn.UNICHAR(160)," ")),'worker file'!$Q$2:$Q$406,"Not found")</f>
        <v>Active</v>
      </c>
      <c r="E307" s="35" t="s">
        <v>634</v>
      </c>
      <c r="F307" t="str">
        <f t="shared" si="31"/>
        <v>Vision – Employee</v>
      </c>
      <c r="G307" t="str">
        <f t="shared" si="32"/>
        <v>Pre-tax Section 125 (exempt from FIT/SIT/FICA)</v>
      </c>
      <c r="H307" t="str">
        <f t="shared" si="33"/>
        <v>Flat</v>
      </c>
      <c r="I307" s="40" t="str">
        <f>IF($H307="Percent",_xlfn.XLOOKUP($E307,$A$5:$A$8,$F$5:$F$8,""),"")</f>
        <v/>
      </c>
      <c r="J307" s="38">
        <f t="shared" si="34"/>
        <v>30</v>
      </c>
      <c r="K307" t="str">
        <f t="shared" si="35"/>
        <v>Per pay period</v>
      </c>
      <c r="L307" t="str">
        <f t="shared" si="36"/>
        <v>Every pay period (ongoing)</v>
      </c>
      <c r="M307" s="39">
        <f t="array" ref="M307">MAX(_xlfn.XLOOKUP($A307,TRIM(SUBSTITUTE('worker file'!$A$2:$A$406,_xlfn.UNICHAR(160)," ")),'worker file'!$M$2:$M$406,0),_xlfn.XLOOKUP($B307,TRIM('pay group &amp; schedule'!$A$2:$A$6),'pay group &amp; schedule'!$D$2:$D$6,0))</f>
        <v>46311</v>
      </c>
      <c r="N307" s="39" t="str">
        <f t="array" ref="N307">_xlfn.LET(_xlpm.t,_xlfn.XLOOKUP($A307,TRIM(SUBSTITUTE('worker file'!$A$2:$A$406,_xlfn.UNICHAR(160)," ")),'worker file'!$N$2:$N$406,""),IF(N(_xlpm.t)=0,"",_xlpm.t))</f>
        <v/>
      </c>
    </row>
    <row r="308" spans="1:14" x14ac:dyDescent="0.2">
      <c r="A308" s="35" t="s">
        <v>204</v>
      </c>
      <c r="B308" s="36" t="str">
        <f t="array" ref="B308">_xlfn.XLOOKUP($A308,TRIM(SUBSTITUTE('worker file'!$A$2:$A$406,_xlfn.UNICHAR(160)," ")),'worker file'!$L$2:$L$406,"Not found")</f>
        <v>US Semi-monthly</v>
      </c>
      <c r="C308" s="36" t="str">
        <f t="array" ref="C308">_xlfn.XLOOKUP($A308,TRIM(SUBSTITUTE('worker file'!$A$2:$A$406,_xlfn.UNICHAR(160)," ")),'worker file'!$D$2:$D$406,"Not found")</f>
        <v>CA</v>
      </c>
      <c r="D308" s="36" t="str">
        <f t="array" ref="D308">_xlfn.XLOOKUP($A308,TRIM(SUBSTITUTE('worker file'!$A$2:$A$406,_xlfn.UNICHAR(160)," ")),'worker file'!$Q$2:$Q$406,"Not found")</f>
        <v>Active</v>
      </c>
      <c r="E308" s="35" t="s">
        <v>618</v>
      </c>
      <c r="F308" t="str">
        <f t="shared" si="31"/>
        <v>401(k) Employee Deferral</v>
      </c>
      <c r="G308" t="str">
        <f t="shared" si="32"/>
        <v>Pre-tax (exempt from FIT/SIT; subject to FICA)</v>
      </c>
      <c r="H308" t="str">
        <f t="shared" si="33"/>
        <v>Percent</v>
      </c>
      <c r="I308" s="37">
        <v>7.0000000000000007E-2</v>
      </c>
      <c r="J308" s="38" t="str">
        <f t="shared" si="34"/>
        <v/>
      </c>
      <c r="K308" t="str">
        <f t="shared" si="35"/>
        <v>Gross pay</v>
      </c>
      <c r="L308" t="str">
        <f t="shared" si="36"/>
        <v>Every pay period (ongoing)</v>
      </c>
      <c r="M308" s="39">
        <f t="array" ref="M308">MAX(_xlfn.XLOOKUP($A308,TRIM(SUBSTITUTE('worker file'!$A$2:$A$406,_xlfn.UNICHAR(160)," ")),'worker file'!$M$2:$M$406,0),_xlfn.XLOOKUP($B308,TRIM('pay group &amp; schedule'!$A$2:$A$6),'pay group &amp; schedule'!$D$2:$D$6,0))</f>
        <v>46311</v>
      </c>
      <c r="N308" s="39" t="str">
        <f t="array" ref="N308">_xlfn.LET(_xlpm.t,_xlfn.XLOOKUP($A308,TRIM(SUBSTITUTE('worker file'!$A$2:$A$406,_xlfn.UNICHAR(160)," ")),'worker file'!$N$2:$N$406,""),IF(N(_xlpm.t)=0,"",_xlpm.t))</f>
        <v/>
      </c>
    </row>
    <row r="309" spans="1:14" x14ac:dyDescent="0.2">
      <c r="A309" s="35" t="s">
        <v>204</v>
      </c>
      <c r="B309" s="36" t="str">
        <f t="array" ref="B309">_xlfn.XLOOKUP($A309,TRIM(SUBSTITUTE('worker file'!$A$2:$A$406,_xlfn.UNICHAR(160)," ")),'worker file'!$L$2:$L$406,"Not found")</f>
        <v>US Semi-monthly</v>
      </c>
      <c r="C309" s="36" t="str">
        <f t="array" ref="C309">_xlfn.XLOOKUP($A309,TRIM(SUBSTITUTE('worker file'!$A$2:$A$406,_xlfn.UNICHAR(160)," ")),'worker file'!$D$2:$D$406,"Not found")</f>
        <v>CA</v>
      </c>
      <c r="D309" s="36" t="str">
        <f t="array" ref="D309">_xlfn.XLOOKUP($A309,TRIM(SUBSTITUTE('worker file'!$A$2:$A$406,_xlfn.UNICHAR(160)," ")),'worker file'!$Q$2:$Q$406,"Not found")</f>
        <v>Active</v>
      </c>
      <c r="E309" s="35" t="s">
        <v>626</v>
      </c>
      <c r="F309" t="str">
        <f t="shared" si="31"/>
        <v>Medical (Health) – Employee</v>
      </c>
      <c r="G309" t="str">
        <f t="shared" si="32"/>
        <v>Pre-tax Section 125 (exempt from FIT/SIT/FICA)</v>
      </c>
      <c r="H309" t="str">
        <f t="shared" si="33"/>
        <v>Flat</v>
      </c>
      <c r="I309" s="40" t="str">
        <f>IF($H309="Percent",_xlfn.XLOOKUP($E309,$A$5:$A$8,$F$5:$F$8,""),"")</f>
        <v/>
      </c>
      <c r="J309" s="38">
        <f t="shared" si="34"/>
        <v>200</v>
      </c>
      <c r="K309" t="str">
        <f t="shared" si="35"/>
        <v>Per pay period</v>
      </c>
      <c r="L309" t="str">
        <f t="shared" si="36"/>
        <v>Every pay period (ongoing)</v>
      </c>
      <c r="M309" s="39">
        <f t="array" ref="M309">MAX(_xlfn.XLOOKUP($A309,TRIM(SUBSTITUTE('worker file'!$A$2:$A$406,_xlfn.UNICHAR(160)," ")),'worker file'!$M$2:$M$406,0),_xlfn.XLOOKUP($B309,TRIM('pay group &amp; schedule'!$A$2:$A$6),'pay group &amp; schedule'!$D$2:$D$6,0))</f>
        <v>46311</v>
      </c>
      <c r="N309" s="39" t="str">
        <f t="array" ref="N309">_xlfn.LET(_xlpm.t,_xlfn.XLOOKUP($A309,TRIM(SUBSTITUTE('worker file'!$A$2:$A$406,_xlfn.UNICHAR(160)," ")),'worker file'!$N$2:$N$406,""),IF(N(_xlpm.t)=0,"",_xlpm.t))</f>
        <v/>
      </c>
    </row>
    <row r="310" spans="1:14" x14ac:dyDescent="0.2">
      <c r="A310" s="35" t="s">
        <v>204</v>
      </c>
      <c r="B310" s="36" t="str">
        <f t="array" ref="B310">_xlfn.XLOOKUP($A310,TRIM(SUBSTITUTE('worker file'!$A$2:$A$406,_xlfn.UNICHAR(160)," ")),'worker file'!$L$2:$L$406,"Not found")</f>
        <v>US Semi-monthly</v>
      </c>
      <c r="C310" s="36" t="str">
        <f t="array" ref="C310">_xlfn.XLOOKUP($A310,TRIM(SUBSTITUTE('worker file'!$A$2:$A$406,_xlfn.UNICHAR(160)," ")),'worker file'!$D$2:$D$406,"Not found")</f>
        <v>CA</v>
      </c>
      <c r="D310" s="36" t="str">
        <f t="array" ref="D310">_xlfn.XLOOKUP($A310,TRIM(SUBSTITUTE('worker file'!$A$2:$A$406,_xlfn.UNICHAR(160)," ")),'worker file'!$Q$2:$Q$406,"Not found")</f>
        <v>Active</v>
      </c>
      <c r="E310" s="35" t="s">
        <v>632</v>
      </c>
      <c r="F310" t="str">
        <f t="shared" si="31"/>
        <v>Dental – Employee</v>
      </c>
      <c r="G310" t="str">
        <f t="shared" si="32"/>
        <v>Pre-tax Section 125 (exempt from FIT/SIT/FICA)</v>
      </c>
      <c r="H310" t="str">
        <f t="shared" si="33"/>
        <v>Flat</v>
      </c>
      <c r="I310" s="40" t="str">
        <f>IF($H310="Percent",_xlfn.XLOOKUP($E310,$A$5:$A$8,$F$5:$F$8,""),"")</f>
        <v/>
      </c>
      <c r="J310" s="38">
        <f t="shared" si="34"/>
        <v>44</v>
      </c>
      <c r="K310" t="str">
        <f t="shared" si="35"/>
        <v>Per pay period</v>
      </c>
      <c r="L310" t="str">
        <f t="shared" si="36"/>
        <v>Every pay period (ongoing)</v>
      </c>
      <c r="M310" s="39">
        <f t="array" ref="M310">MAX(_xlfn.XLOOKUP($A310,TRIM(SUBSTITUTE('worker file'!$A$2:$A$406,_xlfn.UNICHAR(160)," ")),'worker file'!$M$2:$M$406,0),_xlfn.XLOOKUP($B310,TRIM('pay group &amp; schedule'!$A$2:$A$6),'pay group &amp; schedule'!$D$2:$D$6,0))</f>
        <v>46311</v>
      </c>
      <c r="N310" s="39" t="str">
        <f t="array" ref="N310">_xlfn.LET(_xlpm.t,_xlfn.XLOOKUP($A310,TRIM(SUBSTITUTE('worker file'!$A$2:$A$406,_xlfn.UNICHAR(160)," ")),'worker file'!$N$2:$N$406,""),IF(N(_xlpm.t)=0,"",_xlpm.t))</f>
        <v/>
      </c>
    </row>
    <row r="311" spans="1:14" x14ac:dyDescent="0.2">
      <c r="A311" s="35" t="s">
        <v>204</v>
      </c>
      <c r="B311" s="36" t="str">
        <f t="array" ref="B311">_xlfn.XLOOKUP($A311,TRIM(SUBSTITUTE('worker file'!$A$2:$A$406,_xlfn.UNICHAR(160)," ")),'worker file'!$L$2:$L$406,"Not found")</f>
        <v>US Semi-monthly</v>
      </c>
      <c r="C311" s="36" t="str">
        <f t="array" ref="C311">_xlfn.XLOOKUP($A311,TRIM(SUBSTITUTE('worker file'!$A$2:$A$406,_xlfn.UNICHAR(160)," ")),'worker file'!$D$2:$D$406,"Not found")</f>
        <v>CA</v>
      </c>
      <c r="D311" s="36" t="str">
        <f t="array" ref="D311">_xlfn.XLOOKUP($A311,TRIM(SUBSTITUTE('worker file'!$A$2:$A$406,_xlfn.UNICHAR(160)," ")),'worker file'!$Q$2:$Q$406,"Not found")</f>
        <v>Active</v>
      </c>
      <c r="E311" s="35" t="s">
        <v>634</v>
      </c>
      <c r="F311" t="str">
        <f t="shared" si="31"/>
        <v>Vision – Employee</v>
      </c>
      <c r="G311" t="str">
        <f t="shared" si="32"/>
        <v>Pre-tax Section 125 (exempt from FIT/SIT/FICA)</v>
      </c>
      <c r="H311" t="str">
        <f t="shared" si="33"/>
        <v>Flat</v>
      </c>
      <c r="I311" s="40" t="str">
        <f>IF($H311="Percent",_xlfn.XLOOKUP($E311,$A$5:$A$8,$F$5:$F$8,""),"")</f>
        <v/>
      </c>
      <c r="J311" s="38">
        <f t="shared" si="34"/>
        <v>30</v>
      </c>
      <c r="K311" t="str">
        <f t="shared" si="35"/>
        <v>Per pay period</v>
      </c>
      <c r="L311" t="str">
        <f t="shared" si="36"/>
        <v>Every pay period (ongoing)</v>
      </c>
      <c r="M311" s="39">
        <f t="array" ref="M311">MAX(_xlfn.XLOOKUP($A311,TRIM(SUBSTITUTE('worker file'!$A$2:$A$406,_xlfn.UNICHAR(160)," ")),'worker file'!$M$2:$M$406,0),_xlfn.XLOOKUP($B311,TRIM('pay group &amp; schedule'!$A$2:$A$6),'pay group &amp; schedule'!$D$2:$D$6,0))</f>
        <v>46311</v>
      </c>
      <c r="N311" s="39" t="str">
        <f t="array" ref="N311">_xlfn.LET(_xlpm.t,_xlfn.XLOOKUP($A311,TRIM(SUBSTITUTE('worker file'!$A$2:$A$406,_xlfn.UNICHAR(160)," ")),'worker file'!$N$2:$N$406,""),IF(N(_xlpm.t)=0,"",_xlpm.t))</f>
        <v/>
      </c>
    </row>
    <row r="312" spans="1:14" x14ac:dyDescent="0.2">
      <c r="A312" s="35" t="s">
        <v>205</v>
      </c>
      <c r="B312" s="36" t="str">
        <f t="array" ref="B312">_xlfn.XLOOKUP($A312,TRIM(SUBSTITUTE('worker file'!$A$2:$A$406,_xlfn.UNICHAR(160)," ")),'worker file'!$L$2:$L$406,"Not found")</f>
        <v>US Semi-monthly</v>
      </c>
      <c r="C312" s="36" t="str">
        <f t="array" ref="C312">_xlfn.XLOOKUP($A312,TRIM(SUBSTITUTE('worker file'!$A$2:$A$406,_xlfn.UNICHAR(160)," ")),'worker file'!$D$2:$D$406,"Not found")</f>
        <v>CA</v>
      </c>
      <c r="D312" s="36" t="str">
        <f t="array" ref="D312">_xlfn.XLOOKUP($A312,TRIM(SUBSTITUTE('worker file'!$A$2:$A$406,_xlfn.UNICHAR(160)," ")),'worker file'!$Q$2:$Q$406,"Not found")</f>
        <v>Active</v>
      </c>
      <c r="E312" s="35" t="s">
        <v>618</v>
      </c>
      <c r="F312" t="str">
        <f t="shared" si="31"/>
        <v>401(k) Employee Deferral</v>
      </c>
      <c r="G312" t="str">
        <f t="shared" si="32"/>
        <v>Pre-tax (exempt from FIT/SIT; subject to FICA)</v>
      </c>
      <c r="H312" t="str">
        <f t="shared" si="33"/>
        <v>Percent</v>
      </c>
      <c r="I312" s="37">
        <v>0.04</v>
      </c>
      <c r="J312" s="38" t="str">
        <f t="shared" si="34"/>
        <v/>
      </c>
      <c r="K312" t="str">
        <f t="shared" si="35"/>
        <v>Gross pay</v>
      </c>
      <c r="L312" t="str">
        <f t="shared" si="36"/>
        <v>Every pay period (ongoing)</v>
      </c>
      <c r="M312" s="39">
        <f t="array" ref="M312">MAX(_xlfn.XLOOKUP($A312,TRIM(SUBSTITUTE('worker file'!$A$2:$A$406,_xlfn.UNICHAR(160)," ")),'worker file'!$M$2:$M$406,0),_xlfn.XLOOKUP($B312,TRIM('pay group &amp; schedule'!$A$2:$A$6),'pay group &amp; schedule'!$D$2:$D$6,0))</f>
        <v>46311</v>
      </c>
      <c r="N312" s="39" t="str">
        <f t="array" ref="N312">_xlfn.LET(_xlpm.t,_xlfn.XLOOKUP($A312,TRIM(SUBSTITUTE('worker file'!$A$2:$A$406,_xlfn.UNICHAR(160)," ")),'worker file'!$N$2:$N$406,""),IF(N(_xlpm.t)=0,"",_xlpm.t))</f>
        <v/>
      </c>
    </row>
    <row r="313" spans="1:14" x14ac:dyDescent="0.2">
      <c r="A313" s="35" t="s">
        <v>205</v>
      </c>
      <c r="B313" s="36" t="str">
        <f t="array" ref="B313">_xlfn.XLOOKUP($A313,TRIM(SUBSTITUTE('worker file'!$A$2:$A$406,_xlfn.UNICHAR(160)," ")),'worker file'!$L$2:$L$406,"Not found")</f>
        <v>US Semi-monthly</v>
      </c>
      <c r="C313" s="36" t="str">
        <f t="array" ref="C313">_xlfn.XLOOKUP($A313,TRIM(SUBSTITUTE('worker file'!$A$2:$A$406,_xlfn.UNICHAR(160)," ")),'worker file'!$D$2:$D$406,"Not found")</f>
        <v>CA</v>
      </c>
      <c r="D313" s="36" t="str">
        <f t="array" ref="D313">_xlfn.XLOOKUP($A313,TRIM(SUBSTITUTE('worker file'!$A$2:$A$406,_xlfn.UNICHAR(160)," ")),'worker file'!$Q$2:$Q$406,"Not found")</f>
        <v>Active</v>
      </c>
      <c r="E313" s="35" t="s">
        <v>626</v>
      </c>
      <c r="F313" t="str">
        <f t="shared" si="31"/>
        <v>Medical (Health) – Employee</v>
      </c>
      <c r="G313" t="str">
        <f t="shared" si="32"/>
        <v>Pre-tax Section 125 (exempt from FIT/SIT/FICA)</v>
      </c>
      <c r="H313" t="str">
        <f t="shared" si="33"/>
        <v>Flat</v>
      </c>
      <c r="I313" s="40" t="str">
        <f>IF($H313="Percent",_xlfn.XLOOKUP($E313,$A$5:$A$8,$F$5:$F$8,""),"")</f>
        <v/>
      </c>
      <c r="J313" s="38">
        <f t="shared" si="34"/>
        <v>200</v>
      </c>
      <c r="K313" t="str">
        <f t="shared" si="35"/>
        <v>Per pay period</v>
      </c>
      <c r="L313" t="str">
        <f t="shared" si="36"/>
        <v>Every pay period (ongoing)</v>
      </c>
      <c r="M313" s="39">
        <f t="array" ref="M313">MAX(_xlfn.XLOOKUP($A313,TRIM(SUBSTITUTE('worker file'!$A$2:$A$406,_xlfn.UNICHAR(160)," ")),'worker file'!$M$2:$M$406,0),_xlfn.XLOOKUP($B313,TRIM('pay group &amp; schedule'!$A$2:$A$6),'pay group &amp; schedule'!$D$2:$D$6,0))</f>
        <v>46311</v>
      </c>
      <c r="N313" s="39" t="str">
        <f t="array" ref="N313">_xlfn.LET(_xlpm.t,_xlfn.XLOOKUP($A313,TRIM(SUBSTITUTE('worker file'!$A$2:$A$406,_xlfn.UNICHAR(160)," ")),'worker file'!$N$2:$N$406,""),IF(N(_xlpm.t)=0,"",_xlpm.t))</f>
        <v/>
      </c>
    </row>
    <row r="314" spans="1:14" x14ac:dyDescent="0.2">
      <c r="A314" s="35" t="s">
        <v>205</v>
      </c>
      <c r="B314" s="36" t="str">
        <f t="array" ref="B314">_xlfn.XLOOKUP($A314,TRIM(SUBSTITUTE('worker file'!$A$2:$A$406,_xlfn.UNICHAR(160)," ")),'worker file'!$L$2:$L$406,"Not found")</f>
        <v>US Semi-monthly</v>
      </c>
      <c r="C314" s="36" t="str">
        <f t="array" ref="C314">_xlfn.XLOOKUP($A314,TRIM(SUBSTITUTE('worker file'!$A$2:$A$406,_xlfn.UNICHAR(160)," ")),'worker file'!$D$2:$D$406,"Not found")</f>
        <v>CA</v>
      </c>
      <c r="D314" s="36" t="str">
        <f t="array" ref="D314">_xlfn.XLOOKUP($A314,TRIM(SUBSTITUTE('worker file'!$A$2:$A$406,_xlfn.UNICHAR(160)," ")),'worker file'!$Q$2:$Q$406,"Not found")</f>
        <v>Active</v>
      </c>
      <c r="E314" s="35" t="s">
        <v>632</v>
      </c>
      <c r="F314" t="str">
        <f t="shared" si="31"/>
        <v>Dental – Employee</v>
      </c>
      <c r="G314" t="str">
        <f t="shared" si="32"/>
        <v>Pre-tax Section 125 (exempt from FIT/SIT/FICA)</v>
      </c>
      <c r="H314" t="str">
        <f t="shared" si="33"/>
        <v>Flat</v>
      </c>
      <c r="I314" s="40" t="str">
        <f>IF($H314="Percent",_xlfn.XLOOKUP($E314,$A$5:$A$8,$F$5:$F$8,""),"")</f>
        <v/>
      </c>
      <c r="J314" s="38">
        <f t="shared" si="34"/>
        <v>44</v>
      </c>
      <c r="K314" t="str">
        <f t="shared" si="35"/>
        <v>Per pay period</v>
      </c>
      <c r="L314" t="str">
        <f t="shared" si="36"/>
        <v>Every pay period (ongoing)</v>
      </c>
      <c r="M314" s="39">
        <f t="array" ref="M314">MAX(_xlfn.XLOOKUP($A314,TRIM(SUBSTITUTE('worker file'!$A$2:$A$406,_xlfn.UNICHAR(160)," ")),'worker file'!$M$2:$M$406,0),_xlfn.XLOOKUP($B314,TRIM('pay group &amp; schedule'!$A$2:$A$6),'pay group &amp; schedule'!$D$2:$D$6,0))</f>
        <v>46311</v>
      </c>
      <c r="N314" s="39" t="str">
        <f t="array" ref="N314">_xlfn.LET(_xlpm.t,_xlfn.XLOOKUP($A314,TRIM(SUBSTITUTE('worker file'!$A$2:$A$406,_xlfn.UNICHAR(160)," ")),'worker file'!$N$2:$N$406,""),IF(N(_xlpm.t)=0,"",_xlpm.t))</f>
        <v/>
      </c>
    </row>
    <row r="315" spans="1:14" x14ac:dyDescent="0.2">
      <c r="A315" s="35" t="s">
        <v>205</v>
      </c>
      <c r="B315" s="36" t="str">
        <f t="array" ref="B315">_xlfn.XLOOKUP($A315,TRIM(SUBSTITUTE('worker file'!$A$2:$A$406,_xlfn.UNICHAR(160)," ")),'worker file'!$L$2:$L$406,"Not found")</f>
        <v>US Semi-monthly</v>
      </c>
      <c r="C315" s="36" t="str">
        <f t="array" ref="C315">_xlfn.XLOOKUP($A315,TRIM(SUBSTITUTE('worker file'!$A$2:$A$406,_xlfn.UNICHAR(160)," ")),'worker file'!$D$2:$D$406,"Not found")</f>
        <v>CA</v>
      </c>
      <c r="D315" s="36" t="str">
        <f t="array" ref="D315">_xlfn.XLOOKUP($A315,TRIM(SUBSTITUTE('worker file'!$A$2:$A$406,_xlfn.UNICHAR(160)," ")),'worker file'!$Q$2:$Q$406,"Not found")</f>
        <v>Active</v>
      </c>
      <c r="E315" s="35" t="s">
        <v>634</v>
      </c>
      <c r="F315" t="str">
        <f t="shared" si="31"/>
        <v>Vision – Employee</v>
      </c>
      <c r="G315" t="str">
        <f t="shared" si="32"/>
        <v>Pre-tax Section 125 (exempt from FIT/SIT/FICA)</v>
      </c>
      <c r="H315" t="str">
        <f t="shared" si="33"/>
        <v>Flat</v>
      </c>
      <c r="I315" s="40" t="str">
        <f>IF($H315="Percent",_xlfn.XLOOKUP($E315,$A$5:$A$8,$F$5:$F$8,""),"")</f>
        <v/>
      </c>
      <c r="J315" s="38">
        <f t="shared" si="34"/>
        <v>30</v>
      </c>
      <c r="K315" t="str">
        <f t="shared" si="35"/>
        <v>Per pay period</v>
      </c>
      <c r="L315" t="str">
        <f t="shared" si="36"/>
        <v>Every pay period (ongoing)</v>
      </c>
      <c r="M315" s="39">
        <f t="array" ref="M315">MAX(_xlfn.XLOOKUP($A315,TRIM(SUBSTITUTE('worker file'!$A$2:$A$406,_xlfn.UNICHAR(160)," ")),'worker file'!$M$2:$M$406,0),_xlfn.XLOOKUP($B315,TRIM('pay group &amp; schedule'!$A$2:$A$6),'pay group &amp; schedule'!$D$2:$D$6,0))</f>
        <v>46311</v>
      </c>
      <c r="N315" s="39" t="str">
        <f t="array" ref="N315">_xlfn.LET(_xlpm.t,_xlfn.XLOOKUP($A315,TRIM(SUBSTITUTE('worker file'!$A$2:$A$406,_xlfn.UNICHAR(160)," ")),'worker file'!$N$2:$N$406,""),IF(N(_xlpm.t)=0,"",_xlpm.t))</f>
        <v/>
      </c>
    </row>
    <row r="316" spans="1:14" x14ac:dyDescent="0.2">
      <c r="A316" s="35" t="s">
        <v>206</v>
      </c>
      <c r="B316" s="36" t="str">
        <f t="array" ref="B316">_xlfn.XLOOKUP($A316,TRIM(SUBSTITUTE('worker file'!$A$2:$A$406,_xlfn.UNICHAR(160)," ")),'worker file'!$L$2:$L$406,"Not found")</f>
        <v>US Semi-monthly</v>
      </c>
      <c r="C316" s="36" t="str">
        <f t="array" ref="C316">_xlfn.XLOOKUP($A316,TRIM(SUBSTITUTE('worker file'!$A$2:$A$406,_xlfn.UNICHAR(160)," ")),'worker file'!$D$2:$D$406,"Not found")</f>
        <v>WA</v>
      </c>
      <c r="D316" s="36" t="str">
        <f t="array" ref="D316">_xlfn.XLOOKUP($A316,TRIM(SUBSTITUTE('worker file'!$A$2:$A$406,_xlfn.UNICHAR(160)," ")),'worker file'!$Q$2:$Q$406,"Not found")</f>
        <v>Active</v>
      </c>
      <c r="E316" s="35" t="s">
        <v>618</v>
      </c>
      <c r="F316" t="str">
        <f t="shared" si="31"/>
        <v>401(k) Employee Deferral</v>
      </c>
      <c r="G316" t="str">
        <f t="shared" si="32"/>
        <v>Pre-tax (exempt from FIT/SIT; subject to FICA)</v>
      </c>
      <c r="H316" t="str">
        <f t="shared" si="33"/>
        <v>Percent</v>
      </c>
      <c r="I316" s="37">
        <v>0.01</v>
      </c>
      <c r="J316" s="38" t="str">
        <f t="shared" si="34"/>
        <v/>
      </c>
      <c r="K316" t="str">
        <f t="shared" si="35"/>
        <v>Gross pay</v>
      </c>
      <c r="L316" t="str">
        <f t="shared" si="36"/>
        <v>Every pay period (ongoing)</v>
      </c>
      <c r="M316" s="39">
        <f t="array" ref="M316">MAX(_xlfn.XLOOKUP($A316,TRIM(SUBSTITUTE('worker file'!$A$2:$A$406,_xlfn.UNICHAR(160)," ")),'worker file'!$M$2:$M$406,0),_xlfn.XLOOKUP($B316,TRIM('pay group &amp; schedule'!$A$2:$A$6),'pay group &amp; schedule'!$D$2:$D$6,0))</f>
        <v>46311</v>
      </c>
      <c r="N316" s="39" t="str">
        <f t="array" ref="N316">_xlfn.LET(_xlpm.t,_xlfn.XLOOKUP($A316,TRIM(SUBSTITUTE('worker file'!$A$2:$A$406,_xlfn.UNICHAR(160)," ")),'worker file'!$N$2:$N$406,""),IF(N(_xlpm.t)=0,"",_xlpm.t))</f>
        <v/>
      </c>
    </row>
    <row r="317" spans="1:14" x14ac:dyDescent="0.2">
      <c r="A317" s="35" t="s">
        <v>206</v>
      </c>
      <c r="B317" s="36" t="str">
        <f t="array" ref="B317">_xlfn.XLOOKUP($A317,TRIM(SUBSTITUTE('worker file'!$A$2:$A$406,_xlfn.UNICHAR(160)," ")),'worker file'!$L$2:$L$406,"Not found")</f>
        <v>US Semi-monthly</v>
      </c>
      <c r="C317" s="36" t="str">
        <f t="array" ref="C317">_xlfn.XLOOKUP($A317,TRIM(SUBSTITUTE('worker file'!$A$2:$A$406,_xlfn.UNICHAR(160)," ")),'worker file'!$D$2:$D$406,"Not found")</f>
        <v>WA</v>
      </c>
      <c r="D317" s="36" t="str">
        <f t="array" ref="D317">_xlfn.XLOOKUP($A317,TRIM(SUBSTITUTE('worker file'!$A$2:$A$406,_xlfn.UNICHAR(160)," ")),'worker file'!$Q$2:$Q$406,"Not found")</f>
        <v>Active</v>
      </c>
      <c r="E317" s="35" t="s">
        <v>626</v>
      </c>
      <c r="F317" t="str">
        <f t="shared" si="31"/>
        <v>Medical (Health) – Employee</v>
      </c>
      <c r="G317" t="str">
        <f t="shared" si="32"/>
        <v>Pre-tax Section 125 (exempt from FIT/SIT/FICA)</v>
      </c>
      <c r="H317" t="str">
        <f t="shared" si="33"/>
        <v>Flat</v>
      </c>
      <c r="I317" s="40" t="str">
        <f>IF($H317="Percent",_xlfn.XLOOKUP($E317,$A$5:$A$8,$F$5:$F$8,""),"")</f>
        <v/>
      </c>
      <c r="J317" s="38">
        <f t="shared" si="34"/>
        <v>200</v>
      </c>
      <c r="K317" t="str">
        <f t="shared" si="35"/>
        <v>Per pay period</v>
      </c>
      <c r="L317" t="str">
        <f t="shared" si="36"/>
        <v>Every pay period (ongoing)</v>
      </c>
      <c r="M317" s="39">
        <f t="array" ref="M317">MAX(_xlfn.XLOOKUP($A317,TRIM(SUBSTITUTE('worker file'!$A$2:$A$406,_xlfn.UNICHAR(160)," ")),'worker file'!$M$2:$M$406,0),_xlfn.XLOOKUP($B317,TRIM('pay group &amp; schedule'!$A$2:$A$6),'pay group &amp; schedule'!$D$2:$D$6,0))</f>
        <v>46311</v>
      </c>
      <c r="N317" s="39" t="str">
        <f t="array" ref="N317">_xlfn.LET(_xlpm.t,_xlfn.XLOOKUP($A317,TRIM(SUBSTITUTE('worker file'!$A$2:$A$406,_xlfn.UNICHAR(160)," ")),'worker file'!$N$2:$N$406,""),IF(N(_xlpm.t)=0,"",_xlpm.t))</f>
        <v/>
      </c>
    </row>
    <row r="318" spans="1:14" x14ac:dyDescent="0.2">
      <c r="A318" s="35" t="s">
        <v>206</v>
      </c>
      <c r="B318" s="36" t="str">
        <f t="array" ref="B318">_xlfn.XLOOKUP($A318,TRIM(SUBSTITUTE('worker file'!$A$2:$A$406,_xlfn.UNICHAR(160)," ")),'worker file'!$L$2:$L$406,"Not found")</f>
        <v>US Semi-monthly</v>
      </c>
      <c r="C318" s="36" t="str">
        <f t="array" ref="C318">_xlfn.XLOOKUP($A318,TRIM(SUBSTITUTE('worker file'!$A$2:$A$406,_xlfn.UNICHAR(160)," ")),'worker file'!$D$2:$D$406,"Not found")</f>
        <v>WA</v>
      </c>
      <c r="D318" s="36" t="str">
        <f t="array" ref="D318">_xlfn.XLOOKUP($A318,TRIM(SUBSTITUTE('worker file'!$A$2:$A$406,_xlfn.UNICHAR(160)," ")),'worker file'!$Q$2:$Q$406,"Not found")</f>
        <v>Active</v>
      </c>
      <c r="E318" s="35" t="s">
        <v>632</v>
      </c>
      <c r="F318" t="str">
        <f t="shared" si="31"/>
        <v>Dental – Employee</v>
      </c>
      <c r="G318" t="str">
        <f t="shared" si="32"/>
        <v>Pre-tax Section 125 (exempt from FIT/SIT/FICA)</v>
      </c>
      <c r="H318" t="str">
        <f t="shared" si="33"/>
        <v>Flat</v>
      </c>
      <c r="I318" s="40" t="str">
        <f>IF($H318="Percent",_xlfn.XLOOKUP($E318,$A$5:$A$8,$F$5:$F$8,""),"")</f>
        <v/>
      </c>
      <c r="J318" s="38">
        <f t="shared" si="34"/>
        <v>44</v>
      </c>
      <c r="K318" t="str">
        <f t="shared" si="35"/>
        <v>Per pay period</v>
      </c>
      <c r="L318" t="str">
        <f t="shared" si="36"/>
        <v>Every pay period (ongoing)</v>
      </c>
      <c r="M318" s="39">
        <f t="array" ref="M318">MAX(_xlfn.XLOOKUP($A318,TRIM(SUBSTITUTE('worker file'!$A$2:$A$406,_xlfn.UNICHAR(160)," ")),'worker file'!$M$2:$M$406,0),_xlfn.XLOOKUP($B318,TRIM('pay group &amp; schedule'!$A$2:$A$6),'pay group &amp; schedule'!$D$2:$D$6,0))</f>
        <v>46311</v>
      </c>
      <c r="N318" s="39" t="str">
        <f t="array" ref="N318">_xlfn.LET(_xlpm.t,_xlfn.XLOOKUP($A318,TRIM(SUBSTITUTE('worker file'!$A$2:$A$406,_xlfn.UNICHAR(160)," ")),'worker file'!$N$2:$N$406,""),IF(N(_xlpm.t)=0,"",_xlpm.t))</f>
        <v/>
      </c>
    </row>
    <row r="319" spans="1:14" x14ac:dyDescent="0.2">
      <c r="A319" s="35" t="s">
        <v>206</v>
      </c>
      <c r="B319" s="36" t="str">
        <f t="array" ref="B319">_xlfn.XLOOKUP($A319,TRIM(SUBSTITUTE('worker file'!$A$2:$A$406,_xlfn.UNICHAR(160)," ")),'worker file'!$L$2:$L$406,"Not found")</f>
        <v>US Semi-monthly</v>
      </c>
      <c r="C319" s="36" t="str">
        <f t="array" ref="C319">_xlfn.XLOOKUP($A319,TRIM(SUBSTITUTE('worker file'!$A$2:$A$406,_xlfn.UNICHAR(160)," ")),'worker file'!$D$2:$D$406,"Not found")</f>
        <v>WA</v>
      </c>
      <c r="D319" s="36" t="str">
        <f t="array" ref="D319">_xlfn.XLOOKUP($A319,TRIM(SUBSTITUTE('worker file'!$A$2:$A$406,_xlfn.UNICHAR(160)," ")),'worker file'!$Q$2:$Q$406,"Not found")</f>
        <v>Active</v>
      </c>
      <c r="E319" s="35" t="s">
        <v>634</v>
      </c>
      <c r="F319" t="str">
        <f t="shared" si="31"/>
        <v>Vision – Employee</v>
      </c>
      <c r="G319" t="str">
        <f t="shared" si="32"/>
        <v>Pre-tax Section 125 (exempt from FIT/SIT/FICA)</v>
      </c>
      <c r="H319" t="str">
        <f t="shared" si="33"/>
        <v>Flat</v>
      </c>
      <c r="I319" s="40" t="str">
        <f>IF($H319="Percent",_xlfn.XLOOKUP($E319,$A$5:$A$8,$F$5:$F$8,""),"")</f>
        <v/>
      </c>
      <c r="J319" s="38">
        <f t="shared" si="34"/>
        <v>30</v>
      </c>
      <c r="K319" t="str">
        <f t="shared" si="35"/>
        <v>Per pay period</v>
      </c>
      <c r="L319" t="str">
        <f t="shared" si="36"/>
        <v>Every pay period (ongoing)</v>
      </c>
      <c r="M319" s="39">
        <f t="array" ref="M319">MAX(_xlfn.XLOOKUP($A319,TRIM(SUBSTITUTE('worker file'!$A$2:$A$406,_xlfn.UNICHAR(160)," ")),'worker file'!$M$2:$M$406,0),_xlfn.XLOOKUP($B319,TRIM('pay group &amp; schedule'!$A$2:$A$6),'pay group &amp; schedule'!$D$2:$D$6,0))</f>
        <v>46311</v>
      </c>
      <c r="N319" s="39" t="str">
        <f t="array" ref="N319">_xlfn.LET(_xlpm.t,_xlfn.XLOOKUP($A319,TRIM(SUBSTITUTE('worker file'!$A$2:$A$406,_xlfn.UNICHAR(160)," ")),'worker file'!$N$2:$N$406,""),IF(N(_xlpm.t)=0,"",_xlpm.t))</f>
        <v/>
      </c>
    </row>
    <row r="320" spans="1:14" x14ac:dyDescent="0.2">
      <c r="A320" s="35" t="s">
        <v>208</v>
      </c>
      <c r="B320" s="36" t="str">
        <f t="array" ref="B320">_xlfn.XLOOKUP($A320,TRIM(SUBSTITUTE('worker file'!$A$2:$A$406,_xlfn.UNICHAR(160)," ")),'worker file'!$L$2:$L$406,"Not found")</f>
        <v>US Semi-monthly</v>
      </c>
      <c r="C320" s="36" t="str">
        <f t="array" ref="C320">_xlfn.XLOOKUP($A320,TRIM(SUBSTITUTE('worker file'!$A$2:$A$406,_xlfn.UNICHAR(160)," ")),'worker file'!$D$2:$D$406,"Not found")</f>
        <v>CA</v>
      </c>
      <c r="D320" s="36" t="str">
        <f t="array" ref="D320">_xlfn.XLOOKUP($A320,TRIM(SUBSTITUTE('worker file'!$A$2:$A$406,_xlfn.UNICHAR(160)," ")),'worker file'!$Q$2:$Q$406,"Not found")</f>
        <v>Active</v>
      </c>
      <c r="E320" s="35" t="s">
        <v>618</v>
      </c>
      <c r="F320" t="str">
        <f t="shared" si="31"/>
        <v>401(k) Employee Deferral</v>
      </c>
      <c r="G320" t="str">
        <f t="shared" si="32"/>
        <v>Pre-tax (exempt from FIT/SIT; subject to FICA)</v>
      </c>
      <c r="H320" t="str">
        <f t="shared" si="33"/>
        <v>Percent</v>
      </c>
      <c r="I320" s="37">
        <v>0.06</v>
      </c>
      <c r="J320" s="38" t="str">
        <f t="shared" si="34"/>
        <v/>
      </c>
      <c r="K320" t="str">
        <f t="shared" si="35"/>
        <v>Gross pay</v>
      </c>
      <c r="L320" t="str">
        <f t="shared" si="36"/>
        <v>Every pay period (ongoing)</v>
      </c>
      <c r="M320" s="39">
        <f t="array" ref="M320">MAX(_xlfn.XLOOKUP($A320,TRIM(SUBSTITUTE('worker file'!$A$2:$A$406,_xlfn.UNICHAR(160)," ")),'worker file'!$M$2:$M$406,0),_xlfn.XLOOKUP($B320,TRIM('pay group &amp; schedule'!$A$2:$A$6),'pay group &amp; schedule'!$D$2:$D$6,0))</f>
        <v>46311</v>
      </c>
      <c r="N320" s="39" t="str">
        <f t="array" ref="N320">_xlfn.LET(_xlpm.t,_xlfn.XLOOKUP($A320,TRIM(SUBSTITUTE('worker file'!$A$2:$A$406,_xlfn.UNICHAR(160)," ")),'worker file'!$N$2:$N$406,""),IF(N(_xlpm.t)=0,"",_xlpm.t))</f>
        <v/>
      </c>
    </row>
    <row r="321" spans="1:14" x14ac:dyDescent="0.2">
      <c r="A321" s="35" t="s">
        <v>208</v>
      </c>
      <c r="B321" s="36" t="str">
        <f t="array" ref="B321">_xlfn.XLOOKUP($A321,TRIM(SUBSTITUTE('worker file'!$A$2:$A$406,_xlfn.UNICHAR(160)," ")),'worker file'!$L$2:$L$406,"Not found")</f>
        <v>US Semi-monthly</v>
      </c>
      <c r="C321" s="36" t="str">
        <f t="array" ref="C321">_xlfn.XLOOKUP($A321,TRIM(SUBSTITUTE('worker file'!$A$2:$A$406,_xlfn.UNICHAR(160)," ")),'worker file'!$D$2:$D$406,"Not found")</f>
        <v>CA</v>
      </c>
      <c r="D321" s="36" t="str">
        <f t="array" ref="D321">_xlfn.XLOOKUP($A321,TRIM(SUBSTITUTE('worker file'!$A$2:$A$406,_xlfn.UNICHAR(160)," ")),'worker file'!$Q$2:$Q$406,"Not found")</f>
        <v>Active</v>
      </c>
      <c r="E321" s="35" t="s">
        <v>626</v>
      </c>
      <c r="F321" t="str">
        <f t="shared" si="31"/>
        <v>Medical (Health) – Employee</v>
      </c>
      <c r="G321" t="str">
        <f t="shared" si="32"/>
        <v>Pre-tax Section 125 (exempt from FIT/SIT/FICA)</v>
      </c>
      <c r="H321" t="str">
        <f t="shared" si="33"/>
        <v>Flat</v>
      </c>
      <c r="I321" s="40" t="str">
        <f>IF($H321="Percent",_xlfn.XLOOKUP($E321,$A$5:$A$8,$F$5:$F$8,""),"")</f>
        <v/>
      </c>
      <c r="J321" s="38">
        <f t="shared" si="34"/>
        <v>200</v>
      </c>
      <c r="K321" t="str">
        <f t="shared" si="35"/>
        <v>Per pay period</v>
      </c>
      <c r="L321" t="str">
        <f t="shared" si="36"/>
        <v>Every pay period (ongoing)</v>
      </c>
      <c r="M321" s="39">
        <f t="array" ref="M321">MAX(_xlfn.XLOOKUP($A321,TRIM(SUBSTITUTE('worker file'!$A$2:$A$406,_xlfn.UNICHAR(160)," ")),'worker file'!$M$2:$M$406,0),_xlfn.XLOOKUP($B321,TRIM('pay group &amp; schedule'!$A$2:$A$6),'pay group &amp; schedule'!$D$2:$D$6,0))</f>
        <v>46311</v>
      </c>
      <c r="N321" s="39" t="str">
        <f t="array" ref="N321">_xlfn.LET(_xlpm.t,_xlfn.XLOOKUP($A321,TRIM(SUBSTITUTE('worker file'!$A$2:$A$406,_xlfn.UNICHAR(160)," ")),'worker file'!$N$2:$N$406,""),IF(N(_xlpm.t)=0,"",_xlpm.t))</f>
        <v/>
      </c>
    </row>
    <row r="322" spans="1:14" x14ac:dyDescent="0.2">
      <c r="A322" s="35" t="s">
        <v>208</v>
      </c>
      <c r="B322" s="36" t="str">
        <f t="array" ref="B322">_xlfn.XLOOKUP($A322,TRIM(SUBSTITUTE('worker file'!$A$2:$A$406,_xlfn.UNICHAR(160)," ")),'worker file'!$L$2:$L$406,"Not found")</f>
        <v>US Semi-monthly</v>
      </c>
      <c r="C322" s="36" t="str">
        <f t="array" ref="C322">_xlfn.XLOOKUP($A322,TRIM(SUBSTITUTE('worker file'!$A$2:$A$406,_xlfn.UNICHAR(160)," ")),'worker file'!$D$2:$D$406,"Not found")</f>
        <v>CA</v>
      </c>
      <c r="D322" s="36" t="str">
        <f t="array" ref="D322">_xlfn.XLOOKUP($A322,TRIM(SUBSTITUTE('worker file'!$A$2:$A$406,_xlfn.UNICHAR(160)," ")),'worker file'!$Q$2:$Q$406,"Not found")</f>
        <v>Active</v>
      </c>
      <c r="E322" s="35" t="s">
        <v>632</v>
      </c>
      <c r="F322" t="str">
        <f t="shared" si="31"/>
        <v>Dental – Employee</v>
      </c>
      <c r="G322" t="str">
        <f t="shared" si="32"/>
        <v>Pre-tax Section 125 (exempt from FIT/SIT/FICA)</v>
      </c>
      <c r="H322" t="str">
        <f t="shared" si="33"/>
        <v>Flat</v>
      </c>
      <c r="I322" s="40" t="str">
        <f>IF($H322="Percent",_xlfn.XLOOKUP($E322,$A$5:$A$8,$F$5:$F$8,""),"")</f>
        <v/>
      </c>
      <c r="J322" s="38">
        <f t="shared" si="34"/>
        <v>44</v>
      </c>
      <c r="K322" t="str">
        <f t="shared" si="35"/>
        <v>Per pay period</v>
      </c>
      <c r="L322" t="str">
        <f t="shared" si="36"/>
        <v>Every pay period (ongoing)</v>
      </c>
      <c r="M322" s="39">
        <f t="array" ref="M322">MAX(_xlfn.XLOOKUP($A322,TRIM(SUBSTITUTE('worker file'!$A$2:$A$406,_xlfn.UNICHAR(160)," ")),'worker file'!$M$2:$M$406,0),_xlfn.XLOOKUP($B322,TRIM('pay group &amp; schedule'!$A$2:$A$6),'pay group &amp; schedule'!$D$2:$D$6,0))</f>
        <v>46311</v>
      </c>
      <c r="N322" s="39" t="str">
        <f t="array" ref="N322">_xlfn.LET(_xlpm.t,_xlfn.XLOOKUP($A322,TRIM(SUBSTITUTE('worker file'!$A$2:$A$406,_xlfn.UNICHAR(160)," ")),'worker file'!$N$2:$N$406,""),IF(N(_xlpm.t)=0,"",_xlpm.t))</f>
        <v/>
      </c>
    </row>
    <row r="323" spans="1:14" x14ac:dyDescent="0.2">
      <c r="A323" s="35" t="s">
        <v>208</v>
      </c>
      <c r="B323" s="36" t="str">
        <f t="array" ref="B323">_xlfn.XLOOKUP($A323,TRIM(SUBSTITUTE('worker file'!$A$2:$A$406,_xlfn.UNICHAR(160)," ")),'worker file'!$L$2:$L$406,"Not found")</f>
        <v>US Semi-monthly</v>
      </c>
      <c r="C323" s="36" t="str">
        <f t="array" ref="C323">_xlfn.XLOOKUP($A323,TRIM(SUBSTITUTE('worker file'!$A$2:$A$406,_xlfn.UNICHAR(160)," ")),'worker file'!$D$2:$D$406,"Not found")</f>
        <v>CA</v>
      </c>
      <c r="D323" s="36" t="str">
        <f t="array" ref="D323">_xlfn.XLOOKUP($A323,TRIM(SUBSTITUTE('worker file'!$A$2:$A$406,_xlfn.UNICHAR(160)," ")),'worker file'!$Q$2:$Q$406,"Not found")</f>
        <v>Active</v>
      </c>
      <c r="E323" s="35" t="s">
        <v>634</v>
      </c>
      <c r="F323" t="str">
        <f t="shared" si="31"/>
        <v>Vision – Employee</v>
      </c>
      <c r="G323" t="str">
        <f t="shared" si="32"/>
        <v>Pre-tax Section 125 (exempt from FIT/SIT/FICA)</v>
      </c>
      <c r="H323" t="str">
        <f t="shared" si="33"/>
        <v>Flat</v>
      </c>
      <c r="I323" s="40" t="str">
        <f>IF($H323="Percent",_xlfn.XLOOKUP($E323,$A$5:$A$8,$F$5:$F$8,""),"")</f>
        <v/>
      </c>
      <c r="J323" s="38">
        <f t="shared" si="34"/>
        <v>30</v>
      </c>
      <c r="K323" t="str">
        <f t="shared" si="35"/>
        <v>Per pay period</v>
      </c>
      <c r="L323" t="str">
        <f t="shared" si="36"/>
        <v>Every pay period (ongoing)</v>
      </c>
      <c r="M323" s="39">
        <f t="array" ref="M323">MAX(_xlfn.XLOOKUP($A323,TRIM(SUBSTITUTE('worker file'!$A$2:$A$406,_xlfn.UNICHAR(160)," ")),'worker file'!$M$2:$M$406,0),_xlfn.XLOOKUP($B323,TRIM('pay group &amp; schedule'!$A$2:$A$6),'pay group &amp; schedule'!$D$2:$D$6,0))</f>
        <v>46311</v>
      </c>
      <c r="N323" s="39" t="str">
        <f t="array" ref="N323">_xlfn.LET(_xlpm.t,_xlfn.XLOOKUP($A323,TRIM(SUBSTITUTE('worker file'!$A$2:$A$406,_xlfn.UNICHAR(160)," ")),'worker file'!$N$2:$N$406,""),IF(N(_xlpm.t)=0,"",_xlpm.t))</f>
        <v/>
      </c>
    </row>
    <row r="324" spans="1:14" x14ac:dyDescent="0.2">
      <c r="A324" s="35" t="s">
        <v>210</v>
      </c>
      <c r="B324" s="36" t="str">
        <f t="array" ref="B324">_xlfn.XLOOKUP($A324,TRIM(SUBSTITUTE('worker file'!$A$2:$A$406,_xlfn.UNICHAR(160)," ")),'worker file'!$L$2:$L$406,"Not found")</f>
        <v>US Semi-monthly</v>
      </c>
      <c r="C324" s="36" t="str">
        <f t="array" ref="C324">_xlfn.XLOOKUP($A324,TRIM(SUBSTITUTE('worker file'!$A$2:$A$406,_xlfn.UNICHAR(160)," ")),'worker file'!$D$2:$D$406,"Not found")</f>
        <v>CA</v>
      </c>
      <c r="D324" s="36" t="str">
        <f t="array" ref="D324">_xlfn.XLOOKUP($A324,TRIM(SUBSTITUTE('worker file'!$A$2:$A$406,_xlfn.UNICHAR(160)," ")),'worker file'!$Q$2:$Q$406,"Not found")</f>
        <v>Active</v>
      </c>
      <c r="E324" s="35" t="s">
        <v>618</v>
      </c>
      <c r="F324" t="str">
        <f t="shared" si="31"/>
        <v>401(k) Employee Deferral</v>
      </c>
      <c r="G324" t="str">
        <f t="shared" si="32"/>
        <v>Pre-tax (exempt from FIT/SIT; subject to FICA)</v>
      </c>
      <c r="H324" t="str">
        <f t="shared" si="33"/>
        <v>Percent</v>
      </c>
      <c r="I324" s="37">
        <v>0.03</v>
      </c>
      <c r="J324" s="38" t="str">
        <f t="shared" si="34"/>
        <v/>
      </c>
      <c r="K324" t="str">
        <f t="shared" si="35"/>
        <v>Gross pay</v>
      </c>
      <c r="L324" t="str">
        <f t="shared" si="36"/>
        <v>Every pay period (ongoing)</v>
      </c>
      <c r="M324" s="39">
        <f t="array" ref="M324">MAX(_xlfn.XLOOKUP($A324,TRIM(SUBSTITUTE('worker file'!$A$2:$A$406,_xlfn.UNICHAR(160)," ")),'worker file'!$M$2:$M$406,0),_xlfn.XLOOKUP($B324,TRIM('pay group &amp; schedule'!$A$2:$A$6),'pay group &amp; schedule'!$D$2:$D$6,0))</f>
        <v>46311</v>
      </c>
      <c r="N324" s="39" t="str">
        <f t="array" ref="N324">_xlfn.LET(_xlpm.t,_xlfn.XLOOKUP($A324,TRIM(SUBSTITUTE('worker file'!$A$2:$A$406,_xlfn.UNICHAR(160)," ")),'worker file'!$N$2:$N$406,""),IF(N(_xlpm.t)=0,"",_xlpm.t))</f>
        <v/>
      </c>
    </row>
    <row r="325" spans="1:14" x14ac:dyDescent="0.2">
      <c r="A325" s="35" t="s">
        <v>210</v>
      </c>
      <c r="B325" s="36" t="str">
        <f t="array" ref="B325">_xlfn.XLOOKUP($A325,TRIM(SUBSTITUTE('worker file'!$A$2:$A$406,_xlfn.UNICHAR(160)," ")),'worker file'!$L$2:$L$406,"Not found")</f>
        <v>US Semi-monthly</v>
      </c>
      <c r="C325" s="36" t="str">
        <f t="array" ref="C325">_xlfn.XLOOKUP($A325,TRIM(SUBSTITUTE('worker file'!$A$2:$A$406,_xlfn.UNICHAR(160)," ")),'worker file'!$D$2:$D$406,"Not found")</f>
        <v>CA</v>
      </c>
      <c r="D325" s="36" t="str">
        <f t="array" ref="D325">_xlfn.XLOOKUP($A325,TRIM(SUBSTITUTE('worker file'!$A$2:$A$406,_xlfn.UNICHAR(160)," ")),'worker file'!$Q$2:$Q$406,"Not found")</f>
        <v>Active</v>
      </c>
      <c r="E325" s="35" t="s">
        <v>626</v>
      </c>
      <c r="F325" t="str">
        <f t="shared" si="31"/>
        <v>Medical (Health) – Employee</v>
      </c>
      <c r="G325" t="str">
        <f t="shared" si="32"/>
        <v>Pre-tax Section 125 (exempt from FIT/SIT/FICA)</v>
      </c>
      <c r="H325" t="str">
        <f t="shared" si="33"/>
        <v>Flat</v>
      </c>
      <c r="I325" s="40" t="str">
        <f t="shared" ref="I325:I330" si="38">IF($H325="Percent",_xlfn.XLOOKUP($E325,$A$5:$A$8,$F$5:$F$8,""),"")</f>
        <v/>
      </c>
      <c r="J325" s="38">
        <f t="shared" si="34"/>
        <v>200</v>
      </c>
      <c r="K325" t="str">
        <f t="shared" si="35"/>
        <v>Per pay period</v>
      </c>
      <c r="L325" t="str">
        <f t="shared" si="36"/>
        <v>Every pay period (ongoing)</v>
      </c>
      <c r="M325" s="39">
        <f t="array" ref="M325">MAX(_xlfn.XLOOKUP($A325,TRIM(SUBSTITUTE('worker file'!$A$2:$A$406,_xlfn.UNICHAR(160)," ")),'worker file'!$M$2:$M$406,0),_xlfn.XLOOKUP($B325,TRIM('pay group &amp; schedule'!$A$2:$A$6),'pay group &amp; schedule'!$D$2:$D$6,0))</f>
        <v>46311</v>
      </c>
      <c r="N325" s="39" t="str">
        <f t="array" ref="N325">_xlfn.LET(_xlpm.t,_xlfn.XLOOKUP($A325,TRIM(SUBSTITUTE('worker file'!$A$2:$A$406,_xlfn.UNICHAR(160)," ")),'worker file'!$N$2:$N$406,""),IF(N(_xlpm.t)=0,"",_xlpm.t))</f>
        <v/>
      </c>
    </row>
    <row r="326" spans="1:14" x14ac:dyDescent="0.2">
      <c r="A326" s="35" t="s">
        <v>210</v>
      </c>
      <c r="B326" s="36" t="str">
        <f t="array" ref="B326">_xlfn.XLOOKUP($A326,TRIM(SUBSTITUTE('worker file'!$A$2:$A$406,_xlfn.UNICHAR(160)," ")),'worker file'!$L$2:$L$406,"Not found")</f>
        <v>US Semi-monthly</v>
      </c>
      <c r="C326" s="36" t="str">
        <f t="array" ref="C326">_xlfn.XLOOKUP($A326,TRIM(SUBSTITUTE('worker file'!$A$2:$A$406,_xlfn.UNICHAR(160)," ")),'worker file'!$D$2:$D$406,"Not found")</f>
        <v>CA</v>
      </c>
      <c r="D326" s="36" t="str">
        <f t="array" ref="D326">_xlfn.XLOOKUP($A326,TRIM(SUBSTITUTE('worker file'!$A$2:$A$406,_xlfn.UNICHAR(160)," ")),'worker file'!$Q$2:$Q$406,"Not found")</f>
        <v>Active</v>
      </c>
      <c r="E326" s="35" t="s">
        <v>632</v>
      </c>
      <c r="F326" t="str">
        <f t="shared" si="31"/>
        <v>Dental – Employee</v>
      </c>
      <c r="G326" t="str">
        <f t="shared" si="32"/>
        <v>Pre-tax Section 125 (exempt from FIT/SIT/FICA)</v>
      </c>
      <c r="H326" t="str">
        <f t="shared" si="33"/>
        <v>Flat</v>
      </c>
      <c r="I326" s="40" t="str">
        <f t="shared" si="38"/>
        <v/>
      </c>
      <c r="J326" s="38">
        <f t="shared" si="34"/>
        <v>44</v>
      </c>
      <c r="K326" t="str">
        <f t="shared" si="35"/>
        <v>Per pay period</v>
      </c>
      <c r="L326" t="str">
        <f t="shared" si="36"/>
        <v>Every pay period (ongoing)</v>
      </c>
      <c r="M326" s="39">
        <f t="array" ref="M326">MAX(_xlfn.XLOOKUP($A326,TRIM(SUBSTITUTE('worker file'!$A$2:$A$406,_xlfn.UNICHAR(160)," ")),'worker file'!$M$2:$M$406,0),_xlfn.XLOOKUP($B326,TRIM('pay group &amp; schedule'!$A$2:$A$6),'pay group &amp; schedule'!$D$2:$D$6,0))</f>
        <v>46311</v>
      </c>
      <c r="N326" s="39" t="str">
        <f t="array" ref="N326">_xlfn.LET(_xlpm.t,_xlfn.XLOOKUP($A326,TRIM(SUBSTITUTE('worker file'!$A$2:$A$406,_xlfn.UNICHAR(160)," ")),'worker file'!$N$2:$N$406,""),IF(N(_xlpm.t)=0,"",_xlpm.t))</f>
        <v/>
      </c>
    </row>
    <row r="327" spans="1:14" x14ac:dyDescent="0.2">
      <c r="A327" s="35" t="s">
        <v>210</v>
      </c>
      <c r="B327" s="36" t="str">
        <f t="array" ref="B327">_xlfn.XLOOKUP($A327,TRIM(SUBSTITUTE('worker file'!$A$2:$A$406,_xlfn.UNICHAR(160)," ")),'worker file'!$L$2:$L$406,"Not found")</f>
        <v>US Semi-monthly</v>
      </c>
      <c r="C327" s="36" t="str">
        <f t="array" ref="C327">_xlfn.XLOOKUP($A327,TRIM(SUBSTITUTE('worker file'!$A$2:$A$406,_xlfn.UNICHAR(160)," ")),'worker file'!$D$2:$D$406,"Not found")</f>
        <v>CA</v>
      </c>
      <c r="D327" s="36" t="str">
        <f t="array" ref="D327">_xlfn.XLOOKUP($A327,TRIM(SUBSTITUTE('worker file'!$A$2:$A$406,_xlfn.UNICHAR(160)," ")),'worker file'!$Q$2:$Q$406,"Not found")</f>
        <v>Active</v>
      </c>
      <c r="E327" s="35" t="s">
        <v>634</v>
      </c>
      <c r="F327" t="str">
        <f t="shared" si="31"/>
        <v>Vision – Employee</v>
      </c>
      <c r="G327" t="str">
        <f t="shared" si="32"/>
        <v>Pre-tax Section 125 (exempt from FIT/SIT/FICA)</v>
      </c>
      <c r="H327" t="str">
        <f t="shared" si="33"/>
        <v>Flat</v>
      </c>
      <c r="I327" s="40" t="str">
        <f t="shared" si="38"/>
        <v/>
      </c>
      <c r="J327" s="38">
        <f t="shared" si="34"/>
        <v>30</v>
      </c>
      <c r="K327" t="str">
        <f t="shared" si="35"/>
        <v>Per pay period</v>
      </c>
      <c r="L327" t="str">
        <f t="shared" si="36"/>
        <v>Every pay period (ongoing)</v>
      </c>
      <c r="M327" s="39">
        <f t="array" ref="M327">MAX(_xlfn.XLOOKUP($A327,TRIM(SUBSTITUTE('worker file'!$A$2:$A$406,_xlfn.UNICHAR(160)," ")),'worker file'!$M$2:$M$406,0),_xlfn.XLOOKUP($B327,TRIM('pay group &amp; schedule'!$A$2:$A$6),'pay group &amp; schedule'!$D$2:$D$6,0))</f>
        <v>46311</v>
      </c>
      <c r="N327" s="39" t="str">
        <f t="array" ref="N327">_xlfn.LET(_xlpm.t,_xlfn.XLOOKUP($A327,TRIM(SUBSTITUTE('worker file'!$A$2:$A$406,_xlfn.UNICHAR(160)," ")),'worker file'!$N$2:$N$406,""),IF(N(_xlpm.t)=0,"",_xlpm.t))</f>
        <v/>
      </c>
    </row>
    <row r="328" spans="1:14" x14ac:dyDescent="0.2">
      <c r="A328" s="35" t="s">
        <v>211</v>
      </c>
      <c r="B328" s="36" t="str">
        <f t="array" ref="B328">_xlfn.XLOOKUP($A328,TRIM(SUBSTITUTE('worker file'!$A$2:$A$406,_xlfn.UNICHAR(160)," ")),'worker file'!$L$2:$L$406,"Not found")</f>
        <v>US Biweekly</v>
      </c>
      <c r="C328" s="36" t="str">
        <f t="array" ref="C328">_xlfn.XLOOKUP($A328,TRIM(SUBSTITUTE('worker file'!$A$2:$A$406,_xlfn.UNICHAR(160)," ")),'worker file'!$D$2:$D$406,"Not found")</f>
        <v>CA</v>
      </c>
      <c r="D328" s="36" t="str">
        <f t="array" ref="D328">_xlfn.XLOOKUP($A328,TRIM(SUBSTITUTE('worker file'!$A$2:$A$406,_xlfn.UNICHAR(160)," ")),'worker file'!$Q$2:$Q$406,"Not found")</f>
        <v>Active</v>
      </c>
      <c r="E328" s="35" t="s">
        <v>626</v>
      </c>
      <c r="F328" t="str">
        <f t="shared" si="31"/>
        <v>Medical (Health) – Employee</v>
      </c>
      <c r="G328" t="str">
        <f t="shared" si="32"/>
        <v>Pre-tax Section 125 (exempt from FIT/SIT/FICA)</v>
      </c>
      <c r="H328" t="str">
        <f t="shared" si="33"/>
        <v>Flat</v>
      </c>
      <c r="I328" s="40" t="str">
        <f t="shared" si="38"/>
        <v/>
      </c>
      <c r="J328" s="38">
        <f t="shared" si="34"/>
        <v>200</v>
      </c>
      <c r="K328" t="str">
        <f t="shared" si="35"/>
        <v>Per pay period</v>
      </c>
      <c r="L328" t="str">
        <f t="shared" si="36"/>
        <v>Every pay period (ongoing)</v>
      </c>
      <c r="M328" s="39">
        <f t="array" ref="M328">MAX(_xlfn.XLOOKUP($A328,TRIM(SUBSTITUTE('worker file'!$A$2:$A$406,_xlfn.UNICHAR(160)," ")),'worker file'!$M$2:$M$406,0),_xlfn.XLOOKUP($B328,TRIM('pay group &amp; schedule'!$A$2:$A$6),'pay group &amp; schedule'!$D$2:$D$6,0))</f>
        <v>46299</v>
      </c>
      <c r="N328" s="39" t="str">
        <f t="array" ref="N328">_xlfn.LET(_xlpm.t,_xlfn.XLOOKUP($A328,TRIM(SUBSTITUTE('worker file'!$A$2:$A$406,_xlfn.UNICHAR(160)," ")),'worker file'!$N$2:$N$406,""),IF(N(_xlpm.t)=0,"",_xlpm.t))</f>
        <v/>
      </c>
    </row>
    <row r="329" spans="1:14" x14ac:dyDescent="0.2">
      <c r="A329" s="35" t="s">
        <v>211</v>
      </c>
      <c r="B329" s="36" t="str">
        <f t="array" ref="B329">_xlfn.XLOOKUP($A329,TRIM(SUBSTITUTE('worker file'!$A$2:$A$406,_xlfn.UNICHAR(160)," ")),'worker file'!$L$2:$L$406,"Not found")</f>
        <v>US Biweekly</v>
      </c>
      <c r="C329" s="36" t="str">
        <f t="array" ref="C329">_xlfn.XLOOKUP($A329,TRIM(SUBSTITUTE('worker file'!$A$2:$A$406,_xlfn.UNICHAR(160)," ")),'worker file'!$D$2:$D$406,"Not found")</f>
        <v>CA</v>
      </c>
      <c r="D329" s="36" t="str">
        <f t="array" ref="D329">_xlfn.XLOOKUP($A329,TRIM(SUBSTITUTE('worker file'!$A$2:$A$406,_xlfn.UNICHAR(160)," ")),'worker file'!$Q$2:$Q$406,"Not found")</f>
        <v>Active</v>
      </c>
      <c r="E329" s="35" t="s">
        <v>632</v>
      </c>
      <c r="F329" t="str">
        <f t="shared" si="31"/>
        <v>Dental – Employee</v>
      </c>
      <c r="G329" t="str">
        <f t="shared" si="32"/>
        <v>Pre-tax Section 125 (exempt from FIT/SIT/FICA)</v>
      </c>
      <c r="H329" t="str">
        <f t="shared" si="33"/>
        <v>Flat</v>
      </c>
      <c r="I329" s="40" t="str">
        <f t="shared" si="38"/>
        <v/>
      </c>
      <c r="J329" s="38">
        <f t="shared" si="34"/>
        <v>44</v>
      </c>
      <c r="K329" t="str">
        <f t="shared" si="35"/>
        <v>Per pay period</v>
      </c>
      <c r="L329" t="str">
        <f t="shared" si="36"/>
        <v>Every pay period (ongoing)</v>
      </c>
      <c r="M329" s="39">
        <f t="array" ref="M329">MAX(_xlfn.XLOOKUP($A329,TRIM(SUBSTITUTE('worker file'!$A$2:$A$406,_xlfn.UNICHAR(160)," ")),'worker file'!$M$2:$M$406,0),_xlfn.XLOOKUP($B329,TRIM('pay group &amp; schedule'!$A$2:$A$6),'pay group &amp; schedule'!$D$2:$D$6,0))</f>
        <v>46299</v>
      </c>
      <c r="N329" s="39" t="str">
        <f t="array" ref="N329">_xlfn.LET(_xlpm.t,_xlfn.XLOOKUP($A329,TRIM(SUBSTITUTE('worker file'!$A$2:$A$406,_xlfn.UNICHAR(160)," ")),'worker file'!$N$2:$N$406,""),IF(N(_xlpm.t)=0,"",_xlpm.t))</f>
        <v/>
      </c>
    </row>
    <row r="330" spans="1:14" x14ac:dyDescent="0.2">
      <c r="A330" s="35" t="s">
        <v>211</v>
      </c>
      <c r="B330" s="36" t="str">
        <f t="array" ref="B330">_xlfn.XLOOKUP($A330,TRIM(SUBSTITUTE('worker file'!$A$2:$A$406,_xlfn.UNICHAR(160)," ")),'worker file'!$L$2:$L$406,"Not found")</f>
        <v>US Biweekly</v>
      </c>
      <c r="C330" s="36" t="str">
        <f t="array" ref="C330">_xlfn.XLOOKUP($A330,TRIM(SUBSTITUTE('worker file'!$A$2:$A$406,_xlfn.UNICHAR(160)," ")),'worker file'!$D$2:$D$406,"Not found")</f>
        <v>CA</v>
      </c>
      <c r="D330" s="36" t="str">
        <f t="array" ref="D330">_xlfn.XLOOKUP($A330,TRIM(SUBSTITUTE('worker file'!$A$2:$A$406,_xlfn.UNICHAR(160)," ")),'worker file'!$Q$2:$Q$406,"Not found")</f>
        <v>Active</v>
      </c>
      <c r="E330" s="35" t="s">
        <v>634</v>
      </c>
      <c r="F330" t="str">
        <f t="shared" si="31"/>
        <v>Vision – Employee</v>
      </c>
      <c r="G330" t="str">
        <f t="shared" si="32"/>
        <v>Pre-tax Section 125 (exempt from FIT/SIT/FICA)</v>
      </c>
      <c r="H330" t="str">
        <f t="shared" si="33"/>
        <v>Flat</v>
      </c>
      <c r="I330" s="40" t="str">
        <f t="shared" si="38"/>
        <v/>
      </c>
      <c r="J330" s="38">
        <f t="shared" si="34"/>
        <v>30</v>
      </c>
      <c r="K330" t="str">
        <f t="shared" si="35"/>
        <v>Per pay period</v>
      </c>
      <c r="L330" t="str">
        <f t="shared" si="36"/>
        <v>Every pay period (ongoing)</v>
      </c>
      <c r="M330" s="39">
        <f t="array" ref="M330">MAX(_xlfn.XLOOKUP($A330,TRIM(SUBSTITUTE('worker file'!$A$2:$A$406,_xlfn.UNICHAR(160)," ")),'worker file'!$M$2:$M$406,0),_xlfn.XLOOKUP($B330,TRIM('pay group &amp; schedule'!$A$2:$A$6),'pay group &amp; schedule'!$D$2:$D$6,0))</f>
        <v>46299</v>
      </c>
      <c r="N330" s="39" t="str">
        <f t="array" ref="N330">_xlfn.LET(_xlpm.t,_xlfn.XLOOKUP($A330,TRIM(SUBSTITUTE('worker file'!$A$2:$A$406,_xlfn.UNICHAR(160)," ")),'worker file'!$N$2:$N$406,""),IF(N(_xlpm.t)=0,"",_xlpm.t))</f>
        <v/>
      </c>
    </row>
    <row r="331" spans="1:14" x14ac:dyDescent="0.2">
      <c r="A331" s="35" t="s">
        <v>212</v>
      </c>
      <c r="B331" s="36" t="str">
        <f t="array" ref="B331">_xlfn.XLOOKUP($A331,TRIM(SUBSTITUTE('worker file'!$A$2:$A$406,_xlfn.UNICHAR(160)," ")),'worker file'!$L$2:$L$406,"Not found")</f>
        <v>US Semi-monthly</v>
      </c>
      <c r="C331" s="36" t="str">
        <f t="array" ref="C331">_xlfn.XLOOKUP($A331,TRIM(SUBSTITUTE('worker file'!$A$2:$A$406,_xlfn.UNICHAR(160)," ")),'worker file'!$D$2:$D$406,"Not found")</f>
        <v>CA</v>
      </c>
      <c r="D331" s="36" t="str">
        <f t="array" ref="D331">_xlfn.XLOOKUP($A331,TRIM(SUBSTITUTE('worker file'!$A$2:$A$406,_xlfn.UNICHAR(160)," ")),'worker file'!$Q$2:$Q$406,"Not found")</f>
        <v>Active</v>
      </c>
      <c r="E331" s="35" t="s">
        <v>618</v>
      </c>
      <c r="F331" t="str">
        <f t="shared" si="31"/>
        <v>401(k) Employee Deferral</v>
      </c>
      <c r="G331" t="str">
        <f t="shared" si="32"/>
        <v>Pre-tax (exempt from FIT/SIT; subject to FICA)</v>
      </c>
      <c r="H331" t="str">
        <f t="shared" si="33"/>
        <v>Percent</v>
      </c>
      <c r="I331" s="37">
        <v>0.05</v>
      </c>
      <c r="J331" s="38" t="str">
        <f t="shared" si="34"/>
        <v/>
      </c>
      <c r="K331" t="str">
        <f t="shared" si="35"/>
        <v>Gross pay</v>
      </c>
      <c r="L331" t="str">
        <f t="shared" si="36"/>
        <v>Every pay period (ongoing)</v>
      </c>
      <c r="M331" s="39">
        <f t="array" ref="M331">MAX(_xlfn.XLOOKUP($A331,TRIM(SUBSTITUTE('worker file'!$A$2:$A$406,_xlfn.UNICHAR(160)," ")),'worker file'!$M$2:$M$406,0),_xlfn.XLOOKUP($B331,TRIM('pay group &amp; schedule'!$A$2:$A$6),'pay group &amp; schedule'!$D$2:$D$6,0))</f>
        <v>46311</v>
      </c>
      <c r="N331" s="39" t="str">
        <f t="array" ref="N331">_xlfn.LET(_xlpm.t,_xlfn.XLOOKUP($A331,TRIM(SUBSTITUTE('worker file'!$A$2:$A$406,_xlfn.UNICHAR(160)," ")),'worker file'!$N$2:$N$406,""),IF(N(_xlpm.t)=0,"",_xlpm.t))</f>
        <v/>
      </c>
    </row>
    <row r="332" spans="1:14" x14ac:dyDescent="0.2">
      <c r="A332" s="35" t="s">
        <v>212</v>
      </c>
      <c r="B332" s="36" t="str">
        <f t="array" ref="B332">_xlfn.XLOOKUP($A332,TRIM(SUBSTITUTE('worker file'!$A$2:$A$406,_xlfn.UNICHAR(160)," ")),'worker file'!$L$2:$L$406,"Not found")</f>
        <v>US Semi-monthly</v>
      </c>
      <c r="C332" s="36" t="str">
        <f t="array" ref="C332">_xlfn.XLOOKUP($A332,TRIM(SUBSTITUTE('worker file'!$A$2:$A$406,_xlfn.UNICHAR(160)," ")),'worker file'!$D$2:$D$406,"Not found")</f>
        <v>CA</v>
      </c>
      <c r="D332" s="36" t="str">
        <f t="array" ref="D332">_xlfn.XLOOKUP($A332,TRIM(SUBSTITUTE('worker file'!$A$2:$A$406,_xlfn.UNICHAR(160)," ")),'worker file'!$Q$2:$Q$406,"Not found")</f>
        <v>Active</v>
      </c>
      <c r="E332" s="35" t="s">
        <v>626</v>
      </c>
      <c r="F332" t="str">
        <f t="shared" ref="F332:F395" si="39">_xlfn.XLOOKUP($E332,$A$5:$A$8,$B$5:$B$8,"")</f>
        <v>Medical (Health) – Employee</v>
      </c>
      <c r="G332" t="str">
        <f t="shared" ref="G332:G395" si="40">_xlfn.XLOOKUP($E332,$A$5:$A$8,$D$5:$D$8,"")</f>
        <v>Pre-tax Section 125 (exempt from FIT/SIT/FICA)</v>
      </c>
      <c r="H332" t="str">
        <f t="shared" ref="H332:H395" si="41">_xlfn.XLOOKUP($E332,$A$5:$A$8,$E$5:$E$8,"")</f>
        <v>Flat</v>
      </c>
      <c r="I332" s="40" t="str">
        <f>IF($H332="Percent",_xlfn.XLOOKUP($E332,$A$5:$A$8,$F$5:$F$8,""),"")</f>
        <v/>
      </c>
      <c r="J332" s="38">
        <f t="shared" ref="J332:J395" si="42">IF($H332="Flat",_xlfn.XLOOKUP($E332,$A$5:$A$8,$F$5:$F$8,""),"")</f>
        <v>200</v>
      </c>
      <c r="K332" t="str">
        <f t="shared" ref="K332:K395" si="43">_xlfn.XLOOKUP($E332,$A$5:$A$8,$G$5:$G$8,"")</f>
        <v>Per pay period</v>
      </c>
      <c r="L332" t="str">
        <f t="shared" ref="L332:L395" si="44">_xlfn.XLOOKUP($E332,$A$5:$A$8,$H$5:$H$8,"")</f>
        <v>Every pay period (ongoing)</v>
      </c>
      <c r="M332" s="39">
        <f t="array" ref="M332">MAX(_xlfn.XLOOKUP($A332,TRIM(SUBSTITUTE('worker file'!$A$2:$A$406,_xlfn.UNICHAR(160)," ")),'worker file'!$M$2:$M$406,0),_xlfn.XLOOKUP($B332,TRIM('pay group &amp; schedule'!$A$2:$A$6),'pay group &amp; schedule'!$D$2:$D$6,0))</f>
        <v>46311</v>
      </c>
      <c r="N332" s="39" t="str">
        <f t="array" ref="N332">_xlfn.LET(_xlpm.t,_xlfn.XLOOKUP($A332,TRIM(SUBSTITUTE('worker file'!$A$2:$A$406,_xlfn.UNICHAR(160)," ")),'worker file'!$N$2:$N$406,""),IF(N(_xlpm.t)=0,"",_xlpm.t))</f>
        <v/>
      </c>
    </row>
    <row r="333" spans="1:14" x14ac:dyDescent="0.2">
      <c r="A333" s="35" t="s">
        <v>212</v>
      </c>
      <c r="B333" s="36" t="str">
        <f t="array" ref="B333">_xlfn.XLOOKUP($A333,TRIM(SUBSTITUTE('worker file'!$A$2:$A$406,_xlfn.UNICHAR(160)," ")),'worker file'!$L$2:$L$406,"Not found")</f>
        <v>US Semi-monthly</v>
      </c>
      <c r="C333" s="36" t="str">
        <f t="array" ref="C333">_xlfn.XLOOKUP($A333,TRIM(SUBSTITUTE('worker file'!$A$2:$A$406,_xlfn.UNICHAR(160)," ")),'worker file'!$D$2:$D$406,"Not found")</f>
        <v>CA</v>
      </c>
      <c r="D333" s="36" t="str">
        <f t="array" ref="D333">_xlfn.XLOOKUP($A333,TRIM(SUBSTITUTE('worker file'!$A$2:$A$406,_xlfn.UNICHAR(160)," ")),'worker file'!$Q$2:$Q$406,"Not found")</f>
        <v>Active</v>
      </c>
      <c r="E333" s="35" t="s">
        <v>632</v>
      </c>
      <c r="F333" t="str">
        <f t="shared" si="39"/>
        <v>Dental – Employee</v>
      </c>
      <c r="G333" t="str">
        <f t="shared" si="40"/>
        <v>Pre-tax Section 125 (exempt from FIT/SIT/FICA)</v>
      </c>
      <c r="H333" t="str">
        <f t="shared" si="41"/>
        <v>Flat</v>
      </c>
      <c r="I333" s="40" t="str">
        <f>IF($H333="Percent",_xlfn.XLOOKUP($E333,$A$5:$A$8,$F$5:$F$8,""),"")</f>
        <v/>
      </c>
      <c r="J333" s="38">
        <f t="shared" si="42"/>
        <v>44</v>
      </c>
      <c r="K333" t="str">
        <f t="shared" si="43"/>
        <v>Per pay period</v>
      </c>
      <c r="L333" t="str">
        <f t="shared" si="44"/>
        <v>Every pay period (ongoing)</v>
      </c>
      <c r="M333" s="39">
        <f t="array" ref="M333">MAX(_xlfn.XLOOKUP($A333,TRIM(SUBSTITUTE('worker file'!$A$2:$A$406,_xlfn.UNICHAR(160)," ")),'worker file'!$M$2:$M$406,0),_xlfn.XLOOKUP($B333,TRIM('pay group &amp; schedule'!$A$2:$A$6),'pay group &amp; schedule'!$D$2:$D$6,0))</f>
        <v>46311</v>
      </c>
      <c r="N333" s="39" t="str">
        <f t="array" ref="N333">_xlfn.LET(_xlpm.t,_xlfn.XLOOKUP($A333,TRIM(SUBSTITUTE('worker file'!$A$2:$A$406,_xlfn.UNICHAR(160)," ")),'worker file'!$N$2:$N$406,""),IF(N(_xlpm.t)=0,"",_xlpm.t))</f>
        <v/>
      </c>
    </row>
    <row r="334" spans="1:14" x14ac:dyDescent="0.2">
      <c r="A334" s="35" t="s">
        <v>212</v>
      </c>
      <c r="B334" s="36" t="str">
        <f t="array" ref="B334">_xlfn.XLOOKUP($A334,TRIM(SUBSTITUTE('worker file'!$A$2:$A$406,_xlfn.UNICHAR(160)," ")),'worker file'!$L$2:$L$406,"Not found")</f>
        <v>US Semi-monthly</v>
      </c>
      <c r="C334" s="36" t="str">
        <f t="array" ref="C334">_xlfn.XLOOKUP($A334,TRIM(SUBSTITUTE('worker file'!$A$2:$A$406,_xlfn.UNICHAR(160)," ")),'worker file'!$D$2:$D$406,"Not found")</f>
        <v>CA</v>
      </c>
      <c r="D334" s="36" t="str">
        <f t="array" ref="D334">_xlfn.XLOOKUP($A334,TRIM(SUBSTITUTE('worker file'!$A$2:$A$406,_xlfn.UNICHAR(160)," ")),'worker file'!$Q$2:$Q$406,"Not found")</f>
        <v>Active</v>
      </c>
      <c r="E334" s="35" t="s">
        <v>634</v>
      </c>
      <c r="F334" t="str">
        <f t="shared" si="39"/>
        <v>Vision – Employee</v>
      </c>
      <c r="G334" t="str">
        <f t="shared" si="40"/>
        <v>Pre-tax Section 125 (exempt from FIT/SIT/FICA)</v>
      </c>
      <c r="H334" t="str">
        <f t="shared" si="41"/>
        <v>Flat</v>
      </c>
      <c r="I334" s="40" t="str">
        <f>IF($H334="Percent",_xlfn.XLOOKUP($E334,$A$5:$A$8,$F$5:$F$8,""),"")</f>
        <v/>
      </c>
      <c r="J334" s="38">
        <f t="shared" si="42"/>
        <v>30</v>
      </c>
      <c r="K334" t="str">
        <f t="shared" si="43"/>
        <v>Per pay period</v>
      </c>
      <c r="L334" t="str">
        <f t="shared" si="44"/>
        <v>Every pay period (ongoing)</v>
      </c>
      <c r="M334" s="39">
        <f t="array" ref="M334">MAX(_xlfn.XLOOKUP($A334,TRIM(SUBSTITUTE('worker file'!$A$2:$A$406,_xlfn.UNICHAR(160)," ")),'worker file'!$M$2:$M$406,0),_xlfn.XLOOKUP($B334,TRIM('pay group &amp; schedule'!$A$2:$A$6),'pay group &amp; schedule'!$D$2:$D$6,0))</f>
        <v>46311</v>
      </c>
      <c r="N334" s="39" t="str">
        <f t="array" ref="N334">_xlfn.LET(_xlpm.t,_xlfn.XLOOKUP($A334,TRIM(SUBSTITUTE('worker file'!$A$2:$A$406,_xlfn.UNICHAR(160)," ")),'worker file'!$N$2:$N$406,""),IF(N(_xlpm.t)=0,"",_xlpm.t))</f>
        <v/>
      </c>
    </row>
    <row r="335" spans="1:14" x14ac:dyDescent="0.2">
      <c r="A335" s="35" t="s">
        <v>213</v>
      </c>
      <c r="B335" s="36" t="str">
        <f t="array" ref="B335">_xlfn.XLOOKUP($A335,TRIM(SUBSTITUTE('worker file'!$A$2:$A$406,_xlfn.UNICHAR(160)," ")),'worker file'!$L$2:$L$406,"Not found")</f>
        <v>US Semi-monthly</v>
      </c>
      <c r="C335" s="36" t="str">
        <f t="array" ref="C335">_xlfn.XLOOKUP($A335,TRIM(SUBSTITUTE('worker file'!$A$2:$A$406,_xlfn.UNICHAR(160)," ")),'worker file'!$D$2:$D$406,"Not found")</f>
        <v>CA</v>
      </c>
      <c r="D335" s="36" t="str">
        <f t="array" ref="D335">_xlfn.XLOOKUP($A335,TRIM(SUBSTITUTE('worker file'!$A$2:$A$406,_xlfn.UNICHAR(160)," ")),'worker file'!$Q$2:$Q$406,"Not found")</f>
        <v>Active</v>
      </c>
      <c r="E335" s="35" t="s">
        <v>618</v>
      </c>
      <c r="F335" t="str">
        <f t="shared" si="39"/>
        <v>401(k) Employee Deferral</v>
      </c>
      <c r="G335" t="str">
        <f t="shared" si="40"/>
        <v>Pre-tax (exempt from FIT/SIT; subject to FICA)</v>
      </c>
      <c r="H335" t="str">
        <f t="shared" si="41"/>
        <v>Percent</v>
      </c>
      <c r="I335" s="37">
        <v>0.02</v>
      </c>
      <c r="J335" s="38" t="str">
        <f t="shared" si="42"/>
        <v/>
      </c>
      <c r="K335" t="str">
        <f t="shared" si="43"/>
        <v>Gross pay</v>
      </c>
      <c r="L335" t="str">
        <f t="shared" si="44"/>
        <v>Every pay period (ongoing)</v>
      </c>
      <c r="M335" s="39">
        <f t="array" ref="M335">MAX(_xlfn.XLOOKUP($A335,TRIM(SUBSTITUTE('worker file'!$A$2:$A$406,_xlfn.UNICHAR(160)," ")),'worker file'!$M$2:$M$406,0),_xlfn.XLOOKUP($B335,TRIM('pay group &amp; schedule'!$A$2:$A$6),'pay group &amp; schedule'!$D$2:$D$6,0))</f>
        <v>46311</v>
      </c>
      <c r="N335" s="39" t="str">
        <f t="array" ref="N335">_xlfn.LET(_xlpm.t,_xlfn.XLOOKUP($A335,TRIM(SUBSTITUTE('worker file'!$A$2:$A$406,_xlfn.UNICHAR(160)," ")),'worker file'!$N$2:$N$406,""),IF(N(_xlpm.t)=0,"",_xlpm.t))</f>
        <v/>
      </c>
    </row>
    <row r="336" spans="1:14" x14ac:dyDescent="0.2">
      <c r="A336" s="35" t="s">
        <v>213</v>
      </c>
      <c r="B336" s="36" t="str">
        <f t="array" ref="B336">_xlfn.XLOOKUP($A336,TRIM(SUBSTITUTE('worker file'!$A$2:$A$406,_xlfn.UNICHAR(160)," ")),'worker file'!$L$2:$L$406,"Not found")</f>
        <v>US Semi-monthly</v>
      </c>
      <c r="C336" s="36" t="str">
        <f t="array" ref="C336">_xlfn.XLOOKUP($A336,TRIM(SUBSTITUTE('worker file'!$A$2:$A$406,_xlfn.UNICHAR(160)," ")),'worker file'!$D$2:$D$406,"Not found")</f>
        <v>CA</v>
      </c>
      <c r="D336" s="36" t="str">
        <f t="array" ref="D336">_xlfn.XLOOKUP($A336,TRIM(SUBSTITUTE('worker file'!$A$2:$A$406,_xlfn.UNICHAR(160)," ")),'worker file'!$Q$2:$Q$406,"Not found")</f>
        <v>Active</v>
      </c>
      <c r="E336" s="35" t="s">
        <v>626</v>
      </c>
      <c r="F336" t="str">
        <f t="shared" si="39"/>
        <v>Medical (Health) – Employee</v>
      </c>
      <c r="G336" t="str">
        <f t="shared" si="40"/>
        <v>Pre-tax Section 125 (exempt from FIT/SIT/FICA)</v>
      </c>
      <c r="H336" t="str">
        <f t="shared" si="41"/>
        <v>Flat</v>
      </c>
      <c r="I336" s="40" t="str">
        <f>IF($H336="Percent",_xlfn.XLOOKUP($E336,$A$5:$A$8,$F$5:$F$8,""),"")</f>
        <v/>
      </c>
      <c r="J336" s="38">
        <f t="shared" si="42"/>
        <v>200</v>
      </c>
      <c r="K336" t="str">
        <f t="shared" si="43"/>
        <v>Per pay period</v>
      </c>
      <c r="L336" t="str">
        <f t="shared" si="44"/>
        <v>Every pay period (ongoing)</v>
      </c>
      <c r="M336" s="39">
        <f t="array" ref="M336">MAX(_xlfn.XLOOKUP($A336,TRIM(SUBSTITUTE('worker file'!$A$2:$A$406,_xlfn.UNICHAR(160)," ")),'worker file'!$M$2:$M$406,0),_xlfn.XLOOKUP($B336,TRIM('pay group &amp; schedule'!$A$2:$A$6),'pay group &amp; schedule'!$D$2:$D$6,0))</f>
        <v>46311</v>
      </c>
      <c r="N336" s="39" t="str">
        <f t="array" ref="N336">_xlfn.LET(_xlpm.t,_xlfn.XLOOKUP($A336,TRIM(SUBSTITUTE('worker file'!$A$2:$A$406,_xlfn.UNICHAR(160)," ")),'worker file'!$N$2:$N$406,""),IF(N(_xlpm.t)=0,"",_xlpm.t))</f>
        <v/>
      </c>
    </row>
    <row r="337" spans="1:14" x14ac:dyDescent="0.2">
      <c r="A337" s="35" t="s">
        <v>213</v>
      </c>
      <c r="B337" s="36" t="str">
        <f t="array" ref="B337">_xlfn.XLOOKUP($A337,TRIM(SUBSTITUTE('worker file'!$A$2:$A$406,_xlfn.UNICHAR(160)," ")),'worker file'!$L$2:$L$406,"Not found")</f>
        <v>US Semi-monthly</v>
      </c>
      <c r="C337" s="36" t="str">
        <f t="array" ref="C337">_xlfn.XLOOKUP($A337,TRIM(SUBSTITUTE('worker file'!$A$2:$A$406,_xlfn.UNICHAR(160)," ")),'worker file'!$D$2:$D$406,"Not found")</f>
        <v>CA</v>
      </c>
      <c r="D337" s="36" t="str">
        <f t="array" ref="D337">_xlfn.XLOOKUP($A337,TRIM(SUBSTITUTE('worker file'!$A$2:$A$406,_xlfn.UNICHAR(160)," ")),'worker file'!$Q$2:$Q$406,"Not found")</f>
        <v>Active</v>
      </c>
      <c r="E337" s="35" t="s">
        <v>632</v>
      </c>
      <c r="F337" t="str">
        <f t="shared" si="39"/>
        <v>Dental – Employee</v>
      </c>
      <c r="G337" t="str">
        <f t="shared" si="40"/>
        <v>Pre-tax Section 125 (exempt from FIT/SIT/FICA)</v>
      </c>
      <c r="H337" t="str">
        <f t="shared" si="41"/>
        <v>Flat</v>
      </c>
      <c r="I337" s="40" t="str">
        <f>IF($H337="Percent",_xlfn.XLOOKUP($E337,$A$5:$A$8,$F$5:$F$8,""),"")</f>
        <v/>
      </c>
      <c r="J337" s="38">
        <f t="shared" si="42"/>
        <v>44</v>
      </c>
      <c r="K337" t="str">
        <f t="shared" si="43"/>
        <v>Per pay period</v>
      </c>
      <c r="L337" t="str">
        <f t="shared" si="44"/>
        <v>Every pay period (ongoing)</v>
      </c>
      <c r="M337" s="39">
        <f t="array" ref="M337">MAX(_xlfn.XLOOKUP($A337,TRIM(SUBSTITUTE('worker file'!$A$2:$A$406,_xlfn.UNICHAR(160)," ")),'worker file'!$M$2:$M$406,0),_xlfn.XLOOKUP($B337,TRIM('pay group &amp; schedule'!$A$2:$A$6),'pay group &amp; schedule'!$D$2:$D$6,0))</f>
        <v>46311</v>
      </c>
      <c r="N337" s="39" t="str">
        <f t="array" ref="N337">_xlfn.LET(_xlpm.t,_xlfn.XLOOKUP($A337,TRIM(SUBSTITUTE('worker file'!$A$2:$A$406,_xlfn.UNICHAR(160)," ")),'worker file'!$N$2:$N$406,""),IF(N(_xlpm.t)=0,"",_xlpm.t))</f>
        <v/>
      </c>
    </row>
    <row r="338" spans="1:14" x14ac:dyDescent="0.2">
      <c r="A338" s="35" t="s">
        <v>213</v>
      </c>
      <c r="B338" s="36" t="str">
        <f t="array" ref="B338">_xlfn.XLOOKUP($A338,TRIM(SUBSTITUTE('worker file'!$A$2:$A$406,_xlfn.UNICHAR(160)," ")),'worker file'!$L$2:$L$406,"Not found")</f>
        <v>US Semi-monthly</v>
      </c>
      <c r="C338" s="36" t="str">
        <f t="array" ref="C338">_xlfn.XLOOKUP($A338,TRIM(SUBSTITUTE('worker file'!$A$2:$A$406,_xlfn.UNICHAR(160)," ")),'worker file'!$D$2:$D$406,"Not found")</f>
        <v>CA</v>
      </c>
      <c r="D338" s="36" t="str">
        <f t="array" ref="D338">_xlfn.XLOOKUP($A338,TRIM(SUBSTITUTE('worker file'!$A$2:$A$406,_xlfn.UNICHAR(160)," ")),'worker file'!$Q$2:$Q$406,"Not found")</f>
        <v>Active</v>
      </c>
      <c r="E338" s="35" t="s">
        <v>634</v>
      </c>
      <c r="F338" t="str">
        <f t="shared" si="39"/>
        <v>Vision – Employee</v>
      </c>
      <c r="G338" t="str">
        <f t="shared" si="40"/>
        <v>Pre-tax Section 125 (exempt from FIT/SIT/FICA)</v>
      </c>
      <c r="H338" t="str">
        <f t="shared" si="41"/>
        <v>Flat</v>
      </c>
      <c r="I338" s="40" t="str">
        <f>IF($H338="Percent",_xlfn.XLOOKUP($E338,$A$5:$A$8,$F$5:$F$8,""),"")</f>
        <v/>
      </c>
      <c r="J338" s="38">
        <f t="shared" si="42"/>
        <v>30</v>
      </c>
      <c r="K338" t="str">
        <f t="shared" si="43"/>
        <v>Per pay period</v>
      </c>
      <c r="L338" t="str">
        <f t="shared" si="44"/>
        <v>Every pay period (ongoing)</v>
      </c>
      <c r="M338" s="39">
        <f t="array" ref="M338">MAX(_xlfn.XLOOKUP($A338,TRIM(SUBSTITUTE('worker file'!$A$2:$A$406,_xlfn.UNICHAR(160)," ")),'worker file'!$M$2:$M$406,0),_xlfn.XLOOKUP($B338,TRIM('pay group &amp; schedule'!$A$2:$A$6),'pay group &amp; schedule'!$D$2:$D$6,0))</f>
        <v>46311</v>
      </c>
      <c r="N338" s="39" t="str">
        <f t="array" ref="N338">_xlfn.LET(_xlpm.t,_xlfn.XLOOKUP($A338,TRIM(SUBSTITUTE('worker file'!$A$2:$A$406,_xlfn.UNICHAR(160)," ")),'worker file'!$N$2:$N$406,""),IF(N(_xlpm.t)=0,"",_xlpm.t))</f>
        <v/>
      </c>
    </row>
    <row r="339" spans="1:14" x14ac:dyDescent="0.2">
      <c r="A339" s="35" t="s">
        <v>215</v>
      </c>
      <c r="B339" s="36" t="str">
        <f t="array" ref="B339">_xlfn.XLOOKUP($A339,TRIM(SUBSTITUTE('worker file'!$A$2:$A$406,_xlfn.UNICHAR(160)," ")),'worker file'!$L$2:$L$406,"Not found")</f>
        <v>US Semi-monthly</v>
      </c>
      <c r="C339" s="36" t="str">
        <f t="array" ref="C339">_xlfn.XLOOKUP($A339,TRIM(SUBSTITUTE('worker file'!$A$2:$A$406,_xlfn.UNICHAR(160)," ")),'worker file'!$D$2:$D$406,"Not found")</f>
        <v>IL</v>
      </c>
      <c r="D339" s="36" t="str">
        <f t="array" ref="D339">_xlfn.XLOOKUP($A339,TRIM(SUBSTITUTE('worker file'!$A$2:$A$406,_xlfn.UNICHAR(160)," ")),'worker file'!$Q$2:$Q$406,"Not found")</f>
        <v>Active</v>
      </c>
      <c r="E339" s="35" t="s">
        <v>618</v>
      </c>
      <c r="F339" t="str">
        <f t="shared" si="39"/>
        <v>401(k) Employee Deferral</v>
      </c>
      <c r="G339" t="str">
        <f t="shared" si="40"/>
        <v>Pre-tax (exempt from FIT/SIT; subject to FICA)</v>
      </c>
      <c r="H339" t="str">
        <f t="shared" si="41"/>
        <v>Percent</v>
      </c>
      <c r="I339" s="37">
        <v>7.0000000000000007E-2</v>
      </c>
      <c r="J339" s="38" t="str">
        <f t="shared" si="42"/>
        <v/>
      </c>
      <c r="K339" t="str">
        <f t="shared" si="43"/>
        <v>Gross pay</v>
      </c>
      <c r="L339" t="str">
        <f t="shared" si="44"/>
        <v>Every pay period (ongoing)</v>
      </c>
      <c r="M339" s="39">
        <f t="array" ref="M339">MAX(_xlfn.XLOOKUP($A339,TRIM(SUBSTITUTE('worker file'!$A$2:$A$406,_xlfn.UNICHAR(160)," ")),'worker file'!$M$2:$M$406,0),_xlfn.XLOOKUP($B339,TRIM('pay group &amp; schedule'!$A$2:$A$6),'pay group &amp; schedule'!$D$2:$D$6,0))</f>
        <v>46311</v>
      </c>
      <c r="N339" s="39" t="str">
        <f t="array" ref="N339">_xlfn.LET(_xlpm.t,_xlfn.XLOOKUP($A339,TRIM(SUBSTITUTE('worker file'!$A$2:$A$406,_xlfn.UNICHAR(160)," ")),'worker file'!$N$2:$N$406,""),IF(N(_xlpm.t)=0,"",_xlpm.t))</f>
        <v/>
      </c>
    </row>
    <row r="340" spans="1:14" x14ac:dyDescent="0.2">
      <c r="A340" s="35" t="s">
        <v>215</v>
      </c>
      <c r="B340" s="36" t="str">
        <f t="array" ref="B340">_xlfn.XLOOKUP($A340,TRIM(SUBSTITUTE('worker file'!$A$2:$A$406,_xlfn.UNICHAR(160)," ")),'worker file'!$L$2:$L$406,"Not found")</f>
        <v>US Semi-monthly</v>
      </c>
      <c r="C340" s="36" t="str">
        <f t="array" ref="C340">_xlfn.XLOOKUP($A340,TRIM(SUBSTITUTE('worker file'!$A$2:$A$406,_xlfn.UNICHAR(160)," ")),'worker file'!$D$2:$D$406,"Not found")</f>
        <v>IL</v>
      </c>
      <c r="D340" s="36" t="str">
        <f t="array" ref="D340">_xlfn.XLOOKUP($A340,TRIM(SUBSTITUTE('worker file'!$A$2:$A$406,_xlfn.UNICHAR(160)," ")),'worker file'!$Q$2:$Q$406,"Not found")</f>
        <v>Active</v>
      </c>
      <c r="E340" s="35" t="s">
        <v>626</v>
      </c>
      <c r="F340" t="str">
        <f t="shared" si="39"/>
        <v>Medical (Health) – Employee</v>
      </c>
      <c r="G340" t="str">
        <f t="shared" si="40"/>
        <v>Pre-tax Section 125 (exempt from FIT/SIT/FICA)</v>
      </c>
      <c r="H340" t="str">
        <f t="shared" si="41"/>
        <v>Flat</v>
      </c>
      <c r="I340" s="40" t="str">
        <f>IF($H340="Percent",_xlfn.XLOOKUP($E340,$A$5:$A$8,$F$5:$F$8,""),"")</f>
        <v/>
      </c>
      <c r="J340" s="38">
        <f t="shared" si="42"/>
        <v>200</v>
      </c>
      <c r="K340" t="str">
        <f t="shared" si="43"/>
        <v>Per pay period</v>
      </c>
      <c r="L340" t="str">
        <f t="shared" si="44"/>
        <v>Every pay period (ongoing)</v>
      </c>
      <c r="M340" s="39">
        <f t="array" ref="M340">MAX(_xlfn.XLOOKUP($A340,TRIM(SUBSTITUTE('worker file'!$A$2:$A$406,_xlfn.UNICHAR(160)," ")),'worker file'!$M$2:$M$406,0),_xlfn.XLOOKUP($B340,TRIM('pay group &amp; schedule'!$A$2:$A$6),'pay group &amp; schedule'!$D$2:$D$6,0))</f>
        <v>46311</v>
      </c>
      <c r="N340" s="39" t="str">
        <f t="array" ref="N340">_xlfn.LET(_xlpm.t,_xlfn.XLOOKUP($A340,TRIM(SUBSTITUTE('worker file'!$A$2:$A$406,_xlfn.UNICHAR(160)," ")),'worker file'!$N$2:$N$406,""),IF(N(_xlpm.t)=0,"",_xlpm.t))</f>
        <v/>
      </c>
    </row>
    <row r="341" spans="1:14" x14ac:dyDescent="0.2">
      <c r="A341" s="35" t="s">
        <v>215</v>
      </c>
      <c r="B341" s="36" t="str">
        <f t="array" ref="B341">_xlfn.XLOOKUP($A341,TRIM(SUBSTITUTE('worker file'!$A$2:$A$406,_xlfn.UNICHAR(160)," ")),'worker file'!$L$2:$L$406,"Not found")</f>
        <v>US Semi-monthly</v>
      </c>
      <c r="C341" s="36" t="str">
        <f t="array" ref="C341">_xlfn.XLOOKUP($A341,TRIM(SUBSTITUTE('worker file'!$A$2:$A$406,_xlfn.UNICHAR(160)," ")),'worker file'!$D$2:$D$406,"Not found")</f>
        <v>IL</v>
      </c>
      <c r="D341" s="36" t="str">
        <f t="array" ref="D341">_xlfn.XLOOKUP($A341,TRIM(SUBSTITUTE('worker file'!$A$2:$A$406,_xlfn.UNICHAR(160)," ")),'worker file'!$Q$2:$Q$406,"Not found")</f>
        <v>Active</v>
      </c>
      <c r="E341" s="35" t="s">
        <v>632</v>
      </c>
      <c r="F341" t="str">
        <f t="shared" si="39"/>
        <v>Dental – Employee</v>
      </c>
      <c r="G341" t="str">
        <f t="shared" si="40"/>
        <v>Pre-tax Section 125 (exempt from FIT/SIT/FICA)</v>
      </c>
      <c r="H341" t="str">
        <f t="shared" si="41"/>
        <v>Flat</v>
      </c>
      <c r="I341" s="40" t="str">
        <f>IF($H341="Percent",_xlfn.XLOOKUP($E341,$A$5:$A$8,$F$5:$F$8,""),"")</f>
        <v/>
      </c>
      <c r="J341" s="38">
        <f t="shared" si="42"/>
        <v>44</v>
      </c>
      <c r="K341" t="str">
        <f t="shared" si="43"/>
        <v>Per pay period</v>
      </c>
      <c r="L341" t="str">
        <f t="shared" si="44"/>
        <v>Every pay period (ongoing)</v>
      </c>
      <c r="M341" s="39">
        <f t="array" ref="M341">MAX(_xlfn.XLOOKUP($A341,TRIM(SUBSTITUTE('worker file'!$A$2:$A$406,_xlfn.UNICHAR(160)," ")),'worker file'!$M$2:$M$406,0),_xlfn.XLOOKUP($B341,TRIM('pay group &amp; schedule'!$A$2:$A$6),'pay group &amp; schedule'!$D$2:$D$6,0))</f>
        <v>46311</v>
      </c>
      <c r="N341" s="39" t="str">
        <f t="array" ref="N341">_xlfn.LET(_xlpm.t,_xlfn.XLOOKUP($A341,TRIM(SUBSTITUTE('worker file'!$A$2:$A$406,_xlfn.UNICHAR(160)," ")),'worker file'!$N$2:$N$406,""),IF(N(_xlpm.t)=0,"",_xlpm.t))</f>
        <v/>
      </c>
    </row>
    <row r="342" spans="1:14" x14ac:dyDescent="0.2">
      <c r="A342" s="35" t="s">
        <v>215</v>
      </c>
      <c r="B342" s="36" t="str">
        <f t="array" ref="B342">_xlfn.XLOOKUP($A342,TRIM(SUBSTITUTE('worker file'!$A$2:$A$406,_xlfn.UNICHAR(160)," ")),'worker file'!$L$2:$L$406,"Not found")</f>
        <v>US Semi-monthly</v>
      </c>
      <c r="C342" s="36" t="str">
        <f t="array" ref="C342">_xlfn.XLOOKUP($A342,TRIM(SUBSTITUTE('worker file'!$A$2:$A$406,_xlfn.UNICHAR(160)," ")),'worker file'!$D$2:$D$406,"Not found")</f>
        <v>IL</v>
      </c>
      <c r="D342" s="36" t="str">
        <f t="array" ref="D342">_xlfn.XLOOKUP($A342,TRIM(SUBSTITUTE('worker file'!$A$2:$A$406,_xlfn.UNICHAR(160)," ")),'worker file'!$Q$2:$Q$406,"Not found")</f>
        <v>Active</v>
      </c>
      <c r="E342" s="35" t="s">
        <v>634</v>
      </c>
      <c r="F342" t="str">
        <f t="shared" si="39"/>
        <v>Vision – Employee</v>
      </c>
      <c r="G342" t="str">
        <f t="shared" si="40"/>
        <v>Pre-tax Section 125 (exempt from FIT/SIT/FICA)</v>
      </c>
      <c r="H342" t="str">
        <f t="shared" si="41"/>
        <v>Flat</v>
      </c>
      <c r="I342" s="40" t="str">
        <f>IF($H342="Percent",_xlfn.XLOOKUP($E342,$A$5:$A$8,$F$5:$F$8,""),"")</f>
        <v/>
      </c>
      <c r="J342" s="38">
        <f t="shared" si="42"/>
        <v>30</v>
      </c>
      <c r="K342" t="str">
        <f t="shared" si="43"/>
        <v>Per pay period</v>
      </c>
      <c r="L342" t="str">
        <f t="shared" si="44"/>
        <v>Every pay period (ongoing)</v>
      </c>
      <c r="M342" s="39">
        <f t="array" ref="M342">MAX(_xlfn.XLOOKUP($A342,TRIM(SUBSTITUTE('worker file'!$A$2:$A$406,_xlfn.UNICHAR(160)," ")),'worker file'!$M$2:$M$406,0),_xlfn.XLOOKUP($B342,TRIM('pay group &amp; schedule'!$A$2:$A$6),'pay group &amp; schedule'!$D$2:$D$6,0))</f>
        <v>46311</v>
      </c>
      <c r="N342" s="39" t="str">
        <f t="array" ref="N342">_xlfn.LET(_xlpm.t,_xlfn.XLOOKUP($A342,TRIM(SUBSTITUTE('worker file'!$A$2:$A$406,_xlfn.UNICHAR(160)," ")),'worker file'!$N$2:$N$406,""),IF(N(_xlpm.t)=0,"",_xlpm.t))</f>
        <v/>
      </c>
    </row>
    <row r="343" spans="1:14" x14ac:dyDescent="0.2">
      <c r="A343" s="35" t="s">
        <v>216</v>
      </c>
      <c r="B343" s="36" t="str">
        <f t="array" ref="B343">_xlfn.XLOOKUP($A343,TRIM(SUBSTITUTE('worker file'!$A$2:$A$406,_xlfn.UNICHAR(160)," ")),'worker file'!$L$2:$L$406,"Not found")</f>
        <v>US Semi-monthly</v>
      </c>
      <c r="C343" s="36" t="str">
        <f t="array" ref="C343">_xlfn.XLOOKUP($A343,TRIM(SUBSTITUTE('worker file'!$A$2:$A$406,_xlfn.UNICHAR(160)," ")),'worker file'!$D$2:$D$406,"Not found")</f>
        <v>WA</v>
      </c>
      <c r="D343" s="36" t="str">
        <f t="array" ref="D343">_xlfn.XLOOKUP($A343,TRIM(SUBSTITUTE('worker file'!$A$2:$A$406,_xlfn.UNICHAR(160)," ")),'worker file'!$Q$2:$Q$406,"Not found")</f>
        <v>Active</v>
      </c>
      <c r="E343" s="35" t="s">
        <v>618</v>
      </c>
      <c r="F343" t="str">
        <f t="shared" si="39"/>
        <v>401(k) Employee Deferral</v>
      </c>
      <c r="G343" t="str">
        <f t="shared" si="40"/>
        <v>Pre-tax (exempt from FIT/SIT; subject to FICA)</v>
      </c>
      <c r="H343" t="str">
        <f t="shared" si="41"/>
        <v>Percent</v>
      </c>
      <c r="I343" s="37">
        <v>0.04</v>
      </c>
      <c r="J343" s="38" t="str">
        <f t="shared" si="42"/>
        <v/>
      </c>
      <c r="K343" t="str">
        <f t="shared" si="43"/>
        <v>Gross pay</v>
      </c>
      <c r="L343" t="str">
        <f t="shared" si="44"/>
        <v>Every pay period (ongoing)</v>
      </c>
      <c r="M343" s="39">
        <f t="array" ref="M343">MAX(_xlfn.XLOOKUP($A343,TRIM(SUBSTITUTE('worker file'!$A$2:$A$406,_xlfn.UNICHAR(160)," ")),'worker file'!$M$2:$M$406,0),_xlfn.XLOOKUP($B343,TRIM('pay group &amp; schedule'!$A$2:$A$6),'pay group &amp; schedule'!$D$2:$D$6,0))</f>
        <v>46311</v>
      </c>
      <c r="N343" s="39" t="str">
        <f t="array" ref="N343">_xlfn.LET(_xlpm.t,_xlfn.XLOOKUP($A343,TRIM(SUBSTITUTE('worker file'!$A$2:$A$406,_xlfn.UNICHAR(160)," ")),'worker file'!$N$2:$N$406,""),IF(N(_xlpm.t)=0,"",_xlpm.t))</f>
        <v/>
      </c>
    </row>
    <row r="344" spans="1:14" x14ac:dyDescent="0.2">
      <c r="A344" s="35" t="s">
        <v>216</v>
      </c>
      <c r="B344" s="36" t="str">
        <f t="array" ref="B344">_xlfn.XLOOKUP($A344,TRIM(SUBSTITUTE('worker file'!$A$2:$A$406,_xlfn.UNICHAR(160)," ")),'worker file'!$L$2:$L$406,"Not found")</f>
        <v>US Semi-monthly</v>
      </c>
      <c r="C344" s="36" t="str">
        <f t="array" ref="C344">_xlfn.XLOOKUP($A344,TRIM(SUBSTITUTE('worker file'!$A$2:$A$406,_xlfn.UNICHAR(160)," ")),'worker file'!$D$2:$D$406,"Not found")</f>
        <v>WA</v>
      </c>
      <c r="D344" s="36" t="str">
        <f t="array" ref="D344">_xlfn.XLOOKUP($A344,TRIM(SUBSTITUTE('worker file'!$A$2:$A$406,_xlfn.UNICHAR(160)," ")),'worker file'!$Q$2:$Q$406,"Not found")</f>
        <v>Active</v>
      </c>
      <c r="E344" s="35" t="s">
        <v>626</v>
      </c>
      <c r="F344" t="str">
        <f t="shared" si="39"/>
        <v>Medical (Health) – Employee</v>
      </c>
      <c r="G344" t="str">
        <f t="shared" si="40"/>
        <v>Pre-tax Section 125 (exempt from FIT/SIT/FICA)</v>
      </c>
      <c r="H344" t="str">
        <f t="shared" si="41"/>
        <v>Flat</v>
      </c>
      <c r="I344" s="40" t="str">
        <f>IF($H344="Percent",_xlfn.XLOOKUP($E344,$A$5:$A$8,$F$5:$F$8,""),"")</f>
        <v/>
      </c>
      <c r="J344" s="38">
        <f t="shared" si="42"/>
        <v>200</v>
      </c>
      <c r="K344" t="str">
        <f t="shared" si="43"/>
        <v>Per pay period</v>
      </c>
      <c r="L344" t="str">
        <f t="shared" si="44"/>
        <v>Every pay period (ongoing)</v>
      </c>
      <c r="M344" s="39">
        <f t="array" ref="M344">MAX(_xlfn.XLOOKUP($A344,TRIM(SUBSTITUTE('worker file'!$A$2:$A$406,_xlfn.UNICHAR(160)," ")),'worker file'!$M$2:$M$406,0),_xlfn.XLOOKUP($B344,TRIM('pay group &amp; schedule'!$A$2:$A$6),'pay group &amp; schedule'!$D$2:$D$6,0))</f>
        <v>46311</v>
      </c>
      <c r="N344" s="39" t="str">
        <f t="array" ref="N344">_xlfn.LET(_xlpm.t,_xlfn.XLOOKUP($A344,TRIM(SUBSTITUTE('worker file'!$A$2:$A$406,_xlfn.UNICHAR(160)," ")),'worker file'!$N$2:$N$406,""),IF(N(_xlpm.t)=0,"",_xlpm.t))</f>
        <v/>
      </c>
    </row>
    <row r="345" spans="1:14" x14ac:dyDescent="0.2">
      <c r="A345" s="35" t="s">
        <v>216</v>
      </c>
      <c r="B345" s="36" t="str">
        <f t="array" ref="B345">_xlfn.XLOOKUP($A345,TRIM(SUBSTITUTE('worker file'!$A$2:$A$406,_xlfn.UNICHAR(160)," ")),'worker file'!$L$2:$L$406,"Not found")</f>
        <v>US Semi-monthly</v>
      </c>
      <c r="C345" s="36" t="str">
        <f t="array" ref="C345">_xlfn.XLOOKUP($A345,TRIM(SUBSTITUTE('worker file'!$A$2:$A$406,_xlfn.UNICHAR(160)," ")),'worker file'!$D$2:$D$406,"Not found")</f>
        <v>WA</v>
      </c>
      <c r="D345" s="36" t="str">
        <f t="array" ref="D345">_xlfn.XLOOKUP($A345,TRIM(SUBSTITUTE('worker file'!$A$2:$A$406,_xlfn.UNICHAR(160)," ")),'worker file'!$Q$2:$Q$406,"Not found")</f>
        <v>Active</v>
      </c>
      <c r="E345" s="35" t="s">
        <v>632</v>
      </c>
      <c r="F345" t="str">
        <f t="shared" si="39"/>
        <v>Dental – Employee</v>
      </c>
      <c r="G345" t="str">
        <f t="shared" si="40"/>
        <v>Pre-tax Section 125 (exempt from FIT/SIT/FICA)</v>
      </c>
      <c r="H345" t="str">
        <f t="shared" si="41"/>
        <v>Flat</v>
      </c>
      <c r="I345" s="40" t="str">
        <f>IF($H345="Percent",_xlfn.XLOOKUP($E345,$A$5:$A$8,$F$5:$F$8,""),"")</f>
        <v/>
      </c>
      <c r="J345" s="38">
        <f t="shared" si="42"/>
        <v>44</v>
      </c>
      <c r="K345" t="str">
        <f t="shared" si="43"/>
        <v>Per pay period</v>
      </c>
      <c r="L345" t="str">
        <f t="shared" si="44"/>
        <v>Every pay period (ongoing)</v>
      </c>
      <c r="M345" s="39">
        <f t="array" ref="M345">MAX(_xlfn.XLOOKUP($A345,TRIM(SUBSTITUTE('worker file'!$A$2:$A$406,_xlfn.UNICHAR(160)," ")),'worker file'!$M$2:$M$406,0),_xlfn.XLOOKUP($B345,TRIM('pay group &amp; schedule'!$A$2:$A$6),'pay group &amp; schedule'!$D$2:$D$6,0))</f>
        <v>46311</v>
      </c>
      <c r="N345" s="39" t="str">
        <f t="array" ref="N345">_xlfn.LET(_xlpm.t,_xlfn.XLOOKUP($A345,TRIM(SUBSTITUTE('worker file'!$A$2:$A$406,_xlfn.UNICHAR(160)," ")),'worker file'!$N$2:$N$406,""),IF(N(_xlpm.t)=0,"",_xlpm.t))</f>
        <v/>
      </c>
    </row>
    <row r="346" spans="1:14" x14ac:dyDescent="0.2">
      <c r="A346" s="35" t="s">
        <v>216</v>
      </c>
      <c r="B346" s="36" t="str">
        <f t="array" ref="B346">_xlfn.XLOOKUP($A346,TRIM(SUBSTITUTE('worker file'!$A$2:$A$406,_xlfn.UNICHAR(160)," ")),'worker file'!$L$2:$L$406,"Not found")</f>
        <v>US Semi-monthly</v>
      </c>
      <c r="C346" s="36" t="str">
        <f t="array" ref="C346">_xlfn.XLOOKUP($A346,TRIM(SUBSTITUTE('worker file'!$A$2:$A$406,_xlfn.UNICHAR(160)," ")),'worker file'!$D$2:$D$406,"Not found")</f>
        <v>WA</v>
      </c>
      <c r="D346" s="36" t="str">
        <f t="array" ref="D346">_xlfn.XLOOKUP($A346,TRIM(SUBSTITUTE('worker file'!$A$2:$A$406,_xlfn.UNICHAR(160)," ")),'worker file'!$Q$2:$Q$406,"Not found")</f>
        <v>Active</v>
      </c>
      <c r="E346" s="35" t="s">
        <v>634</v>
      </c>
      <c r="F346" t="str">
        <f t="shared" si="39"/>
        <v>Vision – Employee</v>
      </c>
      <c r="G346" t="str">
        <f t="shared" si="40"/>
        <v>Pre-tax Section 125 (exempt from FIT/SIT/FICA)</v>
      </c>
      <c r="H346" t="str">
        <f t="shared" si="41"/>
        <v>Flat</v>
      </c>
      <c r="I346" s="40" t="str">
        <f>IF($H346="Percent",_xlfn.XLOOKUP($E346,$A$5:$A$8,$F$5:$F$8,""),"")</f>
        <v/>
      </c>
      <c r="J346" s="38">
        <f t="shared" si="42"/>
        <v>30</v>
      </c>
      <c r="K346" t="str">
        <f t="shared" si="43"/>
        <v>Per pay period</v>
      </c>
      <c r="L346" t="str">
        <f t="shared" si="44"/>
        <v>Every pay period (ongoing)</v>
      </c>
      <c r="M346" s="39">
        <f t="array" ref="M346">MAX(_xlfn.XLOOKUP($A346,TRIM(SUBSTITUTE('worker file'!$A$2:$A$406,_xlfn.UNICHAR(160)," ")),'worker file'!$M$2:$M$406,0),_xlfn.XLOOKUP($B346,TRIM('pay group &amp; schedule'!$A$2:$A$6),'pay group &amp; schedule'!$D$2:$D$6,0))</f>
        <v>46311</v>
      </c>
      <c r="N346" s="39" t="str">
        <f t="array" ref="N346">_xlfn.LET(_xlpm.t,_xlfn.XLOOKUP($A346,TRIM(SUBSTITUTE('worker file'!$A$2:$A$406,_xlfn.UNICHAR(160)," ")),'worker file'!$N$2:$N$406,""),IF(N(_xlpm.t)=0,"",_xlpm.t))</f>
        <v/>
      </c>
    </row>
    <row r="347" spans="1:14" x14ac:dyDescent="0.2">
      <c r="A347" s="35" t="s">
        <v>219</v>
      </c>
      <c r="B347" s="36" t="str">
        <f t="array" ref="B347">_xlfn.XLOOKUP($A347,TRIM(SUBSTITUTE('worker file'!$A$2:$A$406,_xlfn.UNICHAR(160)," ")),'worker file'!$L$2:$L$406,"Not found")</f>
        <v>US Biweekly</v>
      </c>
      <c r="C347" s="36" t="str">
        <f t="array" ref="C347">_xlfn.XLOOKUP($A347,TRIM(SUBSTITUTE('worker file'!$A$2:$A$406,_xlfn.UNICHAR(160)," ")),'worker file'!$D$2:$D$406,"Not found")</f>
        <v>TX</v>
      </c>
      <c r="D347" s="36" t="str">
        <f t="array" ref="D347">_xlfn.XLOOKUP($A347,TRIM(SUBSTITUTE('worker file'!$A$2:$A$406,_xlfn.UNICHAR(160)," ")),'worker file'!$Q$2:$Q$406,"Not found")</f>
        <v>Active</v>
      </c>
      <c r="E347" s="35" t="s">
        <v>618</v>
      </c>
      <c r="F347" t="str">
        <f t="shared" si="39"/>
        <v>401(k) Employee Deferral</v>
      </c>
      <c r="G347" t="str">
        <f t="shared" si="40"/>
        <v>Pre-tax (exempt from FIT/SIT; subject to FICA)</v>
      </c>
      <c r="H347" t="str">
        <f t="shared" si="41"/>
        <v>Percent</v>
      </c>
      <c r="I347" s="37">
        <v>0.01</v>
      </c>
      <c r="J347" s="38" t="str">
        <f t="shared" si="42"/>
        <v/>
      </c>
      <c r="K347" t="str">
        <f t="shared" si="43"/>
        <v>Gross pay</v>
      </c>
      <c r="L347" t="str">
        <f t="shared" si="44"/>
        <v>Every pay period (ongoing)</v>
      </c>
      <c r="M347" s="39">
        <f t="array" ref="M347">MAX(_xlfn.XLOOKUP($A347,TRIM(SUBSTITUTE('worker file'!$A$2:$A$406,_xlfn.UNICHAR(160)," ")),'worker file'!$M$2:$M$406,0),_xlfn.XLOOKUP($B347,TRIM('pay group &amp; schedule'!$A$2:$A$6),'pay group &amp; schedule'!$D$2:$D$6,0))</f>
        <v>46299</v>
      </c>
      <c r="N347" s="39" t="str">
        <f t="array" ref="N347">_xlfn.LET(_xlpm.t,_xlfn.XLOOKUP($A347,TRIM(SUBSTITUTE('worker file'!$A$2:$A$406,_xlfn.UNICHAR(160)," ")),'worker file'!$N$2:$N$406,""),IF(N(_xlpm.t)=0,"",_xlpm.t))</f>
        <v/>
      </c>
    </row>
    <row r="348" spans="1:14" x14ac:dyDescent="0.2">
      <c r="A348" s="35" t="s">
        <v>219</v>
      </c>
      <c r="B348" s="36" t="str">
        <f t="array" ref="B348">_xlfn.XLOOKUP($A348,TRIM(SUBSTITUTE('worker file'!$A$2:$A$406,_xlfn.UNICHAR(160)," ")),'worker file'!$L$2:$L$406,"Not found")</f>
        <v>US Biweekly</v>
      </c>
      <c r="C348" s="36" t="str">
        <f t="array" ref="C348">_xlfn.XLOOKUP($A348,TRIM(SUBSTITUTE('worker file'!$A$2:$A$406,_xlfn.UNICHAR(160)," ")),'worker file'!$D$2:$D$406,"Not found")</f>
        <v>TX</v>
      </c>
      <c r="D348" s="36" t="str">
        <f t="array" ref="D348">_xlfn.XLOOKUP($A348,TRIM(SUBSTITUTE('worker file'!$A$2:$A$406,_xlfn.UNICHAR(160)," ")),'worker file'!$Q$2:$Q$406,"Not found")</f>
        <v>Active</v>
      </c>
      <c r="E348" s="35" t="s">
        <v>626</v>
      </c>
      <c r="F348" t="str">
        <f t="shared" si="39"/>
        <v>Medical (Health) – Employee</v>
      </c>
      <c r="G348" t="str">
        <f t="shared" si="40"/>
        <v>Pre-tax Section 125 (exempt from FIT/SIT/FICA)</v>
      </c>
      <c r="H348" t="str">
        <f t="shared" si="41"/>
        <v>Flat</v>
      </c>
      <c r="I348" s="40" t="str">
        <f>IF($H348="Percent",_xlfn.XLOOKUP($E348,$A$5:$A$8,$F$5:$F$8,""),"")</f>
        <v/>
      </c>
      <c r="J348" s="38">
        <f t="shared" si="42"/>
        <v>200</v>
      </c>
      <c r="K348" t="str">
        <f t="shared" si="43"/>
        <v>Per pay period</v>
      </c>
      <c r="L348" t="str">
        <f t="shared" si="44"/>
        <v>Every pay period (ongoing)</v>
      </c>
      <c r="M348" s="39">
        <f t="array" ref="M348">MAX(_xlfn.XLOOKUP($A348,TRIM(SUBSTITUTE('worker file'!$A$2:$A$406,_xlfn.UNICHAR(160)," ")),'worker file'!$M$2:$M$406,0),_xlfn.XLOOKUP($B348,TRIM('pay group &amp; schedule'!$A$2:$A$6),'pay group &amp; schedule'!$D$2:$D$6,0))</f>
        <v>46299</v>
      </c>
      <c r="N348" s="39" t="str">
        <f t="array" ref="N348">_xlfn.LET(_xlpm.t,_xlfn.XLOOKUP($A348,TRIM(SUBSTITUTE('worker file'!$A$2:$A$406,_xlfn.UNICHAR(160)," ")),'worker file'!$N$2:$N$406,""),IF(N(_xlpm.t)=0,"",_xlpm.t))</f>
        <v/>
      </c>
    </row>
    <row r="349" spans="1:14" x14ac:dyDescent="0.2">
      <c r="A349" s="35" t="s">
        <v>219</v>
      </c>
      <c r="B349" s="36" t="str">
        <f t="array" ref="B349">_xlfn.XLOOKUP($A349,TRIM(SUBSTITUTE('worker file'!$A$2:$A$406,_xlfn.UNICHAR(160)," ")),'worker file'!$L$2:$L$406,"Not found")</f>
        <v>US Biweekly</v>
      </c>
      <c r="C349" s="36" t="str">
        <f t="array" ref="C349">_xlfn.XLOOKUP($A349,TRIM(SUBSTITUTE('worker file'!$A$2:$A$406,_xlfn.UNICHAR(160)," ")),'worker file'!$D$2:$D$406,"Not found")</f>
        <v>TX</v>
      </c>
      <c r="D349" s="36" t="str">
        <f t="array" ref="D349">_xlfn.XLOOKUP($A349,TRIM(SUBSTITUTE('worker file'!$A$2:$A$406,_xlfn.UNICHAR(160)," ")),'worker file'!$Q$2:$Q$406,"Not found")</f>
        <v>Active</v>
      </c>
      <c r="E349" s="35" t="s">
        <v>632</v>
      </c>
      <c r="F349" t="str">
        <f t="shared" si="39"/>
        <v>Dental – Employee</v>
      </c>
      <c r="G349" t="str">
        <f t="shared" si="40"/>
        <v>Pre-tax Section 125 (exempt from FIT/SIT/FICA)</v>
      </c>
      <c r="H349" t="str">
        <f t="shared" si="41"/>
        <v>Flat</v>
      </c>
      <c r="I349" s="40" t="str">
        <f>IF($H349="Percent",_xlfn.XLOOKUP($E349,$A$5:$A$8,$F$5:$F$8,""),"")</f>
        <v/>
      </c>
      <c r="J349" s="38">
        <f t="shared" si="42"/>
        <v>44</v>
      </c>
      <c r="K349" t="str">
        <f t="shared" si="43"/>
        <v>Per pay period</v>
      </c>
      <c r="L349" t="str">
        <f t="shared" si="44"/>
        <v>Every pay period (ongoing)</v>
      </c>
      <c r="M349" s="39">
        <f t="array" ref="M349">MAX(_xlfn.XLOOKUP($A349,TRIM(SUBSTITUTE('worker file'!$A$2:$A$406,_xlfn.UNICHAR(160)," ")),'worker file'!$M$2:$M$406,0),_xlfn.XLOOKUP($B349,TRIM('pay group &amp; schedule'!$A$2:$A$6),'pay group &amp; schedule'!$D$2:$D$6,0))</f>
        <v>46299</v>
      </c>
      <c r="N349" s="39" t="str">
        <f t="array" ref="N349">_xlfn.LET(_xlpm.t,_xlfn.XLOOKUP($A349,TRIM(SUBSTITUTE('worker file'!$A$2:$A$406,_xlfn.UNICHAR(160)," ")),'worker file'!$N$2:$N$406,""),IF(N(_xlpm.t)=0,"",_xlpm.t))</f>
        <v/>
      </c>
    </row>
    <row r="350" spans="1:14" x14ac:dyDescent="0.2">
      <c r="A350" s="35" t="s">
        <v>219</v>
      </c>
      <c r="B350" s="36" t="str">
        <f t="array" ref="B350">_xlfn.XLOOKUP($A350,TRIM(SUBSTITUTE('worker file'!$A$2:$A$406,_xlfn.UNICHAR(160)," ")),'worker file'!$L$2:$L$406,"Not found")</f>
        <v>US Biweekly</v>
      </c>
      <c r="C350" s="36" t="str">
        <f t="array" ref="C350">_xlfn.XLOOKUP($A350,TRIM(SUBSTITUTE('worker file'!$A$2:$A$406,_xlfn.UNICHAR(160)," ")),'worker file'!$D$2:$D$406,"Not found")</f>
        <v>TX</v>
      </c>
      <c r="D350" s="36" t="str">
        <f t="array" ref="D350">_xlfn.XLOOKUP($A350,TRIM(SUBSTITUTE('worker file'!$A$2:$A$406,_xlfn.UNICHAR(160)," ")),'worker file'!$Q$2:$Q$406,"Not found")</f>
        <v>Active</v>
      </c>
      <c r="E350" s="35" t="s">
        <v>634</v>
      </c>
      <c r="F350" t="str">
        <f t="shared" si="39"/>
        <v>Vision – Employee</v>
      </c>
      <c r="G350" t="str">
        <f t="shared" si="40"/>
        <v>Pre-tax Section 125 (exempt from FIT/SIT/FICA)</v>
      </c>
      <c r="H350" t="str">
        <f t="shared" si="41"/>
        <v>Flat</v>
      </c>
      <c r="I350" s="40" t="str">
        <f>IF($H350="Percent",_xlfn.XLOOKUP($E350,$A$5:$A$8,$F$5:$F$8,""),"")</f>
        <v/>
      </c>
      <c r="J350" s="38">
        <f t="shared" si="42"/>
        <v>30</v>
      </c>
      <c r="K350" t="str">
        <f t="shared" si="43"/>
        <v>Per pay period</v>
      </c>
      <c r="L350" t="str">
        <f t="shared" si="44"/>
        <v>Every pay period (ongoing)</v>
      </c>
      <c r="M350" s="39">
        <f t="array" ref="M350">MAX(_xlfn.XLOOKUP($A350,TRIM(SUBSTITUTE('worker file'!$A$2:$A$406,_xlfn.UNICHAR(160)," ")),'worker file'!$M$2:$M$406,0),_xlfn.XLOOKUP($B350,TRIM('pay group &amp; schedule'!$A$2:$A$6),'pay group &amp; schedule'!$D$2:$D$6,0))</f>
        <v>46299</v>
      </c>
      <c r="N350" s="39" t="str">
        <f t="array" ref="N350">_xlfn.LET(_xlpm.t,_xlfn.XLOOKUP($A350,TRIM(SUBSTITUTE('worker file'!$A$2:$A$406,_xlfn.UNICHAR(160)," ")),'worker file'!$N$2:$N$406,""),IF(N(_xlpm.t)=0,"",_xlpm.t))</f>
        <v/>
      </c>
    </row>
    <row r="351" spans="1:14" x14ac:dyDescent="0.2">
      <c r="A351" s="35" t="s">
        <v>220</v>
      </c>
      <c r="B351" s="36" t="str">
        <f t="array" ref="B351">_xlfn.XLOOKUP($A351,TRIM(SUBSTITUTE('worker file'!$A$2:$A$406,_xlfn.UNICHAR(160)," ")),'worker file'!$L$2:$L$406,"Not found")</f>
        <v>US Semi-monthly</v>
      </c>
      <c r="C351" s="36" t="str">
        <f t="array" ref="C351">_xlfn.XLOOKUP($A351,TRIM(SUBSTITUTE('worker file'!$A$2:$A$406,_xlfn.UNICHAR(160)," ")),'worker file'!$D$2:$D$406,"Not found")</f>
        <v>CA</v>
      </c>
      <c r="D351" s="36" t="str">
        <f t="array" ref="D351">_xlfn.XLOOKUP($A351,TRIM(SUBSTITUTE('worker file'!$A$2:$A$406,_xlfn.UNICHAR(160)," ")),'worker file'!$Q$2:$Q$406,"Not found")</f>
        <v>Active</v>
      </c>
      <c r="E351" s="35" t="s">
        <v>618</v>
      </c>
      <c r="F351" t="str">
        <f t="shared" si="39"/>
        <v>401(k) Employee Deferral</v>
      </c>
      <c r="G351" t="str">
        <f t="shared" si="40"/>
        <v>Pre-tax (exempt from FIT/SIT; subject to FICA)</v>
      </c>
      <c r="H351" t="str">
        <f t="shared" si="41"/>
        <v>Percent</v>
      </c>
      <c r="I351" s="37">
        <v>0.06</v>
      </c>
      <c r="J351" s="38" t="str">
        <f t="shared" si="42"/>
        <v/>
      </c>
      <c r="K351" t="str">
        <f t="shared" si="43"/>
        <v>Gross pay</v>
      </c>
      <c r="L351" t="str">
        <f t="shared" si="44"/>
        <v>Every pay period (ongoing)</v>
      </c>
      <c r="M351" s="39">
        <f t="array" ref="M351">MAX(_xlfn.XLOOKUP($A351,TRIM(SUBSTITUTE('worker file'!$A$2:$A$406,_xlfn.UNICHAR(160)," ")),'worker file'!$M$2:$M$406,0),_xlfn.XLOOKUP($B351,TRIM('pay group &amp; schedule'!$A$2:$A$6),'pay group &amp; schedule'!$D$2:$D$6,0))</f>
        <v>46311</v>
      </c>
      <c r="N351" s="39" t="str">
        <f t="array" ref="N351">_xlfn.LET(_xlpm.t,_xlfn.XLOOKUP($A351,TRIM(SUBSTITUTE('worker file'!$A$2:$A$406,_xlfn.UNICHAR(160)," ")),'worker file'!$N$2:$N$406,""),IF(N(_xlpm.t)=0,"",_xlpm.t))</f>
        <v/>
      </c>
    </row>
    <row r="352" spans="1:14" x14ac:dyDescent="0.2">
      <c r="A352" s="35" t="s">
        <v>220</v>
      </c>
      <c r="B352" s="36" t="str">
        <f t="array" ref="B352">_xlfn.XLOOKUP($A352,TRIM(SUBSTITUTE('worker file'!$A$2:$A$406,_xlfn.UNICHAR(160)," ")),'worker file'!$L$2:$L$406,"Not found")</f>
        <v>US Semi-monthly</v>
      </c>
      <c r="C352" s="36" t="str">
        <f t="array" ref="C352">_xlfn.XLOOKUP($A352,TRIM(SUBSTITUTE('worker file'!$A$2:$A$406,_xlfn.UNICHAR(160)," ")),'worker file'!$D$2:$D$406,"Not found")</f>
        <v>CA</v>
      </c>
      <c r="D352" s="36" t="str">
        <f t="array" ref="D352">_xlfn.XLOOKUP($A352,TRIM(SUBSTITUTE('worker file'!$A$2:$A$406,_xlfn.UNICHAR(160)," ")),'worker file'!$Q$2:$Q$406,"Not found")</f>
        <v>Active</v>
      </c>
      <c r="E352" s="35" t="s">
        <v>626</v>
      </c>
      <c r="F352" t="str">
        <f t="shared" si="39"/>
        <v>Medical (Health) – Employee</v>
      </c>
      <c r="G352" t="str">
        <f t="shared" si="40"/>
        <v>Pre-tax Section 125 (exempt from FIT/SIT/FICA)</v>
      </c>
      <c r="H352" t="str">
        <f t="shared" si="41"/>
        <v>Flat</v>
      </c>
      <c r="I352" s="40" t="str">
        <f>IF($H352="Percent",_xlfn.XLOOKUP($E352,$A$5:$A$8,$F$5:$F$8,""),"")</f>
        <v/>
      </c>
      <c r="J352" s="38">
        <f t="shared" si="42"/>
        <v>200</v>
      </c>
      <c r="K352" t="str">
        <f t="shared" si="43"/>
        <v>Per pay period</v>
      </c>
      <c r="L352" t="str">
        <f t="shared" si="44"/>
        <v>Every pay period (ongoing)</v>
      </c>
      <c r="M352" s="39">
        <f t="array" ref="M352">MAX(_xlfn.XLOOKUP($A352,TRIM(SUBSTITUTE('worker file'!$A$2:$A$406,_xlfn.UNICHAR(160)," ")),'worker file'!$M$2:$M$406,0),_xlfn.XLOOKUP($B352,TRIM('pay group &amp; schedule'!$A$2:$A$6),'pay group &amp; schedule'!$D$2:$D$6,0))</f>
        <v>46311</v>
      </c>
      <c r="N352" s="39" t="str">
        <f t="array" ref="N352">_xlfn.LET(_xlpm.t,_xlfn.XLOOKUP($A352,TRIM(SUBSTITUTE('worker file'!$A$2:$A$406,_xlfn.UNICHAR(160)," ")),'worker file'!$N$2:$N$406,""),IF(N(_xlpm.t)=0,"",_xlpm.t))</f>
        <v/>
      </c>
    </row>
    <row r="353" spans="1:14" x14ac:dyDescent="0.2">
      <c r="A353" s="35" t="s">
        <v>220</v>
      </c>
      <c r="B353" s="36" t="str">
        <f t="array" ref="B353">_xlfn.XLOOKUP($A353,TRIM(SUBSTITUTE('worker file'!$A$2:$A$406,_xlfn.UNICHAR(160)," ")),'worker file'!$L$2:$L$406,"Not found")</f>
        <v>US Semi-monthly</v>
      </c>
      <c r="C353" s="36" t="str">
        <f t="array" ref="C353">_xlfn.XLOOKUP($A353,TRIM(SUBSTITUTE('worker file'!$A$2:$A$406,_xlfn.UNICHAR(160)," ")),'worker file'!$D$2:$D$406,"Not found")</f>
        <v>CA</v>
      </c>
      <c r="D353" s="36" t="str">
        <f t="array" ref="D353">_xlfn.XLOOKUP($A353,TRIM(SUBSTITUTE('worker file'!$A$2:$A$406,_xlfn.UNICHAR(160)," ")),'worker file'!$Q$2:$Q$406,"Not found")</f>
        <v>Active</v>
      </c>
      <c r="E353" s="35" t="s">
        <v>632</v>
      </c>
      <c r="F353" t="str">
        <f t="shared" si="39"/>
        <v>Dental – Employee</v>
      </c>
      <c r="G353" t="str">
        <f t="shared" si="40"/>
        <v>Pre-tax Section 125 (exempt from FIT/SIT/FICA)</v>
      </c>
      <c r="H353" t="str">
        <f t="shared" si="41"/>
        <v>Flat</v>
      </c>
      <c r="I353" s="40" t="str">
        <f>IF($H353="Percent",_xlfn.XLOOKUP($E353,$A$5:$A$8,$F$5:$F$8,""),"")</f>
        <v/>
      </c>
      <c r="J353" s="38">
        <f t="shared" si="42"/>
        <v>44</v>
      </c>
      <c r="K353" t="str">
        <f t="shared" si="43"/>
        <v>Per pay period</v>
      </c>
      <c r="L353" t="str">
        <f t="shared" si="44"/>
        <v>Every pay period (ongoing)</v>
      </c>
      <c r="M353" s="39">
        <f t="array" ref="M353">MAX(_xlfn.XLOOKUP($A353,TRIM(SUBSTITUTE('worker file'!$A$2:$A$406,_xlfn.UNICHAR(160)," ")),'worker file'!$M$2:$M$406,0),_xlfn.XLOOKUP($B353,TRIM('pay group &amp; schedule'!$A$2:$A$6),'pay group &amp; schedule'!$D$2:$D$6,0))</f>
        <v>46311</v>
      </c>
      <c r="N353" s="39" t="str">
        <f t="array" ref="N353">_xlfn.LET(_xlpm.t,_xlfn.XLOOKUP($A353,TRIM(SUBSTITUTE('worker file'!$A$2:$A$406,_xlfn.UNICHAR(160)," ")),'worker file'!$N$2:$N$406,""),IF(N(_xlpm.t)=0,"",_xlpm.t))</f>
        <v/>
      </c>
    </row>
    <row r="354" spans="1:14" x14ac:dyDescent="0.2">
      <c r="A354" s="35" t="s">
        <v>220</v>
      </c>
      <c r="B354" s="36" t="str">
        <f t="array" ref="B354">_xlfn.XLOOKUP($A354,TRIM(SUBSTITUTE('worker file'!$A$2:$A$406,_xlfn.UNICHAR(160)," ")),'worker file'!$L$2:$L$406,"Not found")</f>
        <v>US Semi-monthly</v>
      </c>
      <c r="C354" s="36" t="str">
        <f t="array" ref="C354">_xlfn.XLOOKUP($A354,TRIM(SUBSTITUTE('worker file'!$A$2:$A$406,_xlfn.UNICHAR(160)," ")),'worker file'!$D$2:$D$406,"Not found")</f>
        <v>CA</v>
      </c>
      <c r="D354" s="36" t="str">
        <f t="array" ref="D354">_xlfn.XLOOKUP($A354,TRIM(SUBSTITUTE('worker file'!$A$2:$A$406,_xlfn.UNICHAR(160)," ")),'worker file'!$Q$2:$Q$406,"Not found")</f>
        <v>Active</v>
      </c>
      <c r="E354" s="35" t="s">
        <v>634</v>
      </c>
      <c r="F354" t="str">
        <f t="shared" si="39"/>
        <v>Vision – Employee</v>
      </c>
      <c r="G354" t="str">
        <f t="shared" si="40"/>
        <v>Pre-tax Section 125 (exempt from FIT/SIT/FICA)</v>
      </c>
      <c r="H354" t="str">
        <f t="shared" si="41"/>
        <v>Flat</v>
      </c>
      <c r="I354" s="40" t="str">
        <f>IF($H354="Percent",_xlfn.XLOOKUP($E354,$A$5:$A$8,$F$5:$F$8,""),"")</f>
        <v/>
      </c>
      <c r="J354" s="38">
        <f t="shared" si="42"/>
        <v>30</v>
      </c>
      <c r="K354" t="str">
        <f t="shared" si="43"/>
        <v>Per pay period</v>
      </c>
      <c r="L354" t="str">
        <f t="shared" si="44"/>
        <v>Every pay period (ongoing)</v>
      </c>
      <c r="M354" s="39">
        <f t="array" ref="M354">MAX(_xlfn.XLOOKUP($A354,TRIM(SUBSTITUTE('worker file'!$A$2:$A$406,_xlfn.UNICHAR(160)," ")),'worker file'!$M$2:$M$406,0),_xlfn.XLOOKUP($B354,TRIM('pay group &amp; schedule'!$A$2:$A$6),'pay group &amp; schedule'!$D$2:$D$6,0))</f>
        <v>46311</v>
      </c>
      <c r="N354" s="39" t="str">
        <f t="array" ref="N354">_xlfn.LET(_xlpm.t,_xlfn.XLOOKUP($A354,TRIM(SUBSTITUTE('worker file'!$A$2:$A$406,_xlfn.UNICHAR(160)," ")),'worker file'!$N$2:$N$406,""),IF(N(_xlpm.t)=0,"",_xlpm.t))</f>
        <v/>
      </c>
    </row>
    <row r="355" spans="1:14" x14ac:dyDescent="0.2">
      <c r="A355" s="35" t="s">
        <v>222</v>
      </c>
      <c r="B355" s="36" t="str">
        <f t="array" ref="B355">_xlfn.XLOOKUP($A355,TRIM(SUBSTITUTE('worker file'!$A$2:$A$406,_xlfn.UNICHAR(160)," ")),'worker file'!$L$2:$L$406,"Not found")</f>
        <v>US Semi-monthly</v>
      </c>
      <c r="C355" s="36" t="str">
        <f t="array" ref="C355">_xlfn.XLOOKUP($A355,TRIM(SUBSTITUTE('worker file'!$A$2:$A$406,_xlfn.UNICHAR(160)," ")),'worker file'!$D$2:$D$406,"Not found")</f>
        <v>MA</v>
      </c>
      <c r="D355" s="36" t="str">
        <f t="array" ref="D355">_xlfn.XLOOKUP($A355,TRIM(SUBSTITUTE('worker file'!$A$2:$A$406,_xlfn.UNICHAR(160)," ")),'worker file'!$Q$2:$Q$406,"Not found")</f>
        <v>Active</v>
      </c>
      <c r="E355" s="35" t="s">
        <v>618</v>
      </c>
      <c r="F355" t="str">
        <f t="shared" si="39"/>
        <v>401(k) Employee Deferral</v>
      </c>
      <c r="G355" t="str">
        <f t="shared" si="40"/>
        <v>Pre-tax (exempt from FIT/SIT; subject to FICA)</v>
      </c>
      <c r="H355" t="str">
        <f t="shared" si="41"/>
        <v>Percent</v>
      </c>
      <c r="I355" s="37">
        <v>0.03</v>
      </c>
      <c r="J355" s="38" t="str">
        <f t="shared" si="42"/>
        <v/>
      </c>
      <c r="K355" t="str">
        <f t="shared" si="43"/>
        <v>Gross pay</v>
      </c>
      <c r="L355" t="str">
        <f t="shared" si="44"/>
        <v>Every pay period (ongoing)</v>
      </c>
      <c r="M355" s="39">
        <f t="array" ref="M355">MAX(_xlfn.XLOOKUP($A355,TRIM(SUBSTITUTE('worker file'!$A$2:$A$406,_xlfn.UNICHAR(160)," ")),'worker file'!$M$2:$M$406,0),_xlfn.XLOOKUP($B355,TRIM('pay group &amp; schedule'!$A$2:$A$6),'pay group &amp; schedule'!$D$2:$D$6,0))</f>
        <v>46311</v>
      </c>
      <c r="N355" s="39" t="str">
        <f t="array" ref="N355">_xlfn.LET(_xlpm.t,_xlfn.XLOOKUP($A355,TRIM(SUBSTITUTE('worker file'!$A$2:$A$406,_xlfn.UNICHAR(160)," ")),'worker file'!$N$2:$N$406,""),IF(N(_xlpm.t)=0,"",_xlpm.t))</f>
        <v/>
      </c>
    </row>
    <row r="356" spans="1:14" x14ac:dyDescent="0.2">
      <c r="A356" s="35" t="s">
        <v>222</v>
      </c>
      <c r="B356" s="36" t="str">
        <f t="array" ref="B356">_xlfn.XLOOKUP($A356,TRIM(SUBSTITUTE('worker file'!$A$2:$A$406,_xlfn.UNICHAR(160)," ")),'worker file'!$L$2:$L$406,"Not found")</f>
        <v>US Semi-monthly</v>
      </c>
      <c r="C356" s="36" t="str">
        <f t="array" ref="C356">_xlfn.XLOOKUP($A356,TRIM(SUBSTITUTE('worker file'!$A$2:$A$406,_xlfn.UNICHAR(160)," ")),'worker file'!$D$2:$D$406,"Not found")</f>
        <v>MA</v>
      </c>
      <c r="D356" s="36" t="str">
        <f t="array" ref="D356">_xlfn.XLOOKUP($A356,TRIM(SUBSTITUTE('worker file'!$A$2:$A$406,_xlfn.UNICHAR(160)," ")),'worker file'!$Q$2:$Q$406,"Not found")</f>
        <v>Active</v>
      </c>
      <c r="E356" s="35" t="s">
        <v>626</v>
      </c>
      <c r="F356" t="str">
        <f t="shared" si="39"/>
        <v>Medical (Health) – Employee</v>
      </c>
      <c r="G356" t="str">
        <f t="shared" si="40"/>
        <v>Pre-tax Section 125 (exempt from FIT/SIT/FICA)</v>
      </c>
      <c r="H356" t="str">
        <f t="shared" si="41"/>
        <v>Flat</v>
      </c>
      <c r="I356" s="40" t="str">
        <f>IF($H356="Percent",_xlfn.XLOOKUP($E356,$A$5:$A$8,$F$5:$F$8,""),"")</f>
        <v/>
      </c>
      <c r="J356" s="38">
        <f t="shared" si="42"/>
        <v>200</v>
      </c>
      <c r="K356" t="str">
        <f t="shared" si="43"/>
        <v>Per pay period</v>
      </c>
      <c r="L356" t="str">
        <f t="shared" si="44"/>
        <v>Every pay period (ongoing)</v>
      </c>
      <c r="M356" s="39">
        <f t="array" ref="M356">MAX(_xlfn.XLOOKUP($A356,TRIM(SUBSTITUTE('worker file'!$A$2:$A$406,_xlfn.UNICHAR(160)," ")),'worker file'!$M$2:$M$406,0),_xlfn.XLOOKUP($B356,TRIM('pay group &amp; schedule'!$A$2:$A$6),'pay group &amp; schedule'!$D$2:$D$6,0))</f>
        <v>46311</v>
      </c>
      <c r="N356" s="39" t="str">
        <f t="array" ref="N356">_xlfn.LET(_xlpm.t,_xlfn.XLOOKUP($A356,TRIM(SUBSTITUTE('worker file'!$A$2:$A$406,_xlfn.UNICHAR(160)," ")),'worker file'!$N$2:$N$406,""),IF(N(_xlpm.t)=0,"",_xlpm.t))</f>
        <v/>
      </c>
    </row>
    <row r="357" spans="1:14" x14ac:dyDescent="0.2">
      <c r="A357" s="35" t="s">
        <v>222</v>
      </c>
      <c r="B357" s="36" t="str">
        <f t="array" ref="B357">_xlfn.XLOOKUP($A357,TRIM(SUBSTITUTE('worker file'!$A$2:$A$406,_xlfn.UNICHAR(160)," ")),'worker file'!$L$2:$L$406,"Not found")</f>
        <v>US Semi-monthly</v>
      </c>
      <c r="C357" s="36" t="str">
        <f t="array" ref="C357">_xlfn.XLOOKUP($A357,TRIM(SUBSTITUTE('worker file'!$A$2:$A$406,_xlfn.UNICHAR(160)," ")),'worker file'!$D$2:$D$406,"Not found")</f>
        <v>MA</v>
      </c>
      <c r="D357" s="36" t="str">
        <f t="array" ref="D357">_xlfn.XLOOKUP($A357,TRIM(SUBSTITUTE('worker file'!$A$2:$A$406,_xlfn.UNICHAR(160)," ")),'worker file'!$Q$2:$Q$406,"Not found")</f>
        <v>Active</v>
      </c>
      <c r="E357" s="35" t="s">
        <v>632</v>
      </c>
      <c r="F357" t="str">
        <f t="shared" si="39"/>
        <v>Dental – Employee</v>
      </c>
      <c r="G357" t="str">
        <f t="shared" si="40"/>
        <v>Pre-tax Section 125 (exempt from FIT/SIT/FICA)</v>
      </c>
      <c r="H357" t="str">
        <f t="shared" si="41"/>
        <v>Flat</v>
      </c>
      <c r="I357" s="40" t="str">
        <f>IF($H357="Percent",_xlfn.XLOOKUP($E357,$A$5:$A$8,$F$5:$F$8,""),"")</f>
        <v/>
      </c>
      <c r="J357" s="38">
        <f t="shared" si="42"/>
        <v>44</v>
      </c>
      <c r="K357" t="str">
        <f t="shared" si="43"/>
        <v>Per pay period</v>
      </c>
      <c r="L357" t="str">
        <f t="shared" si="44"/>
        <v>Every pay period (ongoing)</v>
      </c>
      <c r="M357" s="39">
        <f t="array" ref="M357">MAX(_xlfn.XLOOKUP($A357,TRIM(SUBSTITUTE('worker file'!$A$2:$A$406,_xlfn.UNICHAR(160)," ")),'worker file'!$M$2:$M$406,0),_xlfn.XLOOKUP($B357,TRIM('pay group &amp; schedule'!$A$2:$A$6),'pay group &amp; schedule'!$D$2:$D$6,0))</f>
        <v>46311</v>
      </c>
      <c r="N357" s="39" t="str">
        <f t="array" ref="N357">_xlfn.LET(_xlpm.t,_xlfn.XLOOKUP($A357,TRIM(SUBSTITUTE('worker file'!$A$2:$A$406,_xlfn.UNICHAR(160)," ")),'worker file'!$N$2:$N$406,""),IF(N(_xlpm.t)=0,"",_xlpm.t))</f>
        <v/>
      </c>
    </row>
    <row r="358" spans="1:14" x14ac:dyDescent="0.2">
      <c r="A358" s="35" t="s">
        <v>222</v>
      </c>
      <c r="B358" s="36" t="str">
        <f t="array" ref="B358">_xlfn.XLOOKUP($A358,TRIM(SUBSTITUTE('worker file'!$A$2:$A$406,_xlfn.UNICHAR(160)," ")),'worker file'!$L$2:$L$406,"Not found")</f>
        <v>US Semi-monthly</v>
      </c>
      <c r="C358" s="36" t="str">
        <f t="array" ref="C358">_xlfn.XLOOKUP($A358,TRIM(SUBSTITUTE('worker file'!$A$2:$A$406,_xlfn.UNICHAR(160)," ")),'worker file'!$D$2:$D$406,"Not found")</f>
        <v>MA</v>
      </c>
      <c r="D358" s="36" t="str">
        <f t="array" ref="D358">_xlfn.XLOOKUP($A358,TRIM(SUBSTITUTE('worker file'!$A$2:$A$406,_xlfn.UNICHAR(160)," ")),'worker file'!$Q$2:$Q$406,"Not found")</f>
        <v>Active</v>
      </c>
      <c r="E358" s="35" t="s">
        <v>634</v>
      </c>
      <c r="F358" t="str">
        <f t="shared" si="39"/>
        <v>Vision – Employee</v>
      </c>
      <c r="G358" t="str">
        <f t="shared" si="40"/>
        <v>Pre-tax Section 125 (exempt from FIT/SIT/FICA)</v>
      </c>
      <c r="H358" t="str">
        <f t="shared" si="41"/>
        <v>Flat</v>
      </c>
      <c r="I358" s="40" t="str">
        <f>IF($H358="Percent",_xlfn.XLOOKUP($E358,$A$5:$A$8,$F$5:$F$8,""),"")</f>
        <v/>
      </c>
      <c r="J358" s="38">
        <f t="shared" si="42"/>
        <v>30</v>
      </c>
      <c r="K358" t="str">
        <f t="shared" si="43"/>
        <v>Per pay period</v>
      </c>
      <c r="L358" t="str">
        <f t="shared" si="44"/>
        <v>Every pay period (ongoing)</v>
      </c>
      <c r="M358" s="39">
        <f t="array" ref="M358">MAX(_xlfn.XLOOKUP($A358,TRIM(SUBSTITUTE('worker file'!$A$2:$A$406,_xlfn.UNICHAR(160)," ")),'worker file'!$M$2:$M$406,0),_xlfn.XLOOKUP($B358,TRIM('pay group &amp; schedule'!$A$2:$A$6),'pay group &amp; schedule'!$D$2:$D$6,0))</f>
        <v>46311</v>
      </c>
      <c r="N358" s="39" t="str">
        <f t="array" ref="N358">_xlfn.LET(_xlpm.t,_xlfn.XLOOKUP($A358,TRIM(SUBSTITUTE('worker file'!$A$2:$A$406,_xlfn.UNICHAR(160)," ")),'worker file'!$N$2:$N$406,""),IF(N(_xlpm.t)=0,"",_xlpm.t))</f>
        <v/>
      </c>
    </row>
    <row r="359" spans="1:14" x14ac:dyDescent="0.2">
      <c r="A359" s="35" t="s">
        <v>226</v>
      </c>
      <c r="B359" s="36" t="str">
        <f t="array" ref="B359">_xlfn.XLOOKUP($A359,TRIM(SUBSTITUTE('worker file'!$A$2:$A$406,_xlfn.UNICHAR(160)," ")),'worker file'!$L$2:$L$406,"Not found")</f>
        <v>US Semi-monthly</v>
      </c>
      <c r="C359" s="36" t="str">
        <f t="array" ref="C359">_xlfn.XLOOKUP($A359,TRIM(SUBSTITUTE('worker file'!$A$2:$A$406,_xlfn.UNICHAR(160)," ")),'worker file'!$D$2:$D$406,"Not found")</f>
        <v>WA</v>
      </c>
      <c r="D359" s="36" t="str">
        <f t="array" ref="D359">_xlfn.XLOOKUP($A359,TRIM(SUBSTITUTE('worker file'!$A$2:$A$406,_xlfn.UNICHAR(160)," ")),'worker file'!$Q$2:$Q$406,"Not found")</f>
        <v>Active</v>
      </c>
      <c r="E359" s="35" t="s">
        <v>618</v>
      </c>
      <c r="F359" t="str">
        <f t="shared" si="39"/>
        <v>401(k) Employee Deferral</v>
      </c>
      <c r="G359" t="str">
        <f t="shared" si="40"/>
        <v>Pre-tax (exempt from FIT/SIT; subject to FICA)</v>
      </c>
      <c r="H359" t="str">
        <f t="shared" si="41"/>
        <v>Percent</v>
      </c>
      <c r="I359" s="37">
        <v>0</v>
      </c>
      <c r="J359" s="38" t="str">
        <f t="shared" si="42"/>
        <v/>
      </c>
      <c r="K359" t="str">
        <f t="shared" si="43"/>
        <v>Gross pay</v>
      </c>
      <c r="L359" t="str">
        <f t="shared" si="44"/>
        <v>Every pay period (ongoing)</v>
      </c>
      <c r="M359" s="39">
        <f t="array" ref="M359">MAX(_xlfn.XLOOKUP($A359,TRIM(SUBSTITUTE('worker file'!$A$2:$A$406,_xlfn.UNICHAR(160)," ")),'worker file'!$M$2:$M$406,0),_xlfn.XLOOKUP($B359,TRIM('pay group &amp; schedule'!$A$2:$A$6),'pay group &amp; schedule'!$D$2:$D$6,0))</f>
        <v>46311</v>
      </c>
      <c r="N359" s="39" t="str">
        <f t="array" ref="N359">_xlfn.LET(_xlpm.t,_xlfn.XLOOKUP($A359,TRIM(SUBSTITUTE('worker file'!$A$2:$A$406,_xlfn.UNICHAR(160)," ")),'worker file'!$N$2:$N$406,""),IF(N(_xlpm.t)=0,"",_xlpm.t))</f>
        <v/>
      </c>
    </row>
    <row r="360" spans="1:14" x14ac:dyDescent="0.2">
      <c r="A360" s="35" t="s">
        <v>226</v>
      </c>
      <c r="B360" s="36" t="str">
        <f t="array" ref="B360">_xlfn.XLOOKUP($A360,TRIM(SUBSTITUTE('worker file'!$A$2:$A$406,_xlfn.UNICHAR(160)," ")),'worker file'!$L$2:$L$406,"Not found")</f>
        <v>US Semi-monthly</v>
      </c>
      <c r="C360" s="36" t="str">
        <f t="array" ref="C360">_xlfn.XLOOKUP($A360,TRIM(SUBSTITUTE('worker file'!$A$2:$A$406,_xlfn.UNICHAR(160)," ")),'worker file'!$D$2:$D$406,"Not found")</f>
        <v>WA</v>
      </c>
      <c r="D360" s="36" t="str">
        <f t="array" ref="D360">_xlfn.XLOOKUP($A360,TRIM(SUBSTITUTE('worker file'!$A$2:$A$406,_xlfn.UNICHAR(160)," ")),'worker file'!$Q$2:$Q$406,"Not found")</f>
        <v>Active</v>
      </c>
      <c r="E360" s="35" t="s">
        <v>626</v>
      </c>
      <c r="F360" t="str">
        <f t="shared" si="39"/>
        <v>Medical (Health) – Employee</v>
      </c>
      <c r="G360" t="str">
        <f t="shared" si="40"/>
        <v>Pre-tax Section 125 (exempt from FIT/SIT/FICA)</v>
      </c>
      <c r="H360" t="str">
        <f t="shared" si="41"/>
        <v>Flat</v>
      </c>
      <c r="I360" s="40" t="str">
        <f>IF($H360="Percent",_xlfn.XLOOKUP($E360,$A$5:$A$8,$F$5:$F$8,""),"")</f>
        <v/>
      </c>
      <c r="J360" s="38">
        <f t="shared" si="42"/>
        <v>200</v>
      </c>
      <c r="K360" t="str">
        <f t="shared" si="43"/>
        <v>Per pay period</v>
      </c>
      <c r="L360" t="str">
        <f t="shared" si="44"/>
        <v>Every pay period (ongoing)</v>
      </c>
      <c r="M360" s="39">
        <f t="array" ref="M360">MAX(_xlfn.XLOOKUP($A360,TRIM(SUBSTITUTE('worker file'!$A$2:$A$406,_xlfn.UNICHAR(160)," ")),'worker file'!$M$2:$M$406,0),_xlfn.XLOOKUP($B360,TRIM('pay group &amp; schedule'!$A$2:$A$6),'pay group &amp; schedule'!$D$2:$D$6,0))</f>
        <v>46311</v>
      </c>
      <c r="N360" s="39" t="str">
        <f t="array" ref="N360">_xlfn.LET(_xlpm.t,_xlfn.XLOOKUP($A360,TRIM(SUBSTITUTE('worker file'!$A$2:$A$406,_xlfn.UNICHAR(160)," ")),'worker file'!$N$2:$N$406,""),IF(N(_xlpm.t)=0,"",_xlpm.t))</f>
        <v/>
      </c>
    </row>
    <row r="361" spans="1:14" x14ac:dyDescent="0.2">
      <c r="A361" s="35" t="s">
        <v>226</v>
      </c>
      <c r="B361" s="36" t="str">
        <f t="array" ref="B361">_xlfn.XLOOKUP($A361,TRIM(SUBSTITUTE('worker file'!$A$2:$A$406,_xlfn.UNICHAR(160)," ")),'worker file'!$L$2:$L$406,"Not found")</f>
        <v>US Semi-monthly</v>
      </c>
      <c r="C361" s="36" t="str">
        <f t="array" ref="C361">_xlfn.XLOOKUP($A361,TRIM(SUBSTITUTE('worker file'!$A$2:$A$406,_xlfn.UNICHAR(160)," ")),'worker file'!$D$2:$D$406,"Not found")</f>
        <v>WA</v>
      </c>
      <c r="D361" s="36" t="str">
        <f t="array" ref="D361">_xlfn.XLOOKUP($A361,TRIM(SUBSTITUTE('worker file'!$A$2:$A$406,_xlfn.UNICHAR(160)," ")),'worker file'!$Q$2:$Q$406,"Not found")</f>
        <v>Active</v>
      </c>
      <c r="E361" s="35" t="s">
        <v>632</v>
      </c>
      <c r="F361" t="str">
        <f t="shared" si="39"/>
        <v>Dental – Employee</v>
      </c>
      <c r="G361" t="str">
        <f t="shared" si="40"/>
        <v>Pre-tax Section 125 (exempt from FIT/SIT/FICA)</v>
      </c>
      <c r="H361" t="str">
        <f t="shared" si="41"/>
        <v>Flat</v>
      </c>
      <c r="I361" s="40" t="str">
        <f>IF($H361="Percent",_xlfn.XLOOKUP($E361,$A$5:$A$8,$F$5:$F$8,""),"")</f>
        <v/>
      </c>
      <c r="J361" s="38">
        <f t="shared" si="42"/>
        <v>44</v>
      </c>
      <c r="K361" t="str">
        <f t="shared" si="43"/>
        <v>Per pay period</v>
      </c>
      <c r="L361" t="str">
        <f t="shared" si="44"/>
        <v>Every pay period (ongoing)</v>
      </c>
      <c r="M361" s="39">
        <f t="array" ref="M361">MAX(_xlfn.XLOOKUP($A361,TRIM(SUBSTITUTE('worker file'!$A$2:$A$406,_xlfn.UNICHAR(160)," ")),'worker file'!$M$2:$M$406,0),_xlfn.XLOOKUP($B361,TRIM('pay group &amp; schedule'!$A$2:$A$6),'pay group &amp; schedule'!$D$2:$D$6,0))</f>
        <v>46311</v>
      </c>
      <c r="N361" s="39" t="str">
        <f t="array" ref="N361">_xlfn.LET(_xlpm.t,_xlfn.XLOOKUP($A361,TRIM(SUBSTITUTE('worker file'!$A$2:$A$406,_xlfn.UNICHAR(160)," ")),'worker file'!$N$2:$N$406,""),IF(N(_xlpm.t)=0,"",_xlpm.t))</f>
        <v/>
      </c>
    </row>
    <row r="362" spans="1:14" x14ac:dyDescent="0.2">
      <c r="A362" s="35" t="s">
        <v>226</v>
      </c>
      <c r="B362" s="36" t="str">
        <f t="array" ref="B362">_xlfn.XLOOKUP($A362,TRIM(SUBSTITUTE('worker file'!$A$2:$A$406,_xlfn.UNICHAR(160)," ")),'worker file'!$L$2:$L$406,"Not found")</f>
        <v>US Semi-monthly</v>
      </c>
      <c r="C362" s="36" t="str">
        <f t="array" ref="C362">_xlfn.XLOOKUP($A362,TRIM(SUBSTITUTE('worker file'!$A$2:$A$406,_xlfn.UNICHAR(160)," ")),'worker file'!$D$2:$D$406,"Not found")</f>
        <v>WA</v>
      </c>
      <c r="D362" s="36" t="str">
        <f t="array" ref="D362">_xlfn.XLOOKUP($A362,TRIM(SUBSTITUTE('worker file'!$A$2:$A$406,_xlfn.UNICHAR(160)," ")),'worker file'!$Q$2:$Q$406,"Not found")</f>
        <v>Active</v>
      </c>
      <c r="E362" s="35" t="s">
        <v>634</v>
      </c>
      <c r="F362" t="str">
        <f t="shared" si="39"/>
        <v>Vision – Employee</v>
      </c>
      <c r="G362" t="str">
        <f t="shared" si="40"/>
        <v>Pre-tax Section 125 (exempt from FIT/SIT/FICA)</v>
      </c>
      <c r="H362" t="str">
        <f t="shared" si="41"/>
        <v>Flat</v>
      </c>
      <c r="I362" s="40" t="str">
        <f>IF($H362="Percent",_xlfn.XLOOKUP($E362,$A$5:$A$8,$F$5:$F$8,""),"")</f>
        <v/>
      </c>
      <c r="J362" s="38">
        <f t="shared" si="42"/>
        <v>30</v>
      </c>
      <c r="K362" t="str">
        <f t="shared" si="43"/>
        <v>Per pay period</v>
      </c>
      <c r="L362" t="str">
        <f t="shared" si="44"/>
        <v>Every pay period (ongoing)</v>
      </c>
      <c r="M362" s="39">
        <f t="array" ref="M362">MAX(_xlfn.XLOOKUP($A362,TRIM(SUBSTITUTE('worker file'!$A$2:$A$406,_xlfn.UNICHAR(160)," ")),'worker file'!$M$2:$M$406,0),_xlfn.XLOOKUP($B362,TRIM('pay group &amp; schedule'!$A$2:$A$6),'pay group &amp; schedule'!$D$2:$D$6,0))</f>
        <v>46311</v>
      </c>
      <c r="N362" s="39" t="str">
        <f t="array" ref="N362">_xlfn.LET(_xlpm.t,_xlfn.XLOOKUP($A362,TRIM(SUBSTITUTE('worker file'!$A$2:$A$406,_xlfn.UNICHAR(160)," ")),'worker file'!$N$2:$N$406,""),IF(N(_xlpm.t)=0,"",_xlpm.t))</f>
        <v/>
      </c>
    </row>
    <row r="363" spans="1:14" x14ac:dyDescent="0.2">
      <c r="A363" s="35" t="s">
        <v>227</v>
      </c>
      <c r="B363" s="36" t="str">
        <f t="array" ref="B363">_xlfn.XLOOKUP($A363,TRIM(SUBSTITUTE('worker file'!$A$2:$A$406,_xlfn.UNICHAR(160)," ")),'worker file'!$L$2:$L$406,"Not found")</f>
        <v>US Semi-monthly</v>
      </c>
      <c r="C363" s="36" t="str">
        <f t="array" ref="C363">_xlfn.XLOOKUP($A363,TRIM(SUBSTITUTE('worker file'!$A$2:$A$406,_xlfn.UNICHAR(160)," ")),'worker file'!$D$2:$D$406,"Not found")</f>
        <v>CA</v>
      </c>
      <c r="D363" s="36" t="str">
        <f t="array" ref="D363">_xlfn.XLOOKUP($A363,TRIM(SUBSTITUTE('worker file'!$A$2:$A$406,_xlfn.UNICHAR(160)," ")),'worker file'!$Q$2:$Q$406,"Not found")</f>
        <v>Active</v>
      </c>
      <c r="E363" s="35" t="s">
        <v>618</v>
      </c>
      <c r="F363" t="str">
        <f t="shared" si="39"/>
        <v>401(k) Employee Deferral</v>
      </c>
      <c r="G363" t="str">
        <f t="shared" si="40"/>
        <v>Pre-tax (exempt from FIT/SIT; subject to FICA)</v>
      </c>
      <c r="H363" t="str">
        <f t="shared" si="41"/>
        <v>Percent</v>
      </c>
      <c r="I363" s="37">
        <v>0.05</v>
      </c>
      <c r="J363" s="38" t="str">
        <f t="shared" si="42"/>
        <v/>
      </c>
      <c r="K363" t="str">
        <f t="shared" si="43"/>
        <v>Gross pay</v>
      </c>
      <c r="L363" t="str">
        <f t="shared" si="44"/>
        <v>Every pay period (ongoing)</v>
      </c>
      <c r="M363" s="39">
        <f t="array" ref="M363">MAX(_xlfn.XLOOKUP($A363,TRIM(SUBSTITUTE('worker file'!$A$2:$A$406,_xlfn.UNICHAR(160)," ")),'worker file'!$M$2:$M$406,0),_xlfn.XLOOKUP($B363,TRIM('pay group &amp; schedule'!$A$2:$A$6),'pay group &amp; schedule'!$D$2:$D$6,0))</f>
        <v>46311</v>
      </c>
      <c r="N363" s="39" t="str">
        <f t="array" ref="N363">_xlfn.LET(_xlpm.t,_xlfn.XLOOKUP($A363,TRIM(SUBSTITUTE('worker file'!$A$2:$A$406,_xlfn.UNICHAR(160)," ")),'worker file'!$N$2:$N$406,""),IF(N(_xlpm.t)=0,"",_xlpm.t))</f>
        <v/>
      </c>
    </row>
    <row r="364" spans="1:14" x14ac:dyDescent="0.2">
      <c r="A364" s="35" t="s">
        <v>227</v>
      </c>
      <c r="B364" s="36" t="str">
        <f t="array" ref="B364">_xlfn.XLOOKUP($A364,TRIM(SUBSTITUTE('worker file'!$A$2:$A$406,_xlfn.UNICHAR(160)," ")),'worker file'!$L$2:$L$406,"Not found")</f>
        <v>US Semi-monthly</v>
      </c>
      <c r="C364" s="36" t="str">
        <f t="array" ref="C364">_xlfn.XLOOKUP($A364,TRIM(SUBSTITUTE('worker file'!$A$2:$A$406,_xlfn.UNICHAR(160)," ")),'worker file'!$D$2:$D$406,"Not found")</f>
        <v>CA</v>
      </c>
      <c r="D364" s="36" t="str">
        <f t="array" ref="D364">_xlfn.XLOOKUP($A364,TRIM(SUBSTITUTE('worker file'!$A$2:$A$406,_xlfn.UNICHAR(160)," ")),'worker file'!$Q$2:$Q$406,"Not found")</f>
        <v>Active</v>
      </c>
      <c r="E364" s="35" t="s">
        <v>626</v>
      </c>
      <c r="F364" t="str">
        <f t="shared" si="39"/>
        <v>Medical (Health) – Employee</v>
      </c>
      <c r="G364" t="str">
        <f t="shared" si="40"/>
        <v>Pre-tax Section 125 (exempt from FIT/SIT/FICA)</v>
      </c>
      <c r="H364" t="str">
        <f t="shared" si="41"/>
        <v>Flat</v>
      </c>
      <c r="I364" s="40" t="str">
        <f t="shared" ref="I364:I369" si="45">IF($H364="Percent",_xlfn.XLOOKUP($E364,$A$5:$A$8,$F$5:$F$8,""),"")</f>
        <v/>
      </c>
      <c r="J364" s="38">
        <f t="shared" si="42"/>
        <v>200</v>
      </c>
      <c r="K364" t="str">
        <f t="shared" si="43"/>
        <v>Per pay period</v>
      </c>
      <c r="L364" t="str">
        <f t="shared" si="44"/>
        <v>Every pay period (ongoing)</v>
      </c>
      <c r="M364" s="39">
        <f t="array" ref="M364">MAX(_xlfn.XLOOKUP($A364,TRIM(SUBSTITUTE('worker file'!$A$2:$A$406,_xlfn.UNICHAR(160)," ")),'worker file'!$M$2:$M$406,0),_xlfn.XLOOKUP($B364,TRIM('pay group &amp; schedule'!$A$2:$A$6),'pay group &amp; schedule'!$D$2:$D$6,0))</f>
        <v>46311</v>
      </c>
      <c r="N364" s="39" t="str">
        <f t="array" ref="N364">_xlfn.LET(_xlpm.t,_xlfn.XLOOKUP($A364,TRIM(SUBSTITUTE('worker file'!$A$2:$A$406,_xlfn.UNICHAR(160)," ")),'worker file'!$N$2:$N$406,""),IF(N(_xlpm.t)=0,"",_xlpm.t))</f>
        <v/>
      </c>
    </row>
    <row r="365" spans="1:14" x14ac:dyDescent="0.2">
      <c r="A365" s="35" t="s">
        <v>227</v>
      </c>
      <c r="B365" s="36" t="str">
        <f t="array" ref="B365">_xlfn.XLOOKUP($A365,TRIM(SUBSTITUTE('worker file'!$A$2:$A$406,_xlfn.UNICHAR(160)," ")),'worker file'!$L$2:$L$406,"Not found")</f>
        <v>US Semi-monthly</v>
      </c>
      <c r="C365" s="36" t="str">
        <f t="array" ref="C365">_xlfn.XLOOKUP($A365,TRIM(SUBSTITUTE('worker file'!$A$2:$A$406,_xlfn.UNICHAR(160)," ")),'worker file'!$D$2:$D$406,"Not found")</f>
        <v>CA</v>
      </c>
      <c r="D365" s="36" t="str">
        <f t="array" ref="D365">_xlfn.XLOOKUP($A365,TRIM(SUBSTITUTE('worker file'!$A$2:$A$406,_xlfn.UNICHAR(160)," ")),'worker file'!$Q$2:$Q$406,"Not found")</f>
        <v>Active</v>
      </c>
      <c r="E365" s="35" t="s">
        <v>632</v>
      </c>
      <c r="F365" t="str">
        <f t="shared" si="39"/>
        <v>Dental – Employee</v>
      </c>
      <c r="G365" t="str">
        <f t="shared" si="40"/>
        <v>Pre-tax Section 125 (exempt from FIT/SIT/FICA)</v>
      </c>
      <c r="H365" t="str">
        <f t="shared" si="41"/>
        <v>Flat</v>
      </c>
      <c r="I365" s="40" t="str">
        <f t="shared" si="45"/>
        <v/>
      </c>
      <c r="J365" s="38">
        <f t="shared" si="42"/>
        <v>44</v>
      </c>
      <c r="K365" t="str">
        <f t="shared" si="43"/>
        <v>Per pay period</v>
      </c>
      <c r="L365" t="str">
        <f t="shared" si="44"/>
        <v>Every pay period (ongoing)</v>
      </c>
      <c r="M365" s="39">
        <f t="array" ref="M365">MAX(_xlfn.XLOOKUP($A365,TRIM(SUBSTITUTE('worker file'!$A$2:$A$406,_xlfn.UNICHAR(160)," ")),'worker file'!$M$2:$M$406,0),_xlfn.XLOOKUP($B365,TRIM('pay group &amp; schedule'!$A$2:$A$6),'pay group &amp; schedule'!$D$2:$D$6,0))</f>
        <v>46311</v>
      </c>
      <c r="N365" s="39" t="str">
        <f t="array" ref="N365">_xlfn.LET(_xlpm.t,_xlfn.XLOOKUP($A365,TRIM(SUBSTITUTE('worker file'!$A$2:$A$406,_xlfn.UNICHAR(160)," ")),'worker file'!$N$2:$N$406,""),IF(N(_xlpm.t)=0,"",_xlpm.t))</f>
        <v/>
      </c>
    </row>
    <row r="366" spans="1:14" x14ac:dyDescent="0.2">
      <c r="A366" s="35" t="s">
        <v>227</v>
      </c>
      <c r="B366" s="36" t="str">
        <f t="array" ref="B366">_xlfn.XLOOKUP($A366,TRIM(SUBSTITUTE('worker file'!$A$2:$A$406,_xlfn.UNICHAR(160)," ")),'worker file'!$L$2:$L$406,"Not found")</f>
        <v>US Semi-monthly</v>
      </c>
      <c r="C366" s="36" t="str">
        <f t="array" ref="C366">_xlfn.XLOOKUP($A366,TRIM(SUBSTITUTE('worker file'!$A$2:$A$406,_xlfn.UNICHAR(160)," ")),'worker file'!$D$2:$D$406,"Not found")</f>
        <v>CA</v>
      </c>
      <c r="D366" s="36" t="str">
        <f t="array" ref="D366">_xlfn.XLOOKUP($A366,TRIM(SUBSTITUTE('worker file'!$A$2:$A$406,_xlfn.UNICHAR(160)," ")),'worker file'!$Q$2:$Q$406,"Not found")</f>
        <v>Active</v>
      </c>
      <c r="E366" s="35" t="s">
        <v>634</v>
      </c>
      <c r="F366" t="str">
        <f t="shared" si="39"/>
        <v>Vision – Employee</v>
      </c>
      <c r="G366" t="str">
        <f t="shared" si="40"/>
        <v>Pre-tax Section 125 (exempt from FIT/SIT/FICA)</v>
      </c>
      <c r="H366" t="str">
        <f t="shared" si="41"/>
        <v>Flat</v>
      </c>
      <c r="I366" s="40" t="str">
        <f t="shared" si="45"/>
        <v/>
      </c>
      <c r="J366" s="38">
        <f t="shared" si="42"/>
        <v>30</v>
      </c>
      <c r="K366" t="str">
        <f t="shared" si="43"/>
        <v>Per pay period</v>
      </c>
      <c r="L366" t="str">
        <f t="shared" si="44"/>
        <v>Every pay period (ongoing)</v>
      </c>
      <c r="M366" s="39">
        <f t="array" ref="M366">MAX(_xlfn.XLOOKUP($A366,TRIM(SUBSTITUTE('worker file'!$A$2:$A$406,_xlfn.UNICHAR(160)," ")),'worker file'!$M$2:$M$406,0),_xlfn.XLOOKUP($B366,TRIM('pay group &amp; schedule'!$A$2:$A$6),'pay group &amp; schedule'!$D$2:$D$6,0))</f>
        <v>46311</v>
      </c>
      <c r="N366" s="39" t="str">
        <f t="array" ref="N366">_xlfn.LET(_xlpm.t,_xlfn.XLOOKUP($A366,TRIM(SUBSTITUTE('worker file'!$A$2:$A$406,_xlfn.UNICHAR(160)," ")),'worker file'!$N$2:$N$406,""),IF(N(_xlpm.t)=0,"",_xlpm.t))</f>
        <v/>
      </c>
    </row>
    <row r="367" spans="1:14" x14ac:dyDescent="0.2">
      <c r="A367" s="35" t="s">
        <v>228</v>
      </c>
      <c r="B367" s="36" t="str">
        <f t="array" ref="B367">_xlfn.XLOOKUP($A367,TRIM(SUBSTITUTE('worker file'!$A$2:$A$406,_xlfn.UNICHAR(160)," ")),'worker file'!$L$2:$L$406,"Not found")</f>
        <v>US Semi-monthly</v>
      </c>
      <c r="C367" s="36" t="str">
        <f t="array" ref="C367">_xlfn.XLOOKUP($A367,TRIM(SUBSTITUTE('worker file'!$A$2:$A$406,_xlfn.UNICHAR(160)," ")),'worker file'!$D$2:$D$406,"Not found")</f>
        <v>WA</v>
      </c>
      <c r="D367" s="36" t="str">
        <f t="array" ref="D367">_xlfn.XLOOKUP($A367,TRIM(SUBSTITUTE('worker file'!$A$2:$A$406,_xlfn.UNICHAR(160)," ")),'worker file'!$Q$2:$Q$406,"Not found")</f>
        <v>Active</v>
      </c>
      <c r="E367" s="35" t="s">
        <v>626</v>
      </c>
      <c r="F367" t="str">
        <f t="shared" si="39"/>
        <v>Medical (Health) – Employee</v>
      </c>
      <c r="G367" t="str">
        <f t="shared" si="40"/>
        <v>Pre-tax Section 125 (exempt from FIT/SIT/FICA)</v>
      </c>
      <c r="H367" t="str">
        <f t="shared" si="41"/>
        <v>Flat</v>
      </c>
      <c r="I367" s="40" t="str">
        <f t="shared" si="45"/>
        <v/>
      </c>
      <c r="J367" s="38">
        <f t="shared" si="42"/>
        <v>200</v>
      </c>
      <c r="K367" t="str">
        <f t="shared" si="43"/>
        <v>Per pay period</v>
      </c>
      <c r="L367" t="str">
        <f t="shared" si="44"/>
        <v>Every pay period (ongoing)</v>
      </c>
      <c r="M367" s="39">
        <f t="array" ref="M367">MAX(_xlfn.XLOOKUP($A367,TRIM(SUBSTITUTE('worker file'!$A$2:$A$406,_xlfn.UNICHAR(160)," ")),'worker file'!$M$2:$M$406,0),_xlfn.XLOOKUP($B367,TRIM('pay group &amp; schedule'!$A$2:$A$6),'pay group &amp; schedule'!$D$2:$D$6,0))</f>
        <v>46311</v>
      </c>
      <c r="N367" s="39" t="str">
        <f t="array" ref="N367">_xlfn.LET(_xlpm.t,_xlfn.XLOOKUP($A367,TRIM(SUBSTITUTE('worker file'!$A$2:$A$406,_xlfn.UNICHAR(160)," ")),'worker file'!$N$2:$N$406,""),IF(N(_xlpm.t)=0,"",_xlpm.t))</f>
        <v/>
      </c>
    </row>
    <row r="368" spans="1:14" x14ac:dyDescent="0.2">
      <c r="A368" s="35" t="s">
        <v>228</v>
      </c>
      <c r="B368" s="36" t="str">
        <f t="array" ref="B368">_xlfn.XLOOKUP($A368,TRIM(SUBSTITUTE('worker file'!$A$2:$A$406,_xlfn.UNICHAR(160)," ")),'worker file'!$L$2:$L$406,"Not found")</f>
        <v>US Semi-monthly</v>
      </c>
      <c r="C368" s="36" t="str">
        <f t="array" ref="C368">_xlfn.XLOOKUP($A368,TRIM(SUBSTITUTE('worker file'!$A$2:$A$406,_xlfn.UNICHAR(160)," ")),'worker file'!$D$2:$D$406,"Not found")</f>
        <v>WA</v>
      </c>
      <c r="D368" s="36" t="str">
        <f t="array" ref="D368">_xlfn.XLOOKUP($A368,TRIM(SUBSTITUTE('worker file'!$A$2:$A$406,_xlfn.UNICHAR(160)," ")),'worker file'!$Q$2:$Q$406,"Not found")</f>
        <v>Active</v>
      </c>
      <c r="E368" s="35" t="s">
        <v>632</v>
      </c>
      <c r="F368" t="str">
        <f t="shared" si="39"/>
        <v>Dental – Employee</v>
      </c>
      <c r="G368" t="str">
        <f t="shared" si="40"/>
        <v>Pre-tax Section 125 (exempt from FIT/SIT/FICA)</v>
      </c>
      <c r="H368" t="str">
        <f t="shared" si="41"/>
        <v>Flat</v>
      </c>
      <c r="I368" s="40" t="str">
        <f t="shared" si="45"/>
        <v/>
      </c>
      <c r="J368" s="38">
        <f t="shared" si="42"/>
        <v>44</v>
      </c>
      <c r="K368" t="str">
        <f t="shared" si="43"/>
        <v>Per pay period</v>
      </c>
      <c r="L368" t="str">
        <f t="shared" si="44"/>
        <v>Every pay period (ongoing)</v>
      </c>
      <c r="M368" s="39">
        <f t="array" ref="M368">MAX(_xlfn.XLOOKUP($A368,TRIM(SUBSTITUTE('worker file'!$A$2:$A$406,_xlfn.UNICHAR(160)," ")),'worker file'!$M$2:$M$406,0),_xlfn.XLOOKUP($B368,TRIM('pay group &amp; schedule'!$A$2:$A$6),'pay group &amp; schedule'!$D$2:$D$6,0))</f>
        <v>46311</v>
      </c>
      <c r="N368" s="39" t="str">
        <f t="array" ref="N368">_xlfn.LET(_xlpm.t,_xlfn.XLOOKUP($A368,TRIM(SUBSTITUTE('worker file'!$A$2:$A$406,_xlfn.UNICHAR(160)," ")),'worker file'!$N$2:$N$406,""),IF(N(_xlpm.t)=0,"",_xlpm.t))</f>
        <v/>
      </c>
    </row>
    <row r="369" spans="1:14" x14ac:dyDescent="0.2">
      <c r="A369" s="35" t="s">
        <v>228</v>
      </c>
      <c r="B369" s="36" t="str">
        <f t="array" ref="B369">_xlfn.XLOOKUP($A369,TRIM(SUBSTITUTE('worker file'!$A$2:$A$406,_xlfn.UNICHAR(160)," ")),'worker file'!$L$2:$L$406,"Not found")</f>
        <v>US Semi-monthly</v>
      </c>
      <c r="C369" s="36" t="str">
        <f t="array" ref="C369">_xlfn.XLOOKUP($A369,TRIM(SUBSTITUTE('worker file'!$A$2:$A$406,_xlfn.UNICHAR(160)," ")),'worker file'!$D$2:$D$406,"Not found")</f>
        <v>WA</v>
      </c>
      <c r="D369" s="36" t="str">
        <f t="array" ref="D369">_xlfn.XLOOKUP($A369,TRIM(SUBSTITUTE('worker file'!$A$2:$A$406,_xlfn.UNICHAR(160)," ")),'worker file'!$Q$2:$Q$406,"Not found")</f>
        <v>Active</v>
      </c>
      <c r="E369" s="35" t="s">
        <v>634</v>
      </c>
      <c r="F369" t="str">
        <f t="shared" si="39"/>
        <v>Vision – Employee</v>
      </c>
      <c r="G369" t="str">
        <f t="shared" si="40"/>
        <v>Pre-tax Section 125 (exempt from FIT/SIT/FICA)</v>
      </c>
      <c r="H369" t="str">
        <f t="shared" si="41"/>
        <v>Flat</v>
      </c>
      <c r="I369" s="40" t="str">
        <f t="shared" si="45"/>
        <v/>
      </c>
      <c r="J369" s="38">
        <f t="shared" si="42"/>
        <v>30</v>
      </c>
      <c r="K369" t="str">
        <f t="shared" si="43"/>
        <v>Per pay period</v>
      </c>
      <c r="L369" t="str">
        <f t="shared" si="44"/>
        <v>Every pay period (ongoing)</v>
      </c>
      <c r="M369" s="39">
        <f t="array" ref="M369">MAX(_xlfn.XLOOKUP($A369,TRIM(SUBSTITUTE('worker file'!$A$2:$A$406,_xlfn.UNICHAR(160)," ")),'worker file'!$M$2:$M$406,0),_xlfn.XLOOKUP($B369,TRIM('pay group &amp; schedule'!$A$2:$A$6),'pay group &amp; schedule'!$D$2:$D$6,0))</f>
        <v>46311</v>
      </c>
      <c r="N369" s="39" t="str">
        <f t="array" ref="N369">_xlfn.LET(_xlpm.t,_xlfn.XLOOKUP($A369,TRIM(SUBSTITUTE('worker file'!$A$2:$A$406,_xlfn.UNICHAR(160)," ")),'worker file'!$N$2:$N$406,""),IF(N(_xlpm.t)=0,"",_xlpm.t))</f>
        <v/>
      </c>
    </row>
    <row r="370" spans="1:14" x14ac:dyDescent="0.2">
      <c r="A370" s="35" t="s">
        <v>229</v>
      </c>
      <c r="B370" s="36" t="str">
        <f t="array" ref="B370">_xlfn.XLOOKUP($A370,TRIM(SUBSTITUTE('worker file'!$A$2:$A$406,_xlfn.UNICHAR(160)," ")),'worker file'!$L$2:$L$406,"Not found")</f>
        <v>US Semi-monthly</v>
      </c>
      <c r="C370" s="36" t="str">
        <f t="array" ref="C370">_xlfn.XLOOKUP($A370,TRIM(SUBSTITUTE('worker file'!$A$2:$A$406,_xlfn.UNICHAR(160)," ")),'worker file'!$D$2:$D$406,"Not found")</f>
        <v>CA</v>
      </c>
      <c r="D370" s="36" t="str">
        <f t="array" ref="D370">_xlfn.XLOOKUP($A370,TRIM(SUBSTITUTE('worker file'!$A$2:$A$406,_xlfn.UNICHAR(160)," ")),'worker file'!$Q$2:$Q$406,"Not found")</f>
        <v>Active</v>
      </c>
      <c r="E370" s="35" t="s">
        <v>618</v>
      </c>
      <c r="F370" t="str">
        <f t="shared" si="39"/>
        <v>401(k) Employee Deferral</v>
      </c>
      <c r="G370" t="str">
        <f t="shared" si="40"/>
        <v>Pre-tax (exempt from FIT/SIT; subject to FICA)</v>
      </c>
      <c r="H370" t="str">
        <f t="shared" si="41"/>
        <v>Percent</v>
      </c>
      <c r="I370" s="37">
        <v>7.0000000000000007E-2</v>
      </c>
      <c r="J370" s="38" t="str">
        <f t="shared" si="42"/>
        <v/>
      </c>
      <c r="K370" t="str">
        <f t="shared" si="43"/>
        <v>Gross pay</v>
      </c>
      <c r="L370" t="str">
        <f t="shared" si="44"/>
        <v>Every pay period (ongoing)</v>
      </c>
      <c r="M370" s="39">
        <f t="array" ref="M370">MAX(_xlfn.XLOOKUP($A370,TRIM(SUBSTITUTE('worker file'!$A$2:$A$406,_xlfn.UNICHAR(160)," ")),'worker file'!$M$2:$M$406,0),_xlfn.XLOOKUP($B370,TRIM('pay group &amp; schedule'!$A$2:$A$6),'pay group &amp; schedule'!$D$2:$D$6,0))</f>
        <v>46311</v>
      </c>
      <c r="N370" s="39" t="str">
        <f t="array" ref="N370">_xlfn.LET(_xlpm.t,_xlfn.XLOOKUP($A370,TRIM(SUBSTITUTE('worker file'!$A$2:$A$406,_xlfn.UNICHAR(160)," ")),'worker file'!$N$2:$N$406,""),IF(N(_xlpm.t)=0,"",_xlpm.t))</f>
        <v/>
      </c>
    </row>
    <row r="371" spans="1:14" x14ac:dyDescent="0.2">
      <c r="A371" s="35" t="s">
        <v>229</v>
      </c>
      <c r="B371" s="36" t="str">
        <f t="array" ref="B371">_xlfn.XLOOKUP($A371,TRIM(SUBSTITUTE('worker file'!$A$2:$A$406,_xlfn.UNICHAR(160)," ")),'worker file'!$L$2:$L$406,"Not found")</f>
        <v>US Semi-monthly</v>
      </c>
      <c r="C371" s="36" t="str">
        <f t="array" ref="C371">_xlfn.XLOOKUP($A371,TRIM(SUBSTITUTE('worker file'!$A$2:$A$406,_xlfn.UNICHAR(160)," ")),'worker file'!$D$2:$D$406,"Not found")</f>
        <v>CA</v>
      </c>
      <c r="D371" s="36" t="str">
        <f t="array" ref="D371">_xlfn.XLOOKUP($A371,TRIM(SUBSTITUTE('worker file'!$A$2:$A$406,_xlfn.UNICHAR(160)," ")),'worker file'!$Q$2:$Q$406,"Not found")</f>
        <v>Active</v>
      </c>
      <c r="E371" s="35" t="s">
        <v>626</v>
      </c>
      <c r="F371" t="str">
        <f t="shared" si="39"/>
        <v>Medical (Health) – Employee</v>
      </c>
      <c r="G371" t="str">
        <f t="shared" si="40"/>
        <v>Pre-tax Section 125 (exempt from FIT/SIT/FICA)</v>
      </c>
      <c r="H371" t="str">
        <f t="shared" si="41"/>
        <v>Flat</v>
      </c>
      <c r="I371" s="40" t="str">
        <f>IF($H371="Percent",_xlfn.XLOOKUP($E371,$A$5:$A$8,$F$5:$F$8,""),"")</f>
        <v/>
      </c>
      <c r="J371" s="38">
        <f t="shared" si="42"/>
        <v>200</v>
      </c>
      <c r="K371" t="str">
        <f t="shared" si="43"/>
        <v>Per pay period</v>
      </c>
      <c r="L371" t="str">
        <f t="shared" si="44"/>
        <v>Every pay period (ongoing)</v>
      </c>
      <c r="M371" s="39">
        <f t="array" ref="M371">MAX(_xlfn.XLOOKUP($A371,TRIM(SUBSTITUTE('worker file'!$A$2:$A$406,_xlfn.UNICHAR(160)," ")),'worker file'!$M$2:$M$406,0),_xlfn.XLOOKUP($B371,TRIM('pay group &amp; schedule'!$A$2:$A$6),'pay group &amp; schedule'!$D$2:$D$6,0))</f>
        <v>46311</v>
      </c>
      <c r="N371" s="39" t="str">
        <f t="array" ref="N371">_xlfn.LET(_xlpm.t,_xlfn.XLOOKUP($A371,TRIM(SUBSTITUTE('worker file'!$A$2:$A$406,_xlfn.UNICHAR(160)," ")),'worker file'!$N$2:$N$406,""),IF(N(_xlpm.t)=0,"",_xlpm.t))</f>
        <v/>
      </c>
    </row>
    <row r="372" spans="1:14" x14ac:dyDescent="0.2">
      <c r="A372" s="35" t="s">
        <v>229</v>
      </c>
      <c r="B372" s="36" t="str">
        <f t="array" ref="B372">_xlfn.XLOOKUP($A372,TRIM(SUBSTITUTE('worker file'!$A$2:$A$406,_xlfn.UNICHAR(160)," ")),'worker file'!$L$2:$L$406,"Not found")</f>
        <v>US Semi-monthly</v>
      </c>
      <c r="C372" s="36" t="str">
        <f t="array" ref="C372">_xlfn.XLOOKUP($A372,TRIM(SUBSTITUTE('worker file'!$A$2:$A$406,_xlfn.UNICHAR(160)," ")),'worker file'!$D$2:$D$406,"Not found")</f>
        <v>CA</v>
      </c>
      <c r="D372" s="36" t="str">
        <f t="array" ref="D372">_xlfn.XLOOKUP($A372,TRIM(SUBSTITUTE('worker file'!$A$2:$A$406,_xlfn.UNICHAR(160)," ")),'worker file'!$Q$2:$Q$406,"Not found")</f>
        <v>Active</v>
      </c>
      <c r="E372" s="35" t="s">
        <v>632</v>
      </c>
      <c r="F372" t="str">
        <f t="shared" si="39"/>
        <v>Dental – Employee</v>
      </c>
      <c r="G372" t="str">
        <f t="shared" si="40"/>
        <v>Pre-tax Section 125 (exempt from FIT/SIT/FICA)</v>
      </c>
      <c r="H372" t="str">
        <f t="shared" si="41"/>
        <v>Flat</v>
      </c>
      <c r="I372" s="40" t="str">
        <f>IF($H372="Percent",_xlfn.XLOOKUP($E372,$A$5:$A$8,$F$5:$F$8,""),"")</f>
        <v/>
      </c>
      <c r="J372" s="38">
        <f t="shared" si="42"/>
        <v>44</v>
      </c>
      <c r="K372" t="str">
        <f t="shared" si="43"/>
        <v>Per pay period</v>
      </c>
      <c r="L372" t="str">
        <f t="shared" si="44"/>
        <v>Every pay period (ongoing)</v>
      </c>
      <c r="M372" s="39">
        <f t="array" ref="M372">MAX(_xlfn.XLOOKUP($A372,TRIM(SUBSTITUTE('worker file'!$A$2:$A$406,_xlfn.UNICHAR(160)," ")),'worker file'!$M$2:$M$406,0),_xlfn.XLOOKUP($B372,TRIM('pay group &amp; schedule'!$A$2:$A$6),'pay group &amp; schedule'!$D$2:$D$6,0))</f>
        <v>46311</v>
      </c>
      <c r="N372" s="39" t="str">
        <f t="array" ref="N372">_xlfn.LET(_xlpm.t,_xlfn.XLOOKUP($A372,TRIM(SUBSTITUTE('worker file'!$A$2:$A$406,_xlfn.UNICHAR(160)," ")),'worker file'!$N$2:$N$406,""),IF(N(_xlpm.t)=0,"",_xlpm.t))</f>
        <v/>
      </c>
    </row>
    <row r="373" spans="1:14" x14ac:dyDescent="0.2">
      <c r="A373" s="35" t="s">
        <v>229</v>
      </c>
      <c r="B373" s="36" t="str">
        <f t="array" ref="B373">_xlfn.XLOOKUP($A373,TRIM(SUBSTITUTE('worker file'!$A$2:$A$406,_xlfn.UNICHAR(160)," ")),'worker file'!$L$2:$L$406,"Not found")</f>
        <v>US Semi-monthly</v>
      </c>
      <c r="C373" s="36" t="str">
        <f t="array" ref="C373">_xlfn.XLOOKUP($A373,TRIM(SUBSTITUTE('worker file'!$A$2:$A$406,_xlfn.UNICHAR(160)," ")),'worker file'!$D$2:$D$406,"Not found")</f>
        <v>CA</v>
      </c>
      <c r="D373" s="36" t="str">
        <f t="array" ref="D373">_xlfn.XLOOKUP($A373,TRIM(SUBSTITUTE('worker file'!$A$2:$A$406,_xlfn.UNICHAR(160)," ")),'worker file'!$Q$2:$Q$406,"Not found")</f>
        <v>Active</v>
      </c>
      <c r="E373" s="35" t="s">
        <v>634</v>
      </c>
      <c r="F373" t="str">
        <f t="shared" si="39"/>
        <v>Vision – Employee</v>
      </c>
      <c r="G373" t="str">
        <f t="shared" si="40"/>
        <v>Pre-tax Section 125 (exempt from FIT/SIT/FICA)</v>
      </c>
      <c r="H373" t="str">
        <f t="shared" si="41"/>
        <v>Flat</v>
      </c>
      <c r="I373" s="40" t="str">
        <f>IF($H373="Percent",_xlfn.XLOOKUP($E373,$A$5:$A$8,$F$5:$F$8,""),"")</f>
        <v/>
      </c>
      <c r="J373" s="38">
        <f t="shared" si="42"/>
        <v>30</v>
      </c>
      <c r="K373" t="str">
        <f t="shared" si="43"/>
        <v>Per pay period</v>
      </c>
      <c r="L373" t="str">
        <f t="shared" si="44"/>
        <v>Every pay period (ongoing)</v>
      </c>
      <c r="M373" s="39">
        <f t="array" ref="M373">MAX(_xlfn.XLOOKUP($A373,TRIM(SUBSTITUTE('worker file'!$A$2:$A$406,_xlfn.UNICHAR(160)," ")),'worker file'!$M$2:$M$406,0),_xlfn.XLOOKUP($B373,TRIM('pay group &amp; schedule'!$A$2:$A$6),'pay group &amp; schedule'!$D$2:$D$6,0))</f>
        <v>46311</v>
      </c>
      <c r="N373" s="39" t="str">
        <f t="array" ref="N373">_xlfn.LET(_xlpm.t,_xlfn.XLOOKUP($A373,TRIM(SUBSTITUTE('worker file'!$A$2:$A$406,_xlfn.UNICHAR(160)," ")),'worker file'!$N$2:$N$406,""),IF(N(_xlpm.t)=0,"",_xlpm.t))</f>
        <v/>
      </c>
    </row>
    <row r="374" spans="1:14" x14ac:dyDescent="0.2">
      <c r="A374" s="35" t="s">
        <v>230</v>
      </c>
      <c r="B374" s="36" t="str">
        <f t="array" ref="B374">_xlfn.XLOOKUP($A374,TRIM(SUBSTITUTE('worker file'!$A$2:$A$406,_xlfn.UNICHAR(160)," ")),'worker file'!$L$2:$L$406,"Not found")</f>
        <v>US Semi-monthly</v>
      </c>
      <c r="C374" s="36" t="str">
        <f t="array" ref="C374">_xlfn.XLOOKUP($A374,TRIM(SUBSTITUTE('worker file'!$A$2:$A$406,_xlfn.UNICHAR(160)," ")),'worker file'!$D$2:$D$406,"Not found")</f>
        <v>CA</v>
      </c>
      <c r="D374" s="36" t="str">
        <f t="array" ref="D374">_xlfn.XLOOKUP($A374,TRIM(SUBSTITUTE('worker file'!$A$2:$A$406,_xlfn.UNICHAR(160)," ")),'worker file'!$Q$2:$Q$406,"Not found")</f>
        <v>Active</v>
      </c>
      <c r="E374" s="35" t="s">
        <v>618</v>
      </c>
      <c r="F374" t="str">
        <f t="shared" si="39"/>
        <v>401(k) Employee Deferral</v>
      </c>
      <c r="G374" t="str">
        <f t="shared" si="40"/>
        <v>Pre-tax (exempt from FIT/SIT; subject to FICA)</v>
      </c>
      <c r="H374" t="str">
        <f t="shared" si="41"/>
        <v>Percent</v>
      </c>
      <c r="I374" s="37">
        <v>0.04</v>
      </c>
      <c r="J374" s="38" t="str">
        <f t="shared" si="42"/>
        <v/>
      </c>
      <c r="K374" t="str">
        <f t="shared" si="43"/>
        <v>Gross pay</v>
      </c>
      <c r="L374" t="str">
        <f t="shared" si="44"/>
        <v>Every pay period (ongoing)</v>
      </c>
      <c r="M374" s="39">
        <f t="array" ref="M374">MAX(_xlfn.XLOOKUP($A374,TRIM(SUBSTITUTE('worker file'!$A$2:$A$406,_xlfn.UNICHAR(160)," ")),'worker file'!$M$2:$M$406,0),_xlfn.XLOOKUP($B374,TRIM('pay group &amp; schedule'!$A$2:$A$6),'pay group &amp; schedule'!$D$2:$D$6,0))</f>
        <v>46311</v>
      </c>
      <c r="N374" s="39" t="str">
        <f t="array" ref="N374">_xlfn.LET(_xlpm.t,_xlfn.XLOOKUP($A374,TRIM(SUBSTITUTE('worker file'!$A$2:$A$406,_xlfn.UNICHAR(160)," ")),'worker file'!$N$2:$N$406,""),IF(N(_xlpm.t)=0,"",_xlpm.t))</f>
        <v/>
      </c>
    </row>
    <row r="375" spans="1:14" x14ac:dyDescent="0.2">
      <c r="A375" s="35" t="s">
        <v>230</v>
      </c>
      <c r="B375" s="36" t="str">
        <f t="array" ref="B375">_xlfn.XLOOKUP($A375,TRIM(SUBSTITUTE('worker file'!$A$2:$A$406,_xlfn.UNICHAR(160)," ")),'worker file'!$L$2:$L$406,"Not found")</f>
        <v>US Semi-monthly</v>
      </c>
      <c r="C375" s="36" t="str">
        <f t="array" ref="C375">_xlfn.XLOOKUP($A375,TRIM(SUBSTITUTE('worker file'!$A$2:$A$406,_xlfn.UNICHAR(160)," ")),'worker file'!$D$2:$D$406,"Not found")</f>
        <v>CA</v>
      </c>
      <c r="D375" s="36" t="str">
        <f t="array" ref="D375">_xlfn.XLOOKUP($A375,TRIM(SUBSTITUTE('worker file'!$A$2:$A$406,_xlfn.UNICHAR(160)," ")),'worker file'!$Q$2:$Q$406,"Not found")</f>
        <v>Active</v>
      </c>
      <c r="E375" s="35" t="s">
        <v>626</v>
      </c>
      <c r="F375" t="str">
        <f t="shared" si="39"/>
        <v>Medical (Health) – Employee</v>
      </c>
      <c r="G375" t="str">
        <f t="shared" si="40"/>
        <v>Pre-tax Section 125 (exempt from FIT/SIT/FICA)</v>
      </c>
      <c r="H375" t="str">
        <f t="shared" si="41"/>
        <v>Flat</v>
      </c>
      <c r="I375" s="40" t="str">
        <f>IF($H375="Percent",_xlfn.XLOOKUP($E375,$A$5:$A$8,$F$5:$F$8,""),"")</f>
        <v/>
      </c>
      <c r="J375" s="38">
        <f t="shared" si="42"/>
        <v>200</v>
      </c>
      <c r="K375" t="str">
        <f t="shared" si="43"/>
        <v>Per pay period</v>
      </c>
      <c r="L375" t="str">
        <f t="shared" si="44"/>
        <v>Every pay period (ongoing)</v>
      </c>
      <c r="M375" s="39">
        <f t="array" ref="M375">MAX(_xlfn.XLOOKUP($A375,TRIM(SUBSTITUTE('worker file'!$A$2:$A$406,_xlfn.UNICHAR(160)," ")),'worker file'!$M$2:$M$406,0),_xlfn.XLOOKUP($B375,TRIM('pay group &amp; schedule'!$A$2:$A$6),'pay group &amp; schedule'!$D$2:$D$6,0))</f>
        <v>46311</v>
      </c>
      <c r="N375" s="39" t="str">
        <f t="array" ref="N375">_xlfn.LET(_xlpm.t,_xlfn.XLOOKUP($A375,TRIM(SUBSTITUTE('worker file'!$A$2:$A$406,_xlfn.UNICHAR(160)," ")),'worker file'!$N$2:$N$406,""),IF(N(_xlpm.t)=0,"",_xlpm.t))</f>
        <v/>
      </c>
    </row>
    <row r="376" spans="1:14" x14ac:dyDescent="0.2">
      <c r="A376" s="35" t="s">
        <v>230</v>
      </c>
      <c r="B376" s="36" t="str">
        <f t="array" ref="B376">_xlfn.XLOOKUP($A376,TRIM(SUBSTITUTE('worker file'!$A$2:$A$406,_xlfn.UNICHAR(160)," ")),'worker file'!$L$2:$L$406,"Not found")</f>
        <v>US Semi-monthly</v>
      </c>
      <c r="C376" s="36" t="str">
        <f t="array" ref="C376">_xlfn.XLOOKUP($A376,TRIM(SUBSTITUTE('worker file'!$A$2:$A$406,_xlfn.UNICHAR(160)," ")),'worker file'!$D$2:$D$406,"Not found")</f>
        <v>CA</v>
      </c>
      <c r="D376" s="36" t="str">
        <f t="array" ref="D376">_xlfn.XLOOKUP($A376,TRIM(SUBSTITUTE('worker file'!$A$2:$A$406,_xlfn.UNICHAR(160)," ")),'worker file'!$Q$2:$Q$406,"Not found")</f>
        <v>Active</v>
      </c>
      <c r="E376" s="35" t="s">
        <v>632</v>
      </c>
      <c r="F376" t="str">
        <f t="shared" si="39"/>
        <v>Dental – Employee</v>
      </c>
      <c r="G376" t="str">
        <f t="shared" si="40"/>
        <v>Pre-tax Section 125 (exempt from FIT/SIT/FICA)</v>
      </c>
      <c r="H376" t="str">
        <f t="shared" si="41"/>
        <v>Flat</v>
      </c>
      <c r="I376" s="40" t="str">
        <f>IF($H376="Percent",_xlfn.XLOOKUP($E376,$A$5:$A$8,$F$5:$F$8,""),"")</f>
        <v/>
      </c>
      <c r="J376" s="38">
        <f t="shared" si="42"/>
        <v>44</v>
      </c>
      <c r="K376" t="str">
        <f t="shared" si="43"/>
        <v>Per pay period</v>
      </c>
      <c r="L376" t="str">
        <f t="shared" si="44"/>
        <v>Every pay period (ongoing)</v>
      </c>
      <c r="M376" s="39">
        <f t="array" ref="M376">MAX(_xlfn.XLOOKUP($A376,TRIM(SUBSTITUTE('worker file'!$A$2:$A$406,_xlfn.UNICHAR(160)," ")),'worker file'!$M$2:$M$406,0),_xlfn.XLOOKUP($B376,TRIM('pay group &amp; schedule'!$A$2:$A$6),'pay group &amp; schedule'!$D$2:$D$6,0))</f>
        <v>46311</v>
      </c>
      <c r="N376" s="39" t="str">
        <f t="array" ref="N376">_xlfn.LET(_xlpm.t,_xlfn.XLOOKUP($A376,TRIM(SUBSTITUTE('worker file'!$A$2:$A$406,_xlfn.UNICHAR(160)," ")),'worker file'!$N$2:$N$406,""),IF(N(_xlpm.t)=0,"",_xlpm.t))</f>
        <v/>
      </c>
    </row>
    <row r="377" spans="1:14" x14ac:dyDescent="0.2">
      <c r="A377" s="35" t="s">
        <v>230</v>
      </c>
      <c r="B377" s="36" t="str">
        <f t="array" ref="B377">_xlfn.XLOOKUP($A377,TRIM(SUBSTITUTE('worker file'!$A$2:$A$406,_xlfn.UNICHAR(160)," ")),'worker file'!$L$2:$L$406,"Not found")</f>
        <v>US Semi-monthly</v>
      </c>
      <c r="C377" s="36" t="str">
        <f t="array" ref="C377">_xlfn.XLOOKUP($A377,TRIM(SUBSTITUTE('worker file'!$A$2:$A$406,_xlfn.UNICHAR(160)," ")),'worker file'!$D$2:$D$406,"Not found")</f>
        <v>CA</v>
      </c>
      <c r="D377" s="36" t="str">
        <f t="array" ref="D377">_xlfn.XLOOKUP($A377,TRIM(SUBSTITUTE('worker file'!$A$2:$A$406,_xlfn.UNICHAR(160)," ")),'worker file'!$Q$2:$Q$406,"Not found")</f>
        <v>Active</v>
      </c>
      <c r="E377" s="35" t="s">
        <v>634</v>
      </c>
      <c r="F377" t="str">
        <f t="shared" si="39"/>
        <v>Vision – Employee</v>
      </c>
      <c r="G377" t="str">
        <f t="shared" si="40"/>
        <v>Pre-tax Section 125 (exempt from FIT/SIT/FICA)</v>
      </c>
      <c r="H377" t="str">
        <f t="shared" si="41"/>
        <v>Flat</v>
      </c>
      <c r="I377" s="40" t="str">
        <f>IF($H377="Percent",_xlfn.XLOOKUP($E377,$A$5:$A$8,$F$5:$F$8,""),"")</f>
        <v/>
      </c>
      <c r="J377" s="38">
        <f t="shared" si="42"/>
        <v>30</v>
      </c>
      <c r="K377" t="str">
        <f t="shared" si="43"/>
        <v>Per pay period</v>
      </c>
      <c r="L377" t="str">
        <f t="shared" si="44"/>
        <v>Every pay period (ongoing)</v>
      </c>
      <c r="M377" s="39">
        <f t="array" ref="M377">MAX(_xlfn.XLOOKUP($A377,TRIM(SUBSTITUTE('worker file'!$A$2:$A$406,_xlfn.UNICHAR(160)," ")),'worker file'!$M$2:$M$406,0),_xlfn.XLOOKUP($B377,TRIM('pay group &amp; schedule'!$A$2:$A$6),'pay group &amp; schedule'!$D$2:$D$6,0))</f>
        <v>46311</v>
      </c>
      <c r="N377" s="39" t="str">
        <f t="array" ref="N377">_xlfn.LET(_xlpm.t,_xlfn.XLOOKUP($A377,TRIM(SUBSTITUTE('worker file'!$A$2:$A$406,_xlfn.UNICHAR(160)," ")),'worker file'!$N$2:$N$406,""),IF(N(_xlpm.t)=0,"",_xlpm.t))</f>
        <v/>
      </c>
    </row>
    <row r="378" spans="1:14" x14ac:dyDescent="0.2">
      <c r="A378" s="35" t="s">
        <v>231</v>
      </c>
      <c r="B378" s="36" t="str">
        <f t="array" ref="B378">_xlfn.XLOOKUP($A378,TRIM(SUBSTITUTE('worker file'!$A$2:$A$406,_xlfn.UNICHAR(160)," ")),'worker file'!$L$2:$L$406,"Not found")</f>
        <v>US Semi-monthly</v>
      </c>
      <c r="C378" s="36" t="str">
        <f t="array" ref="C378">_xlfn.XLOOKUP($A378,TRIM(SUBSTITUTE('worker file'!$A$2:$A$406,_xlfn.UNICHAR(160)," ")),'worker file'!$D$2:$D$406,"Not found")</f>
        <v>NY</v>
      </c>
      <c r="D378" s="36" t="str">
        <f t="array" ref="D378">_xlfn.XLOOKUP($A378,TRIM(SUBSTITUTE('worker file'!$A$2:$A$406,_xlfn.UNICHAR(160)," ")),'worker file'!$Q$2:$Q$406,"Not found")</f>
        <v>Active</v>
      </c>
      <c r="E378" s="35" t="s">
        <v>618</v>
      </c>
      <c r="F378" t="str">
        <f t="shared" si="39"/>
        <v>401(k) Employee Deferral</v>
      </c>
      <c r="G378" t="str">
        <f t="shared" si="40"/>
        <v>Pre-tax (exempt from FIT/SIT; subject to FICA)</v>
      </c>
      <c r="H378" t="str">
        <f t="shared" si="41"/>
        <v>Percent</v>
      </c>
      <c r="I378" s="37">
        <v>0.01</v>
      </c>
      <c r="J378" s="38" t="str">
        <f t="shared" si="42"/>
        <v/>
      </c>
      <c r="K378" t="str">
        <f t="shared" si="43"/>
        <v>Gross pay</v>
      </c>
      <c r="L378" t="str">
        <f t="shared" si="44"/>
        <v>Every pay period (ongoing)</v>
      </c>
      <c r="M378" s="39">
        <f t="array" ref="M378">MAX(_xlfn.XLOOKUP($A378,TRIM(SUBSTITUTE('worker file'!$A$2:$A$406,_xlfn.UNICHAR(160)," ")),'worker file'!$M$2:$M$406,0),_xlfn.XLOOKUP($B378,TRIM('pay group &amp; schedule'!$A$2:$A$6),'pay group &amp; schedule'!$D$2:$D$6,0))</f>
        <v>46311</v>
      </c>
      <c r="N378" s="39" t="str">
        <f t="array" ref="N378">_xlfn.LET(_xlpm.t,_xlfn.XLOOKUP($A378,TRIM(SUBSTITUTE('worker file'!$A$2:$A$406,_xlfn.UNICHAR(160)," ")),'worker file'!$N$2:$N$406,""),IF(N(_xlpm.t)=0,"",_xlpm.t))</f>
        <v/>
      </c>
    </row>
    <row r="379" spans="1:14" x14ac:dyDescent="0.2">
      <c r="A379" s="35" t="s">
        <v>231</v>
      </c>
      <c r="B379" s="36" t="str">
        <f t="array" ref="B379">_xlfn.XLOOKUP($A379,TRIM(SUBSTITUTE('worker file'!$A$2:$A$406,_xlfn.UNICHAR(160)," ")),'worker file'!$L$2:$L$406,"Not found")</f>
        <v>US Semi-monthly</v>
      </c>
      <c r="C379" s="36" t="str">
        <f t="array" ref="C379">_xlfn.XLOOKUP($A379,TRIM(SUBSTITUTE('worker file'!$A$2:$A$406,_xlfn.UNICHAR(160)," ")),'worker file'!$D$2:$D$406,"Not found")</f>
        <v>NY</v>
      </c>
      <c r="D379" s="36" t="str">
        <f t="array" ref="D379">_xlfn.XLOOKUP($A379,TRIM(SUBSTITUTE('worker file'!$A$2:$A$406,_xlfn.UNICHAR(160)," ")),'worker file'!$Q$2:$Q$406,"Not found")</f>
        <v>Active</v>
      </c>
      <c r="E379" s="35" t="s">
        <v>626</v>
      </c>
      <c r="F379" t="str">
        <f t="shared" si="39"/>
        <v>Medical (Health) – Employee</v>
      </c>
      <c r="G379" t="str">
        <f t="shared" si="40"/>
        <v>Pre-tax Section 125 (exempt from FIT/SIT/FICA)</v>
      </c>
      <c r="H379" t="str">
        <f t="shared" si="41"/>
        <v>Flat</v>
      </c>
      <c r="I379" s="40" t="str">
        <f>IF($H379="Percent",_xlfn.XLOOKUP($E379,$A$5:$A$8,$F$5:$F$8,""),"")</f>
        <v/>
      </c>
      <c r="J379" s="38">
        <f t="shared" si="42"/>
        <v>200</v>
      </c>
      <c r="K379" t="str">
        <f t="shared" si="43"/>
        <v>Per pay period</v>
      </c>
      <c r="L379" t="str">
        <f t="shared" si="44"/>
        <v>Every pay period (ongoing)</v>
      </c>
      <c r="M379" s="39">
        <f t="array" ref="M379">MAX(_xlfn.XLOOKUP($A379,TRIM(SUBSTITUTE('worker file'!$A$2:$A$406,_xlfn.UNICHAR(160)," ")),'worker file'!$M$2:$M$406,0),_xlfn.XLOOKUP($B379,TRIM('pay group &amp; schedule'!$A$2:$A$6),'pay group &amp; schedule'!$D$2:$D$6,0))</f>
        <v>46311</v>
      </c>
      <c r="N379" s="39" t="str">
        <f t="array" ref="N379">_xlfn.LET(_xlpm.t,_xlfn.XLOOKUP($A379,TRIM(SUBSTITUTE('worker file'!$A$2:$A$406,_xlfn.UNICHAR(160)," ")),'worker file'!$N$2:$N$406,""),IF(N(_xlpm.t)=0,"",_xlpm.t))</f>
        <v/>
      </c>
    </row>
    <row r="380" spans="1:14" x14ac:dyDescent="0.2">
      <c r="A380" s="35" t="s">
        <v>231</v>
      </c>
      <c r="B380" s="36" t="str">
        <f t="array" ref="B380">_xlfn.XLOOKUP($A380,TRIM(SUBSTITUTE('worker file'!$A$2:$A$406,_xlfn.UNICHAR(160)," ")),'worker file'!$L$2:$L$406,"Not found")</f>
        <v>US Semi-monthly</v>
      </c>
      <c r="C380" s="36" t="str">
        <f t="array" ref="C380">_xlfn.XLOOKUP($A380,TRIM(SUBSTITUTE('worker file'!$A$2:$A$406,_xlfn.UNICHAR(160)," ")),'worker file'!$D$2:$D$406,"Not found")</f>
        <v>NY</v>
      </c>
      <c r="D380" s="36" t="str">
        <f t="array" ref="D380">_xlfn.XLOOKUP($A380,TRIM(SUBSTITUTE('worker file'!$A$2:$A$406,_xlfn.UNICHAR(160)," ")),'worker file'!$Q$2:$Q$406,"Not found")</f>
        <v>Active</v>
      </c>
      <c r="E380" s="35" t="s">
        <v>632</v>
      </c>
      <c r="F380" t="str">
        <f t="shared" si="39"/>
        <v>Dental – Employee</v>
      </c>
      <c r="G380" t="str">
        <f t="shared" si="40"/>
        <v>Pre-tax Section 125 (exempt from FIT/SIT/FICA)</v>
      </c>
      <c r="H380" t="str">
        <f t="shared" si="41"/>
        <v>Flat</v>
      </c>
      <c r="I380" s="40" t="str">
        <f>IF($H380="Percent",_xlfn.XLOOKUP($E380,$A$5:$A$8,$F$5:$F$8,""),"")</f>
        <v/>
      </c>
      <c r="J380" s="38">
        <f t="shared" si="42"/>
        <v>44</v>
      </c>
      <c r="K380" t="str">
        <f t="shared" si="43"/>
        <v>Per pay period</v>
      </c>
      <c r="L380" t="str">
        <f t="shared" si="44"/>
        <v>Every pay period (ongoing)</v>
      </c>
      <c r="M380" s="39">
        <f t="array" ref="M380">MAX(_xlfn.XLOOKUP($A380,TRIM(SUBSTITUTE('worker file'!$A$2:$A$406,_xlfn.UNICHAR(160)," ")),'worker file'!$M$2:$M$406,0),_xlfn.XLOOKUP($B380,TRIM('pay group &amp; schedule'!$A$2:$A$6),'pay group &amp; schedule'!$D$2:$D$6,0))</f>
        <v>46311</v>
      </c>
      <c r="N380" s="39" t="str">
        <f t="array" ref="N380">_xlfn.LET(_xlpm.t,_xlfn.XLOOKUP($A380,TRIM(SUBSTITUTE('worker file'!$A$2:$A$406,_xlfn.UNICHAR(160)," ")),'worker file'!$N$2:$N$406,""),IF(N(_xlpm.t)=0,"",_xlpm.t))</f>
        <v/>
      </c>
    </row>
    <row r="381" spans="1:14" x14ac:dyDescent="0.2">
      <c r="A381" s="35" t="s">
        <v>231</v>
      </c>
      <c r="B381" s="36" t="str">
        <f t="array" ref="B381">_xlfn.XLOOKUP($A381,TRIM(SUBSTITUTE('worker file'!$A$2:$A$406,_xlfn.UNICHAR(160)," ")),'worker file'!$L$2:$L$406,"Not found")</f>
        <v>US Semi-monthly</v>
      </c>
      <c r="C381" s="36" t="str">
        <f t="array" ref="C381">_xlfn.XLOOKUP($A381,TRIM(SUBSTITUTE('worker file'!$A$2:$A$406,_xlfn.UNICHAR(160)," ")),'worker file'!$D$2:$D$406,"Not found")</f>
        <v>NY</v>
      </c>
      <c r="D381" s="36" t="str">
        <f t="array" ref="D381">_xlfn.XLOOKUP($A381,TRIM(SUBSTITUTE('worker file'!$A$2:$A$406,_xlfn.UNICHAR(160)," ")),'worker file'!$Q$2:$Q$406,"Not found")</f>
        <v>Active</v>
      </c>
      <c r="E381" s="35" t="s">
        <v>634</v>
      </c>
      <c r="F381" t="str">
        <f t="shared" si="39"/>
        <v>Vision – Employee</v>
      </c>
      <c r="G381" t="str">
        <f t="shared" si="40"/>
        <v>Pre-tax Section 125 (exempt from FIT/SIT/FICA)</v>
      </c>
      <c r="H381" t="str">
        <f t="shared" si="41"/>
        <v>Flat</v>
      </c>
      <c r="I381" s="40" t="str">
        <f>IF($H381="Percent",_xlfn.XLOOKUP($E381,$A$5:$A$8,$F$5:$F$8,""),"")</f>
        <v/>
      </c>
      <c r="J381" s="38">
        <f t="shared" si="42"/>
        <v>30</v>
      </c>
      <c r="K381" t="str">
        <f t="shared" si="43"/>
        <v>Per pay period</v>
      </c>
      <c r="L381" t="str">
        <f t="shared" si="44"/>
        <v>Every pay period (ongoing)</v>
      </c>
      <c r="M381" s="39">
        <f t="array" ref="M381">MAX(_xlfn.XLOOKUP($A381,TRIM(SUBSTITUTE('worker file'!$A$2:$A$406,_xlfn.UNICHAR(160)," ")),'worker file'!$M$2:$M$406,0),_xlfn.XLOOKUP($B381,TRIM('pay group &amp; schedule'!$A$2:$A$6),'pay group &amp; schedule'!$D$2:$D$6,0))</f>
        <v>46311</v>
      </c>
      <c r="N381" s="39" t="str">
        <f t="array" ref="N381">_xlfn.LET(_xlpm.t,_xlfn.XLOOKUP($A381,TRIM(SUBSTITUTE('worker file'!$A$2:$A$406,_xlfn.UNICHAR(160)," ")),'worker file'!$N$2:$N$406,""),IF(N(_xlpm.t)=0,"",_xlpm.t))</f>
        <v/>
      </c>
    </row>
    <row r="382" spans="1:14" x14ac:dyDescent="0.2">
      <c r="A382" s="35" t="s">
        <v>232</v>
      </c>
      <c r="B382" s="36" t="str">
        <f t="array" ref="B382">_xlfn.XLOOKUP($A382,TRIM(SUBSTITUTE('worker file'!$A$2:$A$406,_xlfn.UNICHAR(160)," ")),'worker file'!$L$2:$L$406,"Not found")</f>
        <v>US Semi-monthly</v>
      </c>
      <c r="C382" s="36" t="str">
        <f t="array" ref="C382">_xlfn.XLOOKUP($A382,TRIM(SUBSTITUTE('worker file'!$A$2:$A$406,_xlfn.UNICHAR(160)," ")),'worker file'!$D$2:$D$406,"Not found")</f>
        <v>CA</v>
      </c>
      <c r="D382" s="36" t="str">
        <f t="array" ref="D382">_xlfn.XLOOKUP($A382,TRIM(SUBSTITUTE('worker file'!$A$2:$A$406,_xlfn.UNICHAR(160)," ")),'worker file'!$Q$2:$Q$406,"Not found")</f>
        <v>Active</v>
      </c>
      <c r="E382" s="35" t="s">
        <v>618</v>
      </c>
      <c r="F382" t="str">
        <f t="shared" si="39"/>
        <v>401(k) Employee Deferral</v>
      </c>
      <c r="G382" t="str">
        <f t="shared" si="40"/>
        <v>Pre-tax (exempt from FIT/SIT; subject to FICA)</v>
      </c>
      <c r="H382" t="str">
        <f t="shared" si="41"/>
        <v>Percent</v>
      </c>
      <c r="I382" s="37">
        <v>0.06</v>
      </c>
      <c r="J382" s="38" t="str">
        <f t="shared" si="42"/>
        <v/>
      </c>
      <c r="K382" t="str">
        <f t="shared" si="43"/>
        <v>Gross pay</v>
      </c>
      <c r="L382" t="str">
        <f t="shared" si="44"/>
        <v>Every pay period (ongoing)</v>
      </c>
      <c r="M382" s="39">
        <f t="array" ref="M382">MAX(_xlfn.XLOOKUP($A382,TRIM(SUBSTITUTE('worker file'!$A$2:$A$406,_xlfn.UNICHAR(160)," ")),'worker file'!$M$2:$M$406,0),_xlfn.XLOOKUP($B382,TRIM('pay group &amp; schedule'!$A$2:$A$6),'pay group &amp; schedule'!$D$2:$D$6,0))</f>
        <v>46311</v>
      </c>
      <c r="N382" s="39" t="str">
        <f t="array" ref="N382">_xlfn.LET(_xlpm.t,_xlfn.XLOOKUP($A382,TRIM(SUBSTITUTE('worker file'!$A$2:$A$406,_xlfn.UNICHAR(160)," ")),'worker file'!$N$2:$N$406,""),IF(N(_xlpm.t)=0,"",_xlpm.t))</f>
        <v/>
      </c>
    </row>
    <row r="383" spans="1:14" x14ac:dyDescent="0.2">
      <c r="A383" s="35" t="s">
        <v>232</v>
      </c>
      <c r="B383" s="36" t="str">
        <f t="array" ref="B383">_xlfn.XLOOKUP($A383,TRIM(SUBSTITUTE('worker file'!$A$2:$A$406,_xlfn.UNICHAR(160)," ")),'worker file'!$L$2:$L$406,"Not found")</f>
        <v>US Semi-monthly</v>
      </c>
      <c r="C383" s="36" t="str">
        <f t="array" ref="C383">_xlfn.XLOOKUP($A383,TRIM(SUBSTITUTE('worker file'!$A$2:$A$406,_xlfn.UNICHAR(160)," ")),'worker file'!$D$2:$D$406,"Not found")</f>
        <v>CA</v>
      </c>
      <c r="D383" s="36" t="str">
        <f t="array" ref="D383">_xlfn.XLOOKUP($A383,TRIM(SUBSTITUTE('worker file'!$A$2:$A$406,_xlfn.UNICHAR(160)," ")),'worker file'!$Q$2:$Q$406,"Not found")</f>
        <v>Active</v>
      </c>
      <c r="E383" s="35" t="s">
        <v>626</v>
      </c>
      <c r="F383" t="str">
        <f t="shared" si="39"/>
        <v>Medical (Health) – Employee</v>
      </c>
      <c r="G383" t="str">
        <f t="shared" si="40"/>
        <v>Pre-tax Section 125 (exempt from FIT/SIT/FICA)</v>
      </c>
      <c r="H383" t="str">
        <f t="shared" si="41"/>
        <v>Flat</v>
      </c>
      <c r="I383" s="40" t="str">
        <f>IF($H383="Percent",_xlfn.XLOOKUP($E383,$A$5:$A$8,$F$5:$F$8,""),"")</f>
        <v/>
      </c>
      <c r="J383" s="38">
        <f t="shared" si="42"/>
        <v>200</v>
      </c>
      <c r="K383" t="str">
        <f t="shared" si="43"/>
        <v>Per pay period</v>
      </c>
      <c r="L383" t="str">
        <f t="shared" si="44"/>
        <v>Every pay period (ongoing)</v>
      </c>
      <c r="M383" s="39">
        <f t="array" ref="M383">MAX(_xlfn.XLOOKUP($A383,TRIM(SUBSTITUTE('worker file'!$A$2:$A$406,_xlfn.UNICHAR(160)," ")),'worker file'!$M$2:$M$406,0),_xlfn.XLOOKUP($B383,TRIM('pay group &amp; schedule'!$A$2:$A$6),'pay group &amp; schedule'!$D$2:$D$6,0))</f>
        <v>46311</v>
      </c>
      <c r="N383" s="39" t="str">
        <f t="array" ref="N383">_xlfn.LET(_xlpm.t,_xlfn.XLOOKUP($A383,TRIM(SUBSTITUTE('worker file'!$A$2:$A$406,_xlfn.UNICHAR(160)," ")),'worker file'!$N$2:$N$406,""),IF(N(_xlpm.t)=0,"",_xlpm.t))</f>
        <v/>
      </c>
    </row>
    <row r="384" spans="1:14" x14ac:dyDescent="0.2">
      <c r="A384" s="35" t="s">
        <v>232</v>
      </c>
      <c r="B384" s="36" t="str">
        <f t="array" ref="B384">_xlfn.XLOOKUP($A384,TRIM(SUBSTITUTE('worker file'!$A$2:$A$406,_xlfn.UNICHAR(160)," ")),'worker file'!$L$2:$L$406,"Not found")</f>
        <v>US Semi-monthly</v>
      </c>
      <c r="C384" s="36" t="str">
        <f t="array" ref="C384">_xlfn.XLOOKUP($A384,TRIM(SUBSTITUTE('worker file'!$A$2:$A$406,_xlfn.UNICHAR(160)," ")),'worker file'!$D$2:$D$406,"Not found")</f>
        <v>CA</v>
      </c>
      <c r="D384" s="36" t="str">
        <f t="array" ref="D384">_xlfn.XLOOKUP($A384,TRIM(SUBSTITUTE('worker file'!$A$2:$A$406,_xlfn.UNICHAR(160)," ")),'worker file'!$Q$2:$Q$406,"Not found")</f>
        <v>Active</v>
      </c>
      <c r="E384" s="35" t="s">
        <v>632</v>
      </c>
      <c r="F384" t="str">
        <f t="shared" si="39"/>
        <v>Dental – Employee</v>
      </c>
      <c r="G384" t="str">
        <f t="shared" si="40"/>
        <v>Pre-tax Section 125 (exempt from FIT/SIT/FICA)</v>
      </c>
      <c r="H384" t="str">
        <f t="shared" si="41"/>
        <v>Flat</v>
      </c>
      <c r="I384" s="40" t="str">
        <f>IF($H384="Percent",_xlfn.XLOOKUP($E384,$A$5:$A$8,$F$5:$F$8,""),"")</f>
        <v/>
      </c>
      <c r="J384" s="38">
        <f t="shared" si="42"/>
        <v>44</v>
      </c>
      <c r="K384" t="str">
        <f t="shared" si="43"/>
        <v>Per pay period</v>
      </c>
      <c r="L384" t="str">
        <f t="shared" si="44"/>
        <v>Every pay period (ongoing)</v>
      </c>
      <c r="M384" s="39">
        <f t="array" ref="M384">MAX(_xlfn.XLOOKUP($A384,TRIM(SUBSTITUTE('worker file'!$A$2:$A$406,_xlfn.UNICHAR(160)," ")),'worker file'!$M$2:$M$406,0),_xlfn.XLOOKUP($B384,TRIM('pay group &amp; schedule'!$A$2:$A$6),'pay group &amp; schedule'!$D$2:$D$6,0))</f>
        <v>46311</v>
      </c>
      <c r="N384" s="39" t="str">
        <f t="array" ref="N384">_xlfn.LET(_xlpm.t,_xlfn.XLOOKUP($A384,TRIM(SUBSTITUTE('worker file'!$A$2:$A$406,_xlfn.UNICHAR(160)," ")),'worker file'!$N$2:$N$406,""),IF(N(_xlpm.t)=0,"",_xlpm.t))</f>
        <v/>
      </c>
    </row>
    <row r="385" spans="1:14" x14ac:dyDescent="0.2">
      <c r="A385" s="35" t="s">
        <v>232</v>
      </c>
      <c r="B385" s="36" t="str">
        <f t="array" ref="B385">_xlfn.XLOOKUP($A385,TRIM(SUBSTITUTE('worker file'!$A$2:$A$406,_xlfn.UNICHAR(160)," ")),'worker file'!$L$2:$L$406,"Not found")</f>
        <v>US Semi-monthly</v>
      </c>
      <c r="C385" s="36" t="str">
        <f t="array" ref="C385">_xlfn.XLOOKUP($A385,TRIM(SUBSTITUTE('worker file'!$A$2:$A$406,_xlfn.UNICHAR(160)," ")),'worker file'!$D$2:$D$406,"Not found")</f>
        <v>CA</v>
      </c>
      <c r="D385" s="36" t="str">
        <f t="array" ref="D385">_xlfn.XLOOKUP($A385,TRIM(SUBSTITUTE('worker file'!$A$2:$A$406,_xlfn.UNICHAR(160)," ")),'worker file'!$Q$2:$Q$406,"Not found")</f>
        <v>Active</v>
      </c>
      <c r="E385" s="35" t="s">
        <v>634</v>
      </c>
      <c r="F385" t="str">
        <f t="shared" si="39"/>
        <v>Vision – Employee</v>
      </c>
      <c r="G385" t="str">
        <f t="shared" si="40"/>
        <v>Pre-tax Section 125 (exempt from FIT/SIT/FICA)</v>
      </c>
      <c r="H385" t="str">
        <f t="shared" si="41"/>
        <v>Flat</v>
      </c>
      <c r="I385" s="40" t="str">
        <f>IF($H385="Percent",_xlfn.XLOOKUP($E385,$A$5:$A$8,$F$5:$F$8,""),"")</f>
        <v/>
      </c>
      <c r="J385" s="38">
        <f t="shared" si="42"/>
        <v>30</v>
      </c>
      <c r="K385" t="str">
        <f t="shared" si="43"/>
        <v>Per pay period</v>
      </c>
      <c r="L385" t="str">
        <f t="shared" si="44"/>
        <v>Every pay period (ongoing)</v>
      </c>
      <c r="M385" s="39">
        <f t="array" ref="M385">MAX(_xlfn.XLOOKUP($A385,TRIM(SUBSTITUTE('worker file'!$A$2:$A$406,_xlfn.UNICHAR(160)," ")),'worker file'!$M$2:$M$406,0),_xlfn.XLOOKUP($B385,TRIM('pay group &amp; schedule'!$A$2:$A$6),'pay group &amp; schedule'!$D$2:$D$6,0))</f>
        <v>46311</v>
      </c>
      <c r="N385" s="39" t="str">
        <f t="array" ref="N385">_xlfn.LET(_xlpm.t,_xlfn.XLOOKUP($A385,TRIM(SUBSTITUTE('worker file'!$A$2:$A$406,_xlfn.UNICHAR(160)," ")),'worker file'!$N$2:$N$406,""),IF(N(_xlpm.t)=0,"",_xlpm.t))</f>
        <v/>
      </c>
    </row>
    <row r="386" spans="1:14" x14ac:dyDescent="0.2">
      <c r="A386" s="35" t="s">
        <v>233</v>
      </c>
      <c r="B386" s="36" t="str">
        <f t="array" ref="B386">_xlfn.XLOOKUP($A386,TRIM(SUBSTITUTE('worker file'!$A$2:$A$406,_xlfn.UNICHAR(160)," ")),'worker file'!$L$2:$L$406,"Not found")</f>
        <v>US Semi-monthly</v>
      </c>
      <c r="C386" s="36" t="str">
        <f t="array" ref="C386">_xlfn.XLOOKUP($A386,TRIM(SUBSTITUTE('worker file'!$A$2:$A$406,_xlfn.UNICHAR(160)," ")),'worker file'!$D$2:$D$406,"Not found")</f>
        <v>CA</v>
      </c>
      <c r="D386" s="36" t="str">
        <f t="array" ref="D386">_xlfn.XLOOKUP($A386,TRIM(SUBSTITUTE('worker file'!$A$2:$A$406,_xlfn.UNICHAR(160)," ")),'worker file'!$Q$2:$Q$406,"Not found")</f>
        <v>Active</v>
      </c>
      <c r="E386" s="35" t="s">
        <v>618</v>
      </c>
      <c r="F386" t="str">
        <f t="shared" si="39"/>
        <v>401(k) Employee Deferral</v>
      </c>
      <c r="G386" t="str">
        <f t="shared" si="40"/>
        <v>Pre-tax (exempt from FIT/SIT; subject to FICA)</v>
      </c>
      <c r="H386" t="str">
        <f t="shared" si="41"/>
        <v>Percent</v>
      </c>
      <c r="I386" s="37">
        <v>0.03</v>
      </c>
      <c r="J386" s="38" t="str">
        <f t="shared" si="42"/>
        <v/>
      </c>
      <c r="K386" t="str">
        <f t="shared" si="43"/>
        <v>Gross pay</v>
      </c>
      <c r="L386" t="str">
        <f t="shared" si="44"/>
        <v>Every pay period (ongoing)</v>
      </c>
      <c r="M386" s="39">
        <f t="array" ref="M386">MAX(_xlfn.XLOOKUP($A386,TRIM(SUBSTITUTE('worker file'!$A$2:$A$406,_xlfn.UNICHAR(160)," ")),'worker file'!$M$2:$M$406,0),_xlfn.XLOOKUP($B386,TRIM('pay group &amp; schedule'!$A$2:$A$6),'pay group &amp; schedule'!$D$2:$D$6,0))</f>
        <v>46311</v>
      </c>
      <c r="N386" s="39" t="str">
        <f t="array" ref="N386">_xlfn.LET(_xlpm.t,_xlfn.XLOOKUP($A386,TRIM(SUBSTITUTE('worker file'!$A$2:$A$406,_xlfn.UNICHAR(160)," ")),'worker file'!$N$2:$N$406,""),IF(N(_xlpm.t)=0,"",_xlpm.t))</f>
        <v/>
      </c>
    </row>
    <row r="387" spans="1:14" x14ac:dyDescent="0.2">
      <c r="A387" s="35" t="s">
        <v>233</v>
      </c>
      <c r="B387" s="36" t="str">
        <f t="array" ref="B387">_xlfn.XLOOKUP($A387,TRIM(SUBSTITUTE('worker file'!$A$2:$A$406,_xlfn.UNICHAR(160)," ")),'worker file'!$L$2:$L$406,"Not found")</f>
        <v>US Semi-monthly</v>
      </c>
      <c r="C387" s="36" t="str">
        <f t="array" ref="C387">_xlfn.XLOOKUP($A387,TRIM(SUBSTITUTE('worker file'!$A$2:$A$406,_xlfn.UNICHAR(160)," ")),'worker file'!$D$2:$D$406,"Not found")</f>
        <v>CA</v>
      </c>
      <c r="D387" s="36" t="str">
        <f t="array" ref="D387">_xlfn.XLOOKUP($A387,TRIM(SUBSTITUTE('worker file'!$A$2:$A$406,_xlfn.UNICHAR(160)," ")),'worker file'!$Q$2:$Q$406,"Not found")</f>
        <v>Active</v>
      </c>
      <c r="E387" s="35" t="s">
        <v>626</v>
      </c>
      <c r="F387" t="str">
        <f t="shared" si="39"/>
        <v>Medical (Health) – Employee</v>
      </c>
      <c r="G387" t="str">
        <f t="shared" si="40"/>
        <v>Pre-tax Section 125 (exempt from FIT/SIT/FICA)</v>
      </c>
      <c r="H387" t="str">
        <f t="shared" si="41"/>
        <v>Flat</v>
      </c>
      <c r="I387" s="40" t="str">
        <f>IF($H387="Percent",_xlfn.XLOOKUP($E387,$A$5:$A$8,$F$5:$F$8,""),"")</f>
        <v/>
      </c>
      <c r="J387" s="38">
        <f t="shared" si="42"/>
        <v>200</v>
      </c>
      <c r="K387" t="str">
        <f t="shared" si="43"/>
        <v>Per pay period</v>
      </c>
      <c r="L387" t="str">
        <f t="shared" si="44"/>
        <v>Every pay period (ongoing)</v>
      </c>
      <c r="M387" s="39">
        <f t="array" ref="M387">MAX(_xlfn.XLOOKUP($A387,TRIM(SUBSTITUTE('worker file'!$A$2:$A$406,_xlfn.UNICHAR(160)," ")),'worker file'!$M$2:$M$406,0),_xlfn.XLOOKUP($B387,TRIM('pay group &amp; schedule'!$A$2:$A$6),'pay group &amp; schedule'!$D$2:$D$6,0))</f>
        <v>46311</v>
      </c>
      <c r="N387" s="39" t="str">
        <f t="array" ref="N387">_xlfn.LET(_xlpm.t,_xlfn.XLOOKUP($A387,TRIM(SUBSTITUTE('worker file'!$A$2:$A$406,_xlfn.UNICHAR(160)," ")),'worker file'!$N$2:$N$406,""),IF(N(_xlpm.t)=0,"",_xlpm.t))</f>
        <v/>
      </c>
    </row>
    <row r="388" spans="1:14" x14ac:dyDescent="0.2">
      <c r="A388" s="35" t="s">
        <v>233</v>
      </c>
      <c r="B388" s="36" t="str">
        <f t="array" ref="B388">_xlfn.XLOOKUP($A388,TRIM(SUBSTITUTE('worker file'!$A$2:$A$406,_xlfn.UNICHAR(160)," ")),'worker file'!$L$2:$L$406,"Not found")</f>
        <v>US Semi-monthly</v>
      </c>
      <c r="C388" s="36" t="str">
        <f t="array" ref="C388">_xlfn.XLOOKUP($A388,TRIM(SUBSTITUTE('worker file'!$A$2:$A$406,_xlfn.UNICHAR(160)," ")),'worker file'!$D$2:$D$406,"Not found")</f>
        <v>CA</v>
      </c>
      <c r="D388" s="36" t="str">
        <f t="array" ref="D388">_xlfn.XLOOKUP($A388,TRIM(SUBSTITUTE('worker file'!$A$2:$A$406,_xlfn.UNICHAR(160)," ")),'worker file'!$Q$2:$Q$406,"Not found")</f>
        <v>Active</v>
      </c>
      <c r="E388" s="35" t="s">
        <v>632</v>
      </c>
      <c r="F388" t="str">
        <f t="shared" si="39"/>
        <v>Dental – Employee</v>
      </c>
      <c r="G388" t="str">
        <f t="shared" si="40"/>
        <v>Pre-tax Section 125 (exempt from FIT/SIT/FICA)</v>
      </c>
      <c r="H388" t="str">
        <f t="shared" si="41"/>
        <v>Flat</v>
      </c>
      <c r="I388" s="40" t="str">
        <f>IF($H388="Percent",_xlfn.XLOOKUP($E388,$A$5:$A$8,$F$5:$F$8,""),"")</f>
        <v/>
      </c>
      <c r="J388" s="38">
        <f t="shared" si="42"/>
        <v>44</v>
      </c>
      <c r="K388" t="str">
        <f t="shared" si="43"/>
        <v>Per pay period</v>
      </c>
      <c r="L388" t="str">
        <f t="shared" si="44"/>
        <v>Every pay period (ongoing)</v>
      </c>
      <c r="M388" s="39">
        <f t="array" ref="M388">MAX(_xlfn.XLOOKUP($A388,TRIM(SUBSTITUTE('worker file'!$A$2:$A$406,_xlfn.UNICHAR(160)," ")),'worker file'!$M$2:$M$406,0),_xlfn.XLOOKUP($B388,TRIM('pay group &amp; schedule'!$A$2:$A$6),'pay group &amp; schedule'!$D$2:$D$6,0))</f>
        <v>46311</v>
      </c>
      <c r="N388" s="39" t="str">
        <f t="array" ref="N388">_xlfn.LET(_xlpm.t,_xlfn.XLOOKUP($A388,TRIM(SUBSTITUTE('worker file'!$A$2:$A$406,_xlfn.UNICHAR(160)," ")),'worker file'!$N$2:$N$406,""),IF(N(_xlpm.t)=0,"",_xlpm.t))</f>
        <v/>
      </c>
    </row>
    <row r="389" spans="1:14" x14ac:dyDescent="0.2">
      <c r="A389" s="35" t="s">
        <v>233</v>
      </c>
      <c r="B389" s="36" t="str">
        <f t="array" ref="B389">_xlfn.XLOOKUP($A389,TRIM(SUBSTITUTE('worker file'!$A$2:$A$406,_xlfn.UNICHAR(160)," ")),'worker file'!$L$2:$L$406,"Not found")</f>
        <v>US Semi-monthly</v>
      </c>
      <c r="C389" s="36" t="str">
        <f t="array" ref="C389">_xlfn.XLOOKUP($A389,TRIM(SUBSTITUTE('worker file'!$A$2:$A$406,_xlfn.UNICHAR(160)," ")),'worker file'!$D$2:$D$406,"Not found")</f>
        <v>CA</v>
      </c>
      <c r="D389" s="36" t="str">
        <f t="array" ref="D389">_xlfn.XLOOKUP($A389,TRIM(SUBSTITUTE('worker file'!$A$2:$A$406,_xlfn.UNICHAR(160)," ")),'worker file'!$Q$2:$Q$406,"Not found")</f>
        <v>Active</v>
      </c>
      <c r="E389" s="35" t="s">
        <v>634</v>
      </c>
      <c r="F389" t="str">
        <f t="shared" si="39"/>
        <v>Vision – Employee</v>
      </c>
      <c r="G389" t="str">
        <f t="shared" si="40"/>
        <v>Pre-tax Section 125 (exempt from FIT/SIT/FICA)</v>
      </c>
      <c r="H389" t="str">
        <f t="shared" si="41"/>
        <v>Flat</v>
      </c>
      <c r="I389" s="40" t="str">
        <f>IF($H389="Percent",_xlfn.XLOOKUP($E389,$A$5:$A$8,$F$5:$F$8,""),"")</f>
        <v/>
      </c>
      <c r="J389" s="38">
        <f t="shared" si="42"/>
        <v>30</v>
      </c>
      <c r="K389" t="str">
        <f t="shared" si="43"/>
        <v>Per pay period</v>
      </c>
      <c r="L389" t="str">
        <f t="shared" si="44"/>
        <v>Every pay period (ongoing)</v>
      </c>
      <c r="M389" s="39">
        <f t="array" ref="M389">MAX(_xlfn.XLOOKUP($A389,TRIM(SUBSTITUTE('worker file'!$A$2:$A$406,_xlfn.UNICHAR(160)," ")),'worker file'!$M$2:$M$406,0),_xlfn.XLOOKUP($B389,TRIM('pay group &amp; schedule'!$A$2:$A$6),'pay group &amp; schedule'!$D$2:$D$6,0))</f>
        <v>46311</v>
      </c>
      <c r="N389" s="39" t="str">
        <f t="array" ref="N389">_xlfn.LET(_xlpm.t,_xlfn.XLOOKUP($A389,TRIM(SUBSTITUTE('worker file'!$A$2:$A$406,_xlfn.UNICHAR(160)," ")),'worker file'!$N$2:$N$406,""),IF(N(_xlpm.t)=0,"",_xlpm.t))</f>
        <v/>
      </c>
    </row>
    <row r="390" spans="1:14" x14ac:dyDescent="0.2">
      <c r="A390" s="35" t="s">
        <v>234</v>
      </c>
      <c r="B390" s="36" t="str">
        <f t="array" ref="B390">_xlfn.XLOOKUP($A390,TRIM(SUBSTITUTE('worker file'!$A$2:$A$406,_xlfn.UNICHAR(160)," ")),'worker file'!$L$2:$L$406,"Not found")</f>
        <v>US Semi-monthly</v>
      </c>
      <c r="C390" s="36" t="str">
        <f t="array" ref="C390">_xlfn.XLOOKUP($A390,TRIM(SUBSTITUTE('worker file'!$A$2:$A$406,_xlfn.UNICHAR(160)," ")),'worker file'!$D$2:$D$406,"Not found")</f>
        <v>MA</v>
      </c>
      <c r="D390" s="36" t="str">
        <f t="array" ref="D390">_xlfn.XLOOKUP($A390,TRIM(SUBSTITUTE('worker file'!$A$2:$A$406,_xlfn.UNICHAR(160)," ")),'worker file'!$Q$2:$Q$406,"Not found")</f>
        <v>Active</v>
      </c>
      <c r="E390" s="35" t="s">
        <v>618</v>
      </c>
      <c r="F390" t="str">
        <f t="shared" si="39"/>
        <v>401(k) Employee Deferral</v>
      </c>
      <c r="G390" t="str">
        <f t="shared" si="40"/>
        <v>Pre-tax (exempt from FIT/SIT; subject to FICA)</v>
      </c>
      <c r="H390" t="str">
        <f t="shared" si="41"/>
        <v>Percent</v>
      </c>
      <c r="I390" s="37">
        <v>0</v>
      </c>
      <c r="J390" s="38" t="str">
        <f t="shared" si="42"/>
        <v/>
      </c>
      <c r="K390" t="str">
        <f t="shared" si="43"/>
        <v>Gross pay</v>
      </c>
      <c r="L390" t="str">
        <f t="shared" si="44"/>
        <v>Every pay period (ongoing)</v>
      </c>
      <c r="M390" s="39">
        <f t="array" ref="M390">MAX(_xlfn.XLOOKUP($A390,TRIM(SUBSTITUTE('worker file'!$A$2:$A$406,_xlfn.UNICHAR(160)," ")),'worker file'!$M$2:$M$406,0),_xlfn.XLOOKUP($B390,TRIM('pay group &amp; schedule'!$A$2:$A$6),'pay group &amp; schedule'!$D$2:$D$6,0))</f>
        <v>46311</v>
      </c>
      <c r="N390" s="39" t="str">
        <f t="array" ref="N390">_xlfn.LET(_xlpm.t,_xlfn.XLOOKUP($A390,TRIM(SUBSTITUTE('worker file'!$A$2:$A$406,_xlfn.UNICHAR(160)," ")),'worker file'!$N$2:$N$406,""),IF(N(_xlpm.t)=0,"",_xlpm.t))</f>
        <v/>
      </c>
    </row>
    <row r="391" spans="1:14" x14ac:dyDescent="0.2">
      <c r="A391" s="35" t="s">
        <v>234</v>
      </c>
      <c r="B391" s="36" t="str">
        <f t="array" ref="B391">_xlfn.XLOOKUP($A391,TRIM(SUBSTITUTE('worker file'!$A$2:$A$406,_xlfn.UNICHAR(160)," ")),'worker file'!$L$2:$L$406,"Not found")</f>
        <v>US Semi-monthly</v>
      </c>
      <c r="C391" s="36" t="str">
        <f t="array" ref="C391">_xlfn.XLOOKUP($A391,TRIM(SUBSTITUTE('worker file'!$A$2:$A$406,_xlfn.UNICHAR(160)," ")),'worker file'!$D$2:$D$406,"Not found")</f>
        <v>MA</v>
      </c>
      <c r="D391" s="36" t="str">
        <f t="array" ref="D391">_xlfn.XLOOKUP($A391,TRIM(SUBSTITUTE('worker file'!$A$2:$A$406,_xlfn.UNICHAR(160)," ")),'worker file'!$Q$2:$Q$406,"Not found")</f>
        <v>Active</v>
      </c>
      <c r="E391" s="35" t="s">
        <v>626</v>
      </c>
      <c r="F391" t="str">
        <f t="shared" si="39"/>
        <v>Medical (Health) – Employee</v>
      </c>
      <c r="G391" t="str">
        <f t="shared" si="40"/>
        <v>Pre-tax Section 125 (exempt from FIT/SIT/FICA)</v>
      </c>
      <c r="H391" t="str">
        <f t="shared" si="41"/>
        <v>Flat</v>
      </c>
      <c r="I391" s="40" t="str">
        <f>IF($H391="Percent",_xlfn.XLOOKUP($E391,$A$5:$A$8,$F$5:$F$8,""),"")</f>
        <v/>
      </c>
      <c r="J391" s="38">
        <f t="shared" si="42"/>
        <v>200</v>
      </c>
      <c r="K391" t="str">
        <f t="shared" si="43"/>
        <v>Per pay period</v>
      </c>
      <c r="L391" t="str">
        <f t="shared" si="44"/>
        <v>Every pay period (ongoing)</v>
      </c>
      <c r="M391" s="39">
        <f t="array" ref="M391">MAX(_xlfn.XLOOKUP($A391,TRIM(SUBSTITUTE('worker file'!$A$2:$A$406,_xlfn.UNICHAR(160)," ")),'worker file'!$M$2:$M$406,0),_xlfn.XLOOKUP($B391,TRIM('pay group &amp; schedule'!$A$2:$A$6),'pay group &amp; schedule'!$D$2:$D$6,0))</f>
        <v>46311</v>
      </c>
      <c r="N391" s="39" t="str">
        <f t="array" ref="N391">_xlfn.LET(_xlpm.t,_xlfn.XLOOKUP($A391,TRIM(SUBSTITUTE('worker file'!$A$2:$A$406,_xlfn.UNICHAR(160)," ")),'worker file'!$N$2:$N$406,""),IF(N(_xlpm.t)=0,"",_xlpm.t))</f>
        <v/>
      </c>
    </row>
    <row r="392" spans="1:14" x14ac:dyDescent="0.2">
      <c r="A392" s="35" t="s">
        <v>234</v>
      </c>
      <c r="B392" s="36" t="str">
        <f t="array" ref="B392">_xlfn.XLOOKUP($A392,TRIM(SUBSTITUTE('worker file'!$A$2:$A$406,_xlfn.UNICHAR(160)," ")),'worker file'!$L$2:$L$406,"Not found")</f>
        <v>US Semi-monthly</v>
      </c>
      <c r="C392" s="36" t="str">
        <f t="array" ref="C392">_xlfn.XLOOKUP($A392,TRIM(SUBSTITUTE('worker file'!$A$2:$A$406,_xlfn.UNICHAR(160)," ")),'worker file'!$D$2:$D$406,"Not found")</f>
        <v>MA</v>
      </c>
      <c r="D392" s="36" t="str">
        <f t="array" ref="D392">_xlfn.XLOOKUP($A392,TRIM(SUBSTITUTE('worker file'!$A$2:$A$406,_xlfn.UNICHAR(160)," ")),'worker file'!$Q$2:$Q$406,"Not found")</f>
        <v>Active</v>
      </c>
      <c r="E392" s="35" t="s">
        <v>632</v>
      </c>
      <c r="F392" t="str">
        <f t="shared" si="39"/>
        <v>Dental – Employee</v>
      </c>
      <c r="G392" t="str">
        <f t="shared" si="40"/>
        <v>Pre-tax Section 125 (exempt from FIT/SIT/FICA)</v>
      </c>
      <c r="H392" t="str">
        <f t="shared" si="41"/>
        <v>Flat</v>
      </c>
      <c r="I392" s="40" t="str">
        <f>IF($H392="Percent",_xlfn.XLOOKUP($E392,$A$5:$A$8,$F$5:$F$8,""),"")</f>
        <v/>
      </c>
      <c r="J392" s="38">
        <f t="shared" si="42"/>
        <v>44</v>
      </c>
      <c r="K392" t="str">
        <f t="shared" si="43"/>
        <v>Per pay period</v>
      </c>
      <c r="L392" t="str">
        <f t="shared" si="44"/>
        <v>Every pay period (ongoing)</v>
      </c>
      <c r="M392" s="39">
        <f t="array" ref="M392">MAX(_xlfn.XLOOKUP($A392,TRIM(SUBSTITUTE('worker file'!$A$2:$A$406,_xlfn.UNICHAR(160)," ")),'worker file'!$M$2:$M$406,0),_xlfn.XLOOKUP($B392,TRIM('pay group &amp; schedule'!$A$2:$A$6),'pay group &amp; schedule'!$D$2:$D$6,0))</f>
        <v>46311</v>
      </c>
      <c r="N392" s="39" t="str">
        <f t="array" ref="N392">_xlfn.LET(_xlpm.t,_xlfn.XLOOKUP($A392,TRIM(SUBSTITUTE('worker file'!$A$2:$A$406,_xlfn.UNICHAR(160)," ")),'worker file'!$N$2:$N$406,""),IF(N(_xlpm.t)=0,"",_xlpm.t))</f>
        <v/>
      </c>
    </row>
    <row r="393" spans="1:14" x14ac:dyDescent="0.2">
      <c r="A393" s="35" t="s">
        <v>234</v>
      </c>
      <c r="B393" s="36" t="str">
        <f t="array" ref="B393">_xlfn.XLOOKUP($A393,TRIM(SUBSTITUTE('worker file'!$A$2:$A$406,_xlfn.UNICHAR(160)," ")),'worker file'!$L$2:$L$406,"Not found")</f>
        <v>US Semi-monthly</v>
      </c>
      <c r="C393" s="36" t="str">
        <f t="array" ref="C393">_xlfn.XLOOKUP($A393,TRIM(SUBSTITUTE('worker file'!$A$2:$A$406,_xlfn.UNICHAR(160)," ")),'worker file'!$D$2:$D$406,"Not found")</f>
        <v>MA</v>
      </c>
      <c r="D393" s="36" t="str">
        <f t="array" ref="D393">_xlfn.XLOOKUP($A393,TRIM(SUBSTITUTE('worker file'!$A$2:$A$406,_xlfn.UNICHAR(160)," ")),'worker file'!$Q$2:$Q$406,"Not found")</f>
        <v>Active</v>
      </c>
      <c r="E393" s="35" t="s">
        <v>634</v>
      </c>
      <c r="F393" t="str">
        <f t="shared" si="39"/>
        <v>Vision – Employee</v>
      </c>
      <c r="G393" t="str">
        <f t="shared" si="40"/>
        <v>Pre-tax Section 125 (exempt from FIT/SIT/FICA)</v>
      </c>
      <c r="H393" t="str">
        <f t="shared" si="41"/>
        <v>Flat</v>
      </c>
      <c r="I393" s="40" t="str">
        <f>IF($H393="Percent",_xlfn.XLOOKUP($E393,$A$5:$A$8,$F$5:$F$8,""),"")</f>
        <v/>
      </c>
      <c r="J393" s="38">
        <f t="shared" si="42"/>
        <v>30</v>
      </c>
      <c r="K393" t="str">
        <f t="shared" si="43"/>
        <v>Per pay period</v>
      </c>
      <c r="L393" t="str">
        <f t="shared" si="44"/>
        <v>Every pay period (ongoing)</v>
      </c>
      <c r="M393" s="39">
        <f t="array" ref="M393">MAX(_xlfn.XLOOKUP($A393,TRIM(SUBSTITUTE('worker file'!$A$2:$A$406,_xlfn.UNICHAR(160)," ")),'worker file'!$M$2:$M$406,0),_xlfn.XLOOKUP($B393,TRIM('pay group &amp; schedule'!$A$2:$A$6),'pay group &amp; schedule'!$D$2:$D$6,0))</f>
        <v>46311</v>
      </c>
      <c r="N393" s="39" t="str">
        <f t="array" ref="N393">_xlfn.LET(_xlpm.t,_xlfn.XLOOKUP($A393,TRIM(SUBSTITUTE('worker file'!$A$2:$A$406,_xlfn.UNICHAR(160)," ")),'worker file'!$N$2:$N$406,""),IF(N(_xlpm.t)=0,"",_xlpm.t))</f>
        <v/>
      </c>
    </row>
    <row r="394" spans="1:14" x14ac:dyDescent="0.2">
      <c r="A394" s="35" t="s">
        <v>235</v>
      </c>
      <c r="B394" s="36" t="str">
        <f t="array" ref="B394">_xlfn.XLOOKUP($A394,TRIM(SUBSTITUTE('worker file'!$A$2:$A$406,_xlfn.UNICHAR(160)," ")),'worker file'!$L$2:$L$406,"Not found")</f>
        <v>US Semi-monthly</v>
      </c>
      <c r="C394" s="36" t="str">
        <f t="array" ref="C394">_xlfn.XLOOKUP($A394,TRIM(SUBSTITUTE('worker file'!$A$2:$A$406,_xlfn.UNICHAR(160)," ")),'worker file'!$D$2:$D$406,"Not found")</f>
        <v>WA</v>
      </c>
      <c r="D394" s="36" t="str">
        <f t="array" ref="D394">_xlfn.XLOOKUP($A394,TRIM(SUBSTITUTE('worker file'!$A$2:$A$406,_xlfn.UNICHAR(160)," ")),'worker file'!$Q$2:$Q$406,"Not found")</f>
        <v>Active</v>
      </c>
      <c r="E394" s="35" t="s">
        <v>618</v>
      </c>
      <c r="F394" t="str">
        <f t="shared" si="39"/>
        <v>401(k) Employee Deferral</v>
      </c>
      <c r="G394" t="str">
        <f t="shared" si="40"/>
        <v>Pre-tax (exempt from FIT/SIT; subject to FICA)</v>
      </c>
      <c r="H394" t="str">
        <f t="shared" si="41"/>
        <v>Percent</v>
      </c>
      <c r="I394" s="37">
        <v>0.05</v>
      </c>
      <c r="J394" s="38" t="str">
        <f t="shared" si="42"/>
        <v/>
      </c>
      <c r="K394" t="str">
        <f t="shared" si="43"/>
        <v>Gross pay</v>
      </c>
      <c r="L394" t="str">
        <f t="shared" si="44"/>
        <v>Every pay period (ongoing)</v>
      </c>
      <c r="M394" s="39">
        <f t="array" ref="M394">MAX(_xlfn.XLOOKUP($A394,TRIM(SUBSTITUTE('worker file'!$A$2:$A$406,_xlfn.UNICHAR(160)," ")),'worker file'!$M$2:$M$406,0),_xlfn.XLOOKUP($B394,TRIM('pay group &amp; schedule'!$A$2:$A$6),'pay group &amp; schedule'!$D$2:$D$6,0))</f>
        <v>46311</v>
      </c>
      <c r="N394" s="39" t="str">
        <f t="array" ref="N394">_xlfn.LET(_xlpm.t,_xlfn.XLOOKUP($A394,TRIM(SUBSTITUTE('worker file'!$A$2:$A$406,_xlfn.UNICHAR(160)," ")),'worker file'!$N$2:$N$406,""),IF(N(_xlpm.t)=0,"",_xlpm.t))</f>
        <v/>
      </c>
    </row>
    <row r="395" spans="1:14" x14ac:dyDescent="0.2">
      <c r="A395" s="35" t="s">
        <v>235</v>
      </c>
      <c r="B395" s="36" t="str">
        <f t="array" ref="B395">_xlfn.XLOOKUP($A395,TRIM(SUBSTITUTE('worker file'!$A$2:$A$406,_xlfn.UNICHAR(160)," ")),'worker file'!$L$2:$L$406,"Not found")</f>
        <v>US Semi-monthly</v>
      </c>
      <c r="C395" s="36" t="str">
        <f t="array" ref="C395">_xlfn.XLOOKUP($A395,TRIM(SUBSTITUTE('worker file'!$A$2:$A$406,_xlfn.UNICHAR(160)," ")),'worker file'!$D$2:$D$406,"Not found")</f>
        <v>WA</v>
      </c>
      <c r="D395" s="36" t="str">
        <f t="array" ref="D395">_xlfn.XLOOKUP($A395,TRIM(SUBSTITUTE('worker file'!$A$2:$A$406,_xlfn.UNICHAR(160)," ")),'worker file'!$Q$2:$Q$406,"Not found")</f>
        <v>Active</v>
      </c>
      <c r="E395" s="35" t="s">
        <v>626</v>
      </c>
      <c r="F395" t="str">
        <f t="shared" si="39"/>
        <v>Medical (Health) – Employee</v>
      </c>
      <c r="G395" t="str">
        <f t="shared" si="40"/>
        <v>Pre-tax Section 125 (exempt from FIT/SIT/FICA)</v>
      </c>
      <c r="H395" t="str">
        <f t="shared" si="41"/>
        <v>Flat</v>
      </c>
      <c r="I395" s="40" t="str">
        <f>IF($H395="Percent",_xlfn.XLOOKUP($E395,$A$5:$A$8,$F$5:$F$8,""),"")</f>
        <v/>
      </c>
      <c r="J395" s="38">
        <f t="shared" si="42"/>
        <v>200</v>
      </c>
      <c r="K395" t="str">
        <f t="shared" si="43"/>
        <v>Per pay period</v>
      </c>
      <c r="L395" t="str">
        <f t="shared" si="44"/>
        <v>Every pay period (ongoing)</v>
      </c>
      <c r="M395" s="39">
        <f t="array" ref="M395">MAX(_xlfn.XLOOKUP($A395,TRIM(SUBSTITUTE('worker file'!$A$2:$A$406,_xlfn.UNICHAR(160)," ")),'worker file'!$M$2:$M$406,0),_xlfn.XLOOKUP($B395,TRIM('pay group &amp; schedule'!$A$2:$A$6),'pay group &amp; schedule'!$D$2:$D$6,0))</f>
        <v>46311</v>
      </c>
      <c r="N395" s="39" t="str">
        <f t="array" ref="N395">_xlfn.LET(_xlpm.t,_xlfn.XLOOKUP($A395,TRIM(SUBSTITUTE('worker file'!$A$2:$A$406,_xlfn.UNICHAR(160)," ")),'worker file'!$N$2:$N$406,""),IF(N(_xlpm.t)=0,"",_xlpm.t))</f>
        <v/>
      </c>
    </row>
    <row r="396" spans="1:14" x14ac:dyDescent="0.2">
      <c r="A396" s="35" t="s">
        <v>235</v>
      </c>
      <c r="B396" s="36" t="str">
        <f t="array" ref="B396">_xlfn.XLOOKUP($A396,TRIM(SUBSTITUTE('worker file'!$A$2:$A$406,_xlfn.UNICHAR(160)," ")),'worker file'!$L$2:$L$406,"Not found")</f>
        <v>US Semi-monthly</v>
      </c>
      <c r="C396" s="36" t="str">
        <f t="array" ref="C396">_xlfn.XLOOKUP($A396,TRIM(SUBSTITUTE('worker file'!$A$2:$A$406,_xlfn.UNICHAR(160)," ")),'worker file'!$D$2:$D$406,"Not found")</f>
        <v>WA</v>
      </c>
      <c r="D396" s="36" t="str">
        <f t="array" ref="D396">_xlfn.XLOOKUP($A396,TRIM(SUBSTITUTE('worker file'!$A$2:$A$406,_xlfn.UNICHAR(160)," ")),'worker file'!$Q$2:$Q$406,"Not found")</f>
        <v>Active</v>
      </c>
      <c r="E396" s="35" t="s">
        <v>632</v>
      </c>
      <c r="F396" t="str">
        <f t="shared" ref="F396:F459" si="46">_xlfn.XLOOKUP($E396,$A$5:$A$8,$B$5:$B$8,"")</f>
        <v>Dental – Employee</v>
      </c>
      <c r="G396" t="str">
        <f t="shared" ref="G396:G459" si="47">_xlfn.XLOOKUP($E396,$A$5:$A$8,$D$5:$D$8,"")</f>
        <v>Pre-tax Section 125 (exempt from FIT/SIT/FICA)</v>
      </c>
      <c r="H396" t="str">
        <f t="shared" ref="H396:H459" si="48">_xlfn.XLOOKUP($E396,$A$5:$A$8,$E$5:$E$8,"")</f>
        <v>Flat</v>
      </c>
      <c r="I396" s="40" t="str">
        <f>IF($H396="Percent",_xlfn.XLOOKUP($E396,$A$5:$A$8,$F$5:$F$8,""),"")</f>
        <v/>
      </c>
      <c r="J396" s="38">
        <f t="shared" ref="J396:J459" si="49">IF($H396="Flat",_xlfn.XLOOKUP($E396,$A$5:$A$8,$F$5:$F$8,""),"")</f>
        <v>44</v>
      </c>
      <c r="K396" t="str">
        <f t="shared" ref="K396:K459" si="50">_xlfn.XLOOKUP($E396,$A$5:$A$8,$G$5:$G$8,"")</f>
        <v>Per pay period</v>
      </c>
      <c r="L396" t="str">
        <f t="shared" ref="L396:L459" si="51">_xlfn.XLOOKUP($E396,$A$5:$A$8,$H$5:$H$8,"")</f>
        <v>Every pay period (ongoing)</v>
      </c>
      <c r="M396" s="39">
        <f t="array" ref="M396">MAX(_xlfn.XLOOKUP($A396,TRIM(SUBSTITUTE('worker file'!$A$2:$A$406,_xlfn.UNICHAR(160)," ")),'worker file'!$M$2:$M$406,0),_xlfn.XLOOKUP($B396,TRIM('pay group &amp; schedule'!$A$2:$A$6),'pay group &amp; schedule'!$D$2:$D$6,0))</f>
        <v>46311</v>
      </c>
      <c r="N396" s="39" t="str">
        <f t="array" ref="N396">_xlfn.LET(_xlpm.t,_xlfn.XLOOKUP($A396,TRIM(SUBSTITUTE('worker file'!$A$2:$A$406,_xlfn.UNICHAR(160)," ")),'worker file'!$N$2:$N$406,""),IF(N(_xlpm.t)=0,"",_xlpm.t))</f>
        <v/>
      </c>
    </row>
    <row r="397" spans="1:14" x14ac:dyDescent="0.2">
      <c r="A397" s="35" t="s">
        <v>235</v>
      </c>
      <c r="B397" s="36" t="str">
        <f t="array" ref="B397">_xlfn.XLOOKUP($A397,TRIM(SUBSTITUTE('worker file'!$A$2:$A$406,_xlfn.UNICHAR(160)," ")),'worker file'!$L$2:$L$406,"Not found")</f>
        <v>US Semi-monthly</v>
      </c>
      <c r="C397" s="36" t="str">
        <f t="array" ref="C397">_xlfn.XLOOKUP($A397,TRIM(SUBSTITUTE('worker file'!$A$2:$A$406,_xlfn.UNICHAR(160)," ")),'worker file'!$D$2:$D$406,"Not found")</f>
        <v>WA</v>
      </c>
      <c r="D397" s="36" t="str">
        <f t="array" ref="D397">_xlfn.XLOOKUP($A397,TRIM(SUBSTITUTE('worker file'!$A$2:$A$406,_xlfn.UNICHAR(160)," ")),'worker file'!$Q$2:$Q$406,"Not found")</f>
        <v>Active</v>
      </c>
      <c r="E397" s="35" t="s">
        <v>634</v>
      </c>
      <c r="F397" t="str">
        <f t="shared" si="46"/>
        <v>Vision – Employee</v>
      </c>
      <c r="G397" t="str">
        <f t="shared" si="47"/>
        <v>Pre-tax Section 125 (exempt from FIT/SIT/FICA)</v>
      </c>
      <c r="H397" t="str">
        <f t="shared" si="48"/>
        <v>Flat</v>
      </c>
      <c r="I397" s="40" t="str">
        <f>IF($H397="Percent",_xlfn.XLOOKUP($E397,$A$5:$A$8,$F$5:$F$8,""),"")</f>
        <v/>
      </c>
      <c r="J397" s="38">
        <f t="shared" si="49"/>
        <v>30</v>
      </c>
      <c r="K397" t="str">
        <f t="shared" si="50"/>
        <v>Per pay period</v>
      </c>
      <c r="L397" t="str">
        <f t="shared" si="51"/>
        <v>Every pay period (ongoing)</v>
      </c>
      <c r="M397" s="39">
        <f t="array" ref="M397">MAX(_xlfn.XLOOKUP($A397,TRIM(SUBSTITUTE('worker file'!$A$2:$A$406,_xlfn.UNICHAR(160)," ")),'worker file'!$M$2:$M$406,0),_xlfn.XLOOKUP($B397,TRIM('pay group &amp; schedule'!$A$2:$A$6),'pay group &amp; schedule'!$D$2:$D$6,0))</f>
        <v>46311</v>
      </c>
      <c r="N397" s="39" t="str">
        <f t="array" ref="N397">_xlfn.LET(_xlpm.t,_xlfn.XLOOKUP($A397,TRIM(SUBSTITUTE('worker file'!$A$2:$A$406,_xlfn.UNICHAR(160)," ")),'worker file'!$N$2:$N$406,""),IF(N(_xlpm.t)=0,"",_xlpm.t))</f>
        <v/>
      </c>
    </row>
    <row r="398" spans="1:14" x14ac:dyDescent="0.2">
      <c r="A398" s="35" t="s">
        <v>237</v>
      </c>
      <c r="B398" s="36" t="str">
        <f t="array" ref="B398">_xlfn.XLOOKUP($A398,TRIM(SUBSTITUTE('worker file'!$A$2:$A$406,_xlfn.UNICHAR(160)," ")),'worker file'!$L$2:$L$406,"Not found")</f>
        <v>US Semi-monthly</v>
      </c>
      <c r="C398" s="36" t="str">
        <f t="array" ref="C398">_xlfn.XLOOKUP($A398,TRIM(SUBSTITUTE('worker file'!$A$2:$A$406,_xlfn.UNICHAR(160)," ")),'worker file'!$D$2:$D$406,"Not found")</f>
        <v>CA</v>
      </c>
      <c r="D398" s="36" t="str">
        <f t="array" ref="D398">_xlfn.XLOOKUP($A398,TRIM(SUBSTITUTE('worker file'!$A$2:$A$406,_xlfn.UNICHAR(160)," ")),'worker file'!$Q$2:$Q$406,"Not found")</f>
        <v>Active</v>
      </c>
      <c r="E398" s="35" t="s">
        <v>618</v>
      </c>
      <c r="F398" t="str">
        <f t="shared" si="46"/>
        <v>401(k) Employee Deferral</v>
      </c>
      <c r="G398" t="str">
        <f t="shared" si="47"/>
        <v>Pre-tax (exempt from FIT/SIT; subject to FICA)</v>
      </c>
      <c r="H398" t="str">
        <f t="shared" si="48"/>
        <v>Percent</v>
      </c>
      <c r="I398" s="37">
        <v>0.02</v>
      </c>
      <c r="J398" s="38" t="str">
        <f t="shared" si="49"/>
        <v/>
      </c>
      <c r="K398" t="str">
        <f t="shared" si="50"/>
        <v>Gross pay</v>
      </c>
      <c r="L398" t="str">
        <f t="shared" si="51"/>
        <v>Every pay period (ongoing)</v>
      </c>
      <c r="M398" s="39">
        <f t="array" ref="M398">MAX(_xlfn.XLOOKUP($A398,TRIM(SUBSTITUTE('worker file'!$A$2:$A$406,_xlfn.UNICHAR(160)," ")),'worker file'!$M$2:$M$406,0),_xlfn.XLOOKUP($B398,TRIM('pay group &amp; schedule'!$A$2:$A$6),'pay group &amp; schedule'!$D$2:$D$6,0))</f>
        <v>46311</v>
      </c>
      <c r="N398" s="39" t="str">
        <f t="array" ref="N398">_xlfn.LET(_xlpm.t,_xlfn.XLOOKUP($A398,TRIM(SUBSTITUTE('worker file'!$A$2:$A$406,_xlfn.UNICHAR(160)," ")),'worker file'!$N$2:$N$406,""),IF(N(_xlpm.t)=0,"",_xlpm.t))</f>
        <v/>
      </c>
    </row>
    <row r="399" spans="1:14" x14ac:dyDescent="0.2">
      <c r="A399" s="35" t="s">
        <v>237</v>
      </c>
      <c r="B399" s="36" t="str">
        <f t="array" ref="B399">_xlfn.XLOOKUP($A399,TRIM(SUBSTITUTE('worker file'!$A$2:$A$406,_xlfn.UNICHAR(160)," ")),'worker file'!$L$2:$L$406,"Not found")</f>
        <v>US Semi-monthly</v>
      </c>
      <c r="C399" s="36" t="str">
        <f t="array" ref="C399">_xlfn.XLOOKUP($A399,TRIM(SUBSTITUTE('worker file'!$A$2:$A$406,_xlfn.UNICHAR(160)," ")),'worker file'!$D$2:$D$406,"Not found")</f>
        <v>CA</v>
      </c>
      <c r="D399" s="36" t="str">
        <f t="array" ref="D399">_xlfn.XLOOKUP($A399,TRIM(SUBSTITUTE('worker file'!$A$2:$A$406,_xlfn.UNICHAR(160)," ")),'worker file'!$Q$2:$Q$406,"Not found")</f>
        <v>Active</v>
      </c>
      <c r="E399" s="35" t="s">
        <v>626</v>
      </c>
      <c r="F399" t="str">
        <f t="shared" si="46"/>
        <v>Medical (Health) – Employee</v>
      </c>
      <c r="G399" t="str">
        <f t="shared" si="47"/>
        <v>Pre-tax Section 125 (exempt from FIT/SIT/FICA)</v>
      </c>
      <c r="H399" t="str">
        <f t="shared" si="48"/>
        <v>Flat</v>
      </c>
      <c r="I399" s="40" t="str">
        <f>IF($H399="Percent",_xlfn.XLOOKUP($E399,$A$5:$A$8,$F$5:$F$8,""),"")</f>
        <v/>
      </c>
      <c r="J399" s="38">
        <f t="shared" si="49"/>
        <v>200</v>
      </c>
      <c r="K399" t="str">
        <f t="shared" si="50"/>
        <v>Per pay period</v>
      </c>
      <c r="L399" t="str">
        <f t="shared" si="51"/>
        <v>Every pay period (ongoing)</v>
      </c>
      <c r="M399" s="39">
        <f t="array" ref="M399">MAX(_xlfn.XLOOKUP($A399,TRIM(SUBSTITUTE('worker file'!$A$2:$A$406,_xlfn.UNICHAR(160)," ")),'worker file'!$M$2:$M$406,0),_xlfn.XLOOKUP($B399,TRIM('pay group &amp; schedule'!$A$2:$A$6),'pay group &amp; schedule'!$D$2:$D$6,0))</f>
        <v>46311</v>
      </c>
      <c r="N399" s="39" t="str">
        <f t="array" ref="N399">_xlfn.LET(_xlpm.t,_xlfn.XLOOKUP($A399,TRIM(SUBSTITUTE('worker file'!$A$2:$A$406,_xlfn.UNICHAR(160)," ")),'worker file'!$N$2:$N$406,""),IF(N(_xlpm.t)=0,"",_xlpm.t))</f>
        <v/>
      </c>
    </row>
    <row r="400" spans="1:14" x14ac:dyDescent="0.2">
      <c r="A400" s="35" t="s">
        <v>237</v>
      </c>
      <c r="B400" s="36" t="str">
        <f t="array" ref="B400">_xlfn.XLOOKUP($A400,TRIM(SUBSTITUTE('worker file'!$A$2:$A$406,_xlfn.UNICHAR(160)," ")),'worker file'!$L$2:$L$406,"Not found")</f>
        <v>US Semi-monthly</v>
      </c>
      <c r="C400" s="36" t="str">
        <f t="array" ref="C400">_xlfn.XLOOKUP($A400,TRIM(SUBSTITUTE('worker file'!$A$2:$A$406,_xlfn.UNICHAR(160)," ")),'worker file'!$D$2:$D$406,"Not found")</f>
        <v>CA</v>
      </c>
      <c r="D400" s="36" t="str">
        <f t="array" ref="D400">_xlfn.XLOOKUP($A400,TRIM(SUBSTITUTE('worker file'!$A$2:$A$406,_xlfn.UNICHAR(160)," ")),'worker file'!$Q$2:$Q$406,"Not found")</f>
        <v>Active</v>
      </c>
      <c r="E400" s="35" t="s">
        <v>632</v>
      </c>
      <c r="F400" t="str">
        <f t="shared" si="46"/>
        <v>Dental – Employee</v>
      </c>
      <c r="G400" t="str">
        <f t="shared" si="47"/>
        <v>Pre-tax Section 125 (exempt from FIT/SIT/FICA)</v>
      </c>
      <c r="H400" t="str">
        <f t="shared" si="48"/>
        <v>Flat</v>
      </c>
      <c r="I400" s="40" t="str">
        <f>IF($H400="Percent",_xlfn.XLOOKUP($E400,$A$5:$A$8,$F$5:$F$8,""),"")</f>
        <v/>
      </c>
      <c r="J400" s="38">
        <f t="shared" si="49"/>
        <v>44</v>
      </c>
      <c r="K400" t="str">
        <f t="shared" si="50"/>
        <v>Per pay period</v>
      </c>
      <c r="L400" t="str">
        <f t="shared" si="51"/>
        <v>Every pay period (ongoing)</v>
      </c>
      <c r="M400" s="39">
        <f t="array" ref="M400">MAX(_xlfn.XLOOKUP($A400,TRIM(SUBSTITUTE('worker file'!$A$2:$A$406,_xlfn.UNICHAR(160)," ")),'worker file'!$M$2:$M$406,0),_xlfn.XLOOKUP($B400,TRIM('pay group &amp; schedule'!$A$2:$A$6),'pay group &amp; schedule'!$D$2:$D$6,0))</f>
        <v>46311</v>
      </c>
      <c r="N400" s="39" t="str">
        <f t="array" ref="N400">_xlfn.LET(_xlpm.t,_xlfn.XLOOKUP($A400,TRIM(SUBSTITUTE('worker file'!$A$2:$A$406,_xlfn.UNICHAR(160)," ")),'worker file'!$N$2:$N$406,""),IF(N(_xlpm.t)=0,"",_xlpm.t))</f>
        <v/>
      </c>
    </row>
    <row r="401" spans="1:14" x14ac:dyDescent="0.2">
      <c r="A401" s="35" t="s">
        <v>237</v>
      </c>
      <c r="B401" s="36" t="str">
        <f t="array" ref="B401">_xlfn.XLOOKUP($A401,TRIM(SUBSTITUTE('worker file'!$A$2:$A$406,_xlfn.UNICHAR(160)," ")),'worker file'!$L$2:$L$406,"Not found")</f>
        <v>US Semi-monthly</v>
      </c>
      <c r="C401" s="36" t="str">
        <f t="array" ref="C401">_xlfn.XLOOKUP($A401,TRIM(SUBSTITUTE('worker file'!$A$2:$A$406,_xlfn.UNICHAR(160)," ")),'worker file'!$D$2:$D$406,"Not found")</f>
        <v>CA</v>
      </c>
      <c r="D401" s="36" t="str">
        <f t="array" ref="D401">_xlfn.XLOOKUP($A401,TRIM(SUBSTITUTE('worker file'!$A$2:$A$406,_xlfn.UNICHAR(160)," ")),'worker file'!$Q$2:$Q$406,"Not found")</f>
        <v>Active</v>
      </c>
      <c r="E401" s="35" t="s">
        <v>634</v>
      </c>
      <c r="F401" t="str">
        <f t="shared" si="46"/>
        <v>Vision – Employee</v>
      </c>
      <c r="G401" t="str">
        <f t="shared" si="47"/>
        <v>Pre-tax Section 125 (exempt from FIT/SIT/FICA)</v>
      </c>
      <c r="H401" t="str">
        <f t="shared" si="48"/>
        <v>Flat</v>
      </c>
      <c r="I401" s="40" t="str">
        <f>IF($H401="Percent",_xlfn.XLOOKUP($E401,$A$5:$A$8,$F$5:$F$8,""),"")</f>
        <v/>
      </c>
      <c r="J401" s="38">
        <f t="shared" si="49"/>
        <v>30</v>
      </c>
      <c r="K401" t="str">
        <f t="shared" si="50"/>
        <v>Per pay period</v>
      </c>
      <c r="L401" t="str">
        <f t="shared" si="51"/>
        <v>Every pay period (ongoing)</v>
      </c>
      <c r="M401" s="39">
        <f t="array" ref="M401">MAX(_xlfn.XLOOKUP($A401,TRIM(SUBSTITUTE('worker file'!$A$2:$A$406,_xlfn.UNICHAR(160)," ")),'worker file'!$M$2:$M$406,0),_xlfn.XLOOKUP($B401,TRIM('pay group &amp; schedule'!$A$2:$A$6),'pay group &amp; schedule'!$D$2:$D$6,0))</f>
        <v>46311</v>
      </c>
      <c r="N401" s="39" t="str">
        <f t="array" ref="N401">_xlfn.LET(_xlpm.t,_xlfn.XLOOKUP($A401,TRIM(SUBSTITUTE('worker file'!$A$2:$A$406,_xlfn.UNICHAR(160)," ")),'worker file'!$N$2:$N$406,""),IF(N(_xlpm.t)=0,"",_xlpm.t))</f>
        <v/>
      </c>
    </row>
    <row r="402" spans="1:14" x14ac:dyDescent="0.2">
      <c r="A402" s="35" t="s">
        <v>238</v>
      </c>
      <c r="B402" s="36" t="str">
        <f t="array" ref="B402">_xlfn.XLOOKUP($A402,TRIM(SUBSTITUTE('worker file'!$A$2:$A$406,_xlfn.UNICHAR(160)," ")),'worker file'!$L$2:$L$406,"Not found")</f>
        <v>US Biweekly</v>
      </c>
      <c r="C402" s="36" t="str">
        <f t="array" ref="C402">_xlfn.XLOOKUP($A402,TRIM(SUBSTITUTE('worker file'!$A$2:$A$406,_xlfn.UNICHAR(160)," ")),'worker file'!$D$2:$D$406,"Not found")</f>
        <v>CA</v>
      </c>
      <c r="D402" s="36" t="str">
        <f t="array" ref="D402">_xlfn.XLOOKUP($A402,TRIM(SUBSTITUTE('worker file'!$A$2:$A$406,_xlfn.UNICHAR(160)," ")),'worker file'!$Q$2:$Q$406,"Not found")</f>
        <v>Active</v>
      </c>
      <c r="E402" s="35" t="s">
        <v>618</v>
      </c>
      <c r="F402" t="str">
        <f t="shared" si="46"/>
        <v>401(k) Employee Deferral</v>
      </c>
      <c r="G402" t="str">
        <f t="shared" si="47"/>
        <v>Pre-tax (exempt from FIT/SIT; subject to FICA)</v>
      </c>
      <c r="H402" t="str">
        <f t="shared" si="48"/>
        <v>Percent</v>
      </c>
      <c r="I402" s="37">
        <v>7.0000000000000007E-2</v>
      </c>
      <c r="J402" s="38" t="str">
        <f t="shared" si="49"/>
        <v/>
      </c>
      <c r="K402" t="str">
        <f t="shared" si="50"/>
        <v>Gross pay</v>
      </c>
      <c r="L402" t="str">
        <f t="shared" si="51"/>
        <v>Every pay period (ongoing)</v>
      </c>
      <c r="M402" s="39">
        <f t="array" ref="M402">MAX(_xlfn.XLOOKUP($A402,TRIM(SUBSTITUTE('worker file'!$A$2:$A$406,_xlfn.UNICHAR(160)," ")),'worker file'!$M$2:$M$406,0),_xlfn.XLOOKUP($B402,TRIM('pay group &amp; schedule'!$A$2:$A$6),'pay group &amp; schedule'!$D$2:$D$6,0))</f>
        <v>46299</v>
      </c>
      <c r="N402" s="39" t="str">
        <f t="array" ref="N402">_xlfn.LET(_xlpm.t,_xlfn.XLOOKUP($A402,TRIM(SUBSTITUTE('worker file'!$A$2:$A$406,_xlfn.UNICHAR(160)," ")),'worker file'!$N$2:$N$406,""),IF(N(_xlpm.t)=0,"",_xlpm.t))</f>
        <v/>
      </c>
    </row>
    <row r="403" spans="1:14" x14ac:dyDescent="0.2">
      <c r="A403" s="35" t="s">
        <v>238</v>
      </c>
      <c r="B403" s="36" t="str">
        <f t="array" ref="B403">_xlfn.XLOOKUP($A403,TRIM(SUBSTITUTE('worker file'!$A$2:$A$406,_xlfn.UNICHAR(160)," ")),'worker file'!$L$2:$L$406,"Not found")</f>
        <v>US Biweekly</v>
      </c>
      <c r="C403" s="36" t="str">
        <f t="array" ref="C403">_xlfn.XLOOKUP($A403,TRIM(SUBSTITUTE('worker file'!$A$2:$A$406,_xlfn.UNICHAR(160)," ")),'worker file'!$D$2:$D$406,"Not found")</f>
        <v>CA</v>
      </c>
      <c r="D403" s="36" t="str">
        <f t="array" ref="D403">_xlfn.XLOOKUP($A403,TRIM(SUBSTITUTE('worker file'!$A$2:$A$406,_xlfn.UNICHAR(160)," ")),'worker file'!$Q$2:$Q$406,"Not found")</f>
        <v>Active</v>
      </c>
      <c r="E403" s="35" t="s">
        <v>626</v>
      </c>
      <c r="F403" t="str">
        <f t="shared" si="46"/>
        <v>Medical (Health) – Employee</v>
      </c>
      <c r="G403" t="str">
        <f t="shared" si="47"/>
        <v>Pre-tax Section 125 (exempt from FIT/SIT/FICA)</v>
      </c>
      <c r="H403" t="str">
        <f t="shared" si="48"/>
        <v>Flat</v>
      </c>
      <c r="I403" s="40" t="str">
        <f t="shared" ref="I403:I408" si="52">IF($H403="Percent",_xlfn.XLOOKUP($E403,$A$5:$A$8,$F$5:$F$8,""),"")</f>
        <v/>
      </c>
      <c r="J403" s="38">
        <f t="shared" si="49"/>
        <v>200</v>
      </c>
      <c r="K403" t="str">
        <f t="shared" si="50"/>
        <v>Per pay period</v>
      </c>
      <c r="L403" t="str">
        <f t="shared" si="51"/>
        <v>Every pay period (ongoing)</v>
      </c>
      <c r="M403" s="39">
        <f t="array" ref="M403">MAX(_xlfn.XLOOKUP($A403,TRIM(SUBSTITUTE('worker file'!$A$2:$A$406,_xlfn.UNICHAR(160)," ")),'worker file'!$M$2:$M$406,0),_xlfn.XLOOKUP($B403,TRIM('pay group &amp; schedule'!$A$2:$A$6),'pay group &amp; schedule'!$D$2:$D$6,0))</f>
        <v>46299</v>
      </c>
      <c r="N403" s="39" t="str">
        <f t="array" ref="N403">_xlfn.LET(_xlpm.t,_xlfn.XLOOKUP($A403,TRIM(SUBSTITUTE('worker file'!$A$2:$A$406,_xlfn.UNICHAR(160)," ")),'worker file'!$N$2:$N$406,""),IF(N(_xlpm.t)=0,"",_xlpm.t))</f>
        <v/>
      </c>
    </row>
    <row r="404" spans="1:14" x14ac:dyDescent="0.2">
      <c r="A404" s="35" t="s">
        <v>238</v>
      </c>
      <c r="B404" s="36" t="str">
        <f t="array" ref="B404">_xlfn.XLOOKUP($A404,TRIM(SUBSTITUTE('worker file'!$A$2:$A$406,_xlfn.UNICHAR(160)," ")),'worker file'!$L$2:$L$406,"Not found")</f>
        <v>US Biweekly</v>
      </c>
      <c r="C404" s="36" t="str">
        <f t="array" ref="C404">_xlfn.XLOOKUP($A404,TRIM(SUBSTITUTE('worker file'!$A$2:$A$406,_xlfn.UNICHAR(160)," ")),'worker file'!$D$2:$D$406,"Not found")</f>
        <v>CA</v>
      </c>
      <c r="D404" s="36" t="str">
        <f t="array" ref="D404">_xlfn.XLOOKUP($A404,TRIM(SUBSTITUTE('worker file'!$A$2:$A$406,_xlfn.UNICHAR(160)," ")),'worker file'!$Q$2:$Q$406,"Not found")</f>
        <v>Active</v>
      </c>
      <c r="E404" s="35" t="s">
        <v>632</v>
      </c>
      <c r="F404" t="str">
        <f t="shared" si="46"/>
        <v>Dental – Employee</v>
      </c>
      <c r="G404" t="str">
        <f t="shared" si="47"/>
        <v>Pre-tax Section 125 (exempt from FIT/SIT/FICA)</v>
      </c>
      <c r="H404" t="str">
        <f t="shared" si="48"/>
        <v>Flat</v>
      </c>
      <c r="I404" s="40" t="str">
        <f t="shared" si="52"/>
        <v/>
      </c>
      <c r="J404" s="38">
        <f t="shared" si="49"/>
        <v>44</v>
      </c>
      <c r="K404" t="str">
        <f t="shared" si="50"/>
        <v>Per pay period</v>
      </c>
      <c r="L404" t="str">
        <f t="shared" si="51"/>
        <v>Every pay period (ongoing)</v>
      </c>
      <c r="M404" s="39">
        <f t="array" ref="M404">MAX(_xlfn.XLOOKUP($A404,TRIM(SUBSTITUTE('worker file'!$A$2:$A$406,_xlfn.UNICHAR(160)," ")),'worker file'!$M$2:$M$406,0),_xlfn.XLOOKUP($B404,TRIM('pay group &amp; schedule'!$A$2:$A$6),'pay group &amp; schedule'!$D$2:$D$6,0))</f>
        <v>46299</v>
      </c>
      <c r="N404" s="39" t="str">
        <f t="array" ref="N404">_xlfn.LET(_xlpm.t,_xlfn.XLOOKUP($A404,TRIM(SUBSTITUTE('worker file'!$A$2:$A$406,_xlfn.UNICHAR(160)," ")),'worker file'!$N$2:$N$406,""),IF(N(_xlpm.t)=0,"",_xlpm.t))</f>
        <v/>
      </c>
    </row>
    <row r="405" spans="1:14" x14ac:dyDescent="0.2">
      <c r="A405" s="35" t="s">
        <v>238</v>
      </c>
      <c r="B405" s="36" t="str">
        <f t="array" ref="B405">_xlfn.XLOOKUP($A405,TRIM(SUBSTITUTE('worker file'!$A$2:$A$406,_xlfn.UNICHAR(160)," ")),'worker file'!$L$2:$L$406,"Not found")</f>
        <v>US Biweekly</v>
      </c>
      <c r="C405" s="36" t="str">
        <f t="array" ref="C405">_xlfn.XLOOKUP($A405,TRIM(SUBSTITUTE('worker file'!$A$2:$A$406,_xlfn.UNICHAR(160)," ")),'worker file'!$D$2:$D$406,"Not found")</f>
        <v>CA</v>
      </c>
      <c r="D405" s="36" t="str">
        <f t="array" ref="D405">_xlfn.XLOOKUP($A405,TRIM(SUBSTITUTE('worker file'!$A$2:$A$406,_xlfn.UNICHAR(160)," ")),'worker file'!$Q$2:$Q$406,"Not found")</f>
        <v>Active</v>
      </c>
      <c r="E405" s="35" t="s">
        <v>634</v>
      </c>
      <c r="F405" t="str">
        <f t="shared" si="46"/>
        <v>Vision – Employee</v>
      </c>
      <c r="G405" t="str">
        <f t="shared" si="47"/>
        <v>Pre-tax Section 125 (exempt from FIT/SIT/FICA)</v>
      </c>
      <c r="H405" t="str">
        <f t="shared" si="48"/>
        <v>Flat</v>
      </c>
      <c r="I405" s="40" t="str">
        <f t="shared" si="52"/>
        <v/>
      </c>
      <c r="J405" s="38">
        <f t="shared" si="49"/>
        <v>30</v>
      </c>
      <c r="K405" t="str">
        <f t="shared" si="50"/>
        <v>Per pay period</v>
      </c>
      <c r="L405" t="str">
        <f t="shared" si="51"/>
        <v>Every pay period (ongoing)</v>
      </c>
      <c r="M405" s="39">
        <f t="array" ref="M405">MAX(_xlfn.XLOOKUP($A405,TRIM(SUBSTITUTE('worker file'!$A$2:$A$406,_xlfn.UNICHAR(160)," ")),'worker file'!$M$2:$M$406,0),_xlfn.XLOOKUP($B405,TRIM('pay group &amp; schedule'!$A$2:$A$6),'pay group &amp; schedule'!$D$2:$D$6,0))</f>
        <v>46299</v>
      </c>
      <c r="N405" s="39" t="str">
        <f t="array" ref="N405">_xlfn.LET(_xlpm.t,_xlfn.XLOOKUP($A405,TRIM(SUBSTITUTE('worker file'!$A$2:$A$406,_xlfn.UNICHAR(160)," ")),'worker file'!$N$2:$N$406,""),IF(N(_xlpm.t)=0,"",_xlpm.t))</f>
        <v/>
      </c>
    </row>
    <row r="406" spans="1:14" x14ac:dyDescent="0.2">
      <c r="A406" s="35" t="s">
        <v>240</v>
      </c>
      <c r="B406" s="36" t="str">
        <f t="array" ref="B406">_xlfn.XLOOKUP($A406,TRIM(SUBSTITUTE('worker file'!$A$2:$A$406,_xlfn.UNICHAR(160)," ")),'worker file'!$L$2:$L$406,"Not found")</f>
        <v>US Biweekly</v>
      </c>
      <c r="C406" s="36" t="str">
        <f t="array" ref="C406">_xlfn.XLOOKUP($A406,TRIM(SUBSTITUTE('worker file'!$A$2:$A$406,_xlfn.UNICHAR(160)," ")),'worker file'!$D$2:$D$406,"Not found")</f>
        <v>TX</v>
      </c>
      <c r="D406" s="36" t="str">
        <f t="array" ref="D406">_xlfn.XLOOKUP($A406,TRIM(SUBSTITUTE('worker file'!$A$2:$A$406,_xlfn.UNICHAR(160)," ")),'worker file'!$Q$2:$Q$406,"Not found")</f>
        <v>Active</v>
      </c>
      <c r="E406" s="35" t="s">
        <v>626</v>
      </c>
      <c r="F406" t="str">
        <f t="shared" si="46"/>
        <v>Medical (Health) – Employee</v>
      </c>
      <c r="G406" t="str">
        <f t="shared" si="47"/>
        <v>Pre-tax Section 125 (exempt from FIT/SIT/FICA)</v>
      </c>
      <c r="H406" t="str">
        <f t="shared" si="48"/>
        <v>Flat</v>
      </c>
      <c r="I406" s="40" t="str">
        <f t="shared" si="52"/>
        <v/>
      </c>
      <c r="J406" s="38">
        <f t="shared" si="49"/>
        <v>200</v>
      </c>
      <c r="K406" t="str">
        <f t="shared" si="50"/>
        <v>Per pay period</v>
      </c>
      <c r="L406" t="str">
        <f t="shared" si="51"/>
        <v>Every pay period (ongoing)</v>
      </c>
      <c r="M406" s="39">
        <f t="array" ref="M406">MAX(_xlfn.XLOOKUP($A406,TRIM(SUBSTITUTE('worker file'!$A$2:$A$406,_xlfn.UNICHAR(160)," ")),'worker file'!$M$2:$M$406,0),_xlfn.XLOOKUP($B406,TRIM('pay group &amp; schedule'!$A$2:$A$6),'pay group &amp; schedule'!$D$2:$D$6,0))</f>
        <v>46299</v>
      </c>
      <c r="N406" s="39" t="str">
        <f t="array" ref="N406">_xlfn.LET(_xlpm.t,_xlfn.XLOOKUP($A406,TRIM(SUBSTITUTE('worker file'!$A$2:$A$406,_xlfn.UNICHAR(160)," ")),'worker file'!$N$2:$N$406,""),IF(N(_xlpm.t)=0,"",_xlpm.t))</f>
        <v/>
      </c>
    </row>
    <row r="407" spans="1:14" x14ac:dyDescent="0.2">
      <c r="A407" s="35" t="s">
        <v>240</v>
      </c>
      <c r="B407" s="36" t="str">
        <f t="array" ref="B407">_xlfn.XLOOKUP($A407,TRIM(SUBSTITUTE('worker file'!$A$2:$A$406,_xlfn.UNICHAR(160)," ")),'worker file'!$L$2:$L$406,"Not found")</f>
        <v>US Biweekly</v>
      </c>
      <c r="C407" s="36" t="str">
        <f t="array" ref="C407">_xlfn.XLOOKUP($A407,TRIM(SUBSTITUTE('worker file'!$A$2:$A$406,_xlfn.UNICHAR(160)," ")),'worker file'!$D$2:$D$406,"Not found")</f>
        <v>TX</v>
      </c>
      <c r="D407" s="36" t="str">
        <f t="array" ref="D407">_xlfn.XLOOKUP($A407,TRIM(SUBSTITUTE('worker file'!$A$2:$A$406,_xlfn.UNICHAR(160)," ")),'worker file'!$Q$2:$Q$406,"Not found")</f>
        <v>Active</v>
      </c>
      <c r="E407" s="35" t="s">
        <v>632</v>
      </c>
      <c r="F407" t="str">
        <f t="shared" si="46"/>
        <v>Dental – Employee</v>
      </c>
      <c r="G407" t="str">
        <f t="shared" si="47"/>
        <v>Pre-tax Section 125 (exempt from FIT/SIT/FICA)</v>
      </c>
      <c r="H407" t="str">
        <f t="shared" si="48"/>
        <v>Flat</v>
      </c>
      <c r="I407" s="40" t="str">
        <f t="shared" si="52"/>
        <v/>
      </c>
      <c r="J407" s="38">
        <f t="shared" si="49"/>
        <v>44</v>
      </c>
      <c r="K407" t="str">
        <f t="shared" si="50"/>
        <v>Per pay period</v>
      </c>
      <c r="L407" t="str">
        <f t="shared" si="51"/>
        <v>Every pay period (ongoing)</v>
      </c>
      <c r="M407" s="39">
        <f t="array" ref="M407">MAX(_xlfn.XLOOKUP($A407,TRIM(SUBSTITUTE('worker file'!$A$2:$A$406,_xlfn.UNICHAR(160)," ")),'worker file'!$M$2:$M$406,0),_xlfn.XLOOKUP($B407,TRIM('pay group &amp; schedule'!$A$2:$A$6),'pay group &amp; schedule'!$D$2:$D$6,0))</f>
        <v>46299</v>
      </c>
      <c r="N407" s="39" t="str">
        <f t="array" ref="N407">_xlfn.LET(_xlpm.t,_xlfn.XLOOKUP($A407,TRIM(SUBSTITUTE('worker file'!$A$2:$A$406,_xlfn.UNICHAR(160)," ")),'worker file'!$N$2:$N$406,""),IF(N(_xlpm.t)=0,"",_xlpm.t))</f>
        <v/>
      </c>
    </row>
    <row r="408" spans="1:14" x14ac:dyDescent="0.2">
      <c r="A408" s="35" t="s">
        <v>240</v>
      </c>
      <c r="B408" s="36" t="str">
        <f t="array" ref="B408">_xlfn.XLOOKUP($A408,TRIM(SUBSTITUTE('worker file'!$A$2:$A$406,_xlfn.UNICHAR(160)," ")),'worker file'!$L$2:$L$406,"Not found")</f>
        <v>US Biweekly</v>
      </c>
      <c r="C408" s="36" t="str">
        <f t="array" ref="C408">_xlfn.XLOOKUP($A408,TRIM(SUBSTITUTE('worker file'!$A$2:$A$406,_xlfn.UNICHAR(160)," ")),'worker file'!$D$2:$D$406,"Not found")</f>
        <v>TX</v>
      </c>
      <c r="D408" s="36" t="str">
        <f t="array" ref="D408">_xlfn.XLOOKUP($A408,TRIM(SUBSTITUTE('worker file'!$A$2:$A$406,_xlfn.UNICHAR(160)," ")),'worker file'!$Q$2:$Q$406,"Not found")</f>
        <v>Active</v>
      </c>
      <c r="E408" s="35" t="s">
        <v>634</v>
      </c>
      <c r="F408" t="str">
        <f t="shared" si="46"/>
        <v>Vision – Employee</v>
      </c>
      <c r="G408" t="str">
        <f t="shared" si="47"/>
        <v>Pre-tax Section 125 (exempt from FIT/SIT/FICA)</v>
      </c>
      <c r="H408" t="str">
        <f t="shared" si="48"/>
        <v>Flat</v>
      </c>
      <c r="I408" s="40" t="str">
        <f t="shared" si="52"/>
        <v/>
      </c>
      <c r="J408" s="38">
        <f t="shared" si="49"/>
        <v>30</v>
      </c>
      <c r="K408" t="str">
        <f t="shared" si="50"/>
        <v>Per pay period</v>
      </c>
      <c r="L408" t="str">
        <f t="shared" si="51"/>
        <v>Every pay period (ongoing)</v>
      </c>
      <c r="M408" s="39">
        <f t="array" ref="M408">MAX(_xlfn.XLOOKUP($A408,TRIM(SUBSTITUTE('worker file'!$A$2:$A$406,_xlfn.UNICHAR(160)," ")),'worker file'!$M$2:$M$406,0),_xlfn.XLOOKUP($B408,TRIM('pay group &amp; schedule'!$A$2:$A$6),'pay group &amp; schedule'!$D$2:$D$6,0))</f>
        <v>46299</v>
      </c>
      <c r="N408" s="39" t="str">
        <f t="array" ref="N408">_xlfn.LET(_xlpm.t,_xlfn.XLOOKUP($A408,TRIM(SUBSTITUTE('worker file'!$A$2:$A$406,_xlfn.UNICHAR(160)," ")),'worker file'!$N$2:$N$406,""),IF(N(_xlpm.t)=0,"",_xlpm.t))</f>
        <v/>
      </c>
    </row>
    <row r="409" spans="1:14" x14ac:dyDescent="0.2">
      <c r="A409" s="35" t="s">
        <v>241</v>
      </c>
      <c r="B409" s="36" t="str">
        <f t="array" ref="B409">_xlfn.XLOOKUP($A409,TRIM(SUBSTITUTE('worker file'!$A$2:$A$406,_xlfn.UNICHAR(160)," ")),'worker file'!$L$2:$L$406,"Not found")</f>
        <v>US Semi-monthly</v>
      </c>
      <c r="C409" s="36" t="str">
        <f t="array" ref="C409">_xlfn.XLOOKUP($A409,TRIM(SUBSTITUTE('worker file'!$A$2:$A$406,_xlfn.UNICHAR(160)," ")),'worker file'!$D$2:$D$406,"Not found")</f>
        <v>WA</v>
      </c>
      <c r="D409" s="36" t="str">
        <f t="array" ref="D409">_xlfn.XLOOKUP($A409,TRIM(SUBSTITUTE('worker file'!$A$2:$A$406,_xlfn.UNICHAR(160)," ")),'worker file'!$Q$2:$Q$406,"Not found")</f>
        <v>Active</v>
      </c>
      <c r="E409" s="35" t="s">
        <v>618</v>
      </c>
      <c r="F409" t="str">
        <f t="shared" si="46"/>
        <v>401(k) Employee Deferral</v>
      </c>
      <c r="G409" t="str">
        <f t="shared" si="47"/>
        <v>Pre-tax (exempt from FIT/SIT; subject to FICA)</v>
      </c>
      <c r="H409" t="str">
        <f t="shared" si="48"/>
        <v>Percent</v>
      </c>
      <c r="I409" s="37">
        <v>0.01</v>
      </c>
      <c r="J409" s="38" t="str">
        <f t="shared" si="49"/>
        <v/>
      </c>
      <c r="K409" t="str">
        <f t="shared" si="50"/>
        <v>Gross pay</v>
      </c>
      <c r="L409" t="str">
        <f t="shared" si="51"/>
        <v>Every pay period (ongoing)</v>
      </c>
      <c r="M409" s="39">
        <f t="array" ref="M409">MAX(_xlfn.XLOOKUP($A409,TRIM(SUBSTITUTE('worker file'!$A$2:$A$406,_xlfn.UNICHAR(160)," ")),'worker file'!$M$2:$M$406,0),_xlfn.XLOOKUP($B409,TRIM('pay group &amp; schedule'!$A$2:$A$6),'pay group &amp; schedule'!$D$2:$D$6,0))</f>
        <v>46311</v>
      </c>
      <c r="N409" s="39" t="str">
        <f t="array" ref="N409">_xlfn.LET(_xlpm.t,_xlfn.XLOOKUP($A409,TRIM(SUBSTITUTE('worker file'!$A$2:$A$406,_xlfn.UNICHAR(160)," ")),'worker file'!$N$2:$N$406,""),IF(N(_xlpm.t)=0,"",_xlpm.t))</f>
        <v/>
      </c>
    </row>
    <row r="410" spans="1:14" x14ac:dyDescent="0.2">
      <c r="A410" s="35" t="s">
        <v>241</v>
      </c>
      <c r="B410" s="36" t="str">
        <f t="array" ref="B410">_xlfn.XLOOKUP($A410,TRIM(SUBSTITUTE('worker file'!$A$2:$A$406,_xlfn.UNICHAR(160)," ")),'worker file'!$L$2:$L$406,"Not found")</f>
        <v>US Semi-monthly</v>
      </c>
      <c r="C410" s="36" t="str">
        <f t="array" ref="C410">_xlfn.XLOOKUP($A410,TRIM(SUBSTITUTE('worker file'!$A$2:$A$406,_xlfn.UNICHAR(160)," ")),'worker file'!$D$2:$D$406,"Not found")</f>
        <v>WA</v>
      </c>
      <c r="D410" s="36" t="str">
        <f t="array" ref="D410">_xlfn.XLOOKUP($A410,TRIM(SUBSTITUTE('worker file'!$A$2:$A$406,_xlfn.UNICHAR(160)," ")),'worker file'!$Q$2:$Q$406,"Not found")</f>
        <v>Active</v>
      </c>
      <c r="E410" s="35" t="s">
        <v>626</v>
      </c>
      <c r="F410" t="str">
        <f t="shared" si="46"/>
        <v>Medical (Health) – Employee</v>
      </c>
      <c r="G410" t="str">
        <f t="shared" si="47"/>
        <v>Pre-tax Section 125 (exempt from FIT/SIT/FICA)</v>
      </c>
      <c r="H410" t="str">
        <f t="shared" si="48"/>
        <v>Flat</v>
      </c>
      <c r="I410" s="40" t="str">
        <f>IF($H410="Percent",_xlfn.XLOOKUP($E410,$A$5:$A$8,$F$5:$F$8,""),"")</f>
        <v/>
      </c>
      <c r="J410" s="38">
        <f t="shared" si="49"/>
        <v>200</v>
      </c>
      <c r="K410" t="str">
        <f t="shared" si="50"/>
        <v>Per pay period</v>
      </c>
      <c r="L410" t="str">
        <f t="shared" si="51"/>
        <v>Every pay period (ongoing)</v>
      </c>
      <c r="M410" s="39">
        <f t="array" ref="M410">MAX(_xlfn.XLOOKUP($A410,TRIM(SUBSTITUTE('worker file'!$A$2:$A$406,_xlfn.UNICHAR(160)," ")),'worker file'!$M$2:$M$406,0),_xlfn.XLOOKUP($B410,TRIM('pay group &amp; schedule'!$A$2:$A$6),'pay group &amp; schedule'!$D$2:$D$6,0))</f>
        <v>46311</v>
      </c>
      <c r="N410" s="39" t="str">
        <f t="array" ref="N410">_xlfn.LET(_xlpm.t,_xlfn.XLOOKUP($A410,TRIM(SUBSTITUTE('worker file'!$A$2:$A$406,_xlfn.UNICHAR(160)," ")),'worker file'!$N$2:$N$406,""),IF(N(_xlpm.t)=0,"",_xlpm.t))</f>
        <v/>
      </c>
    </row>
    <row r="411" spans="1:14" x14ac:dyDescent="0.2">
      <c r="A411" s="35" t="s">
        <v>241</v>
      </c>
      <c r="B411" s="36" t="str">
        <f t="array" ref="B411">_xlfn.XLOOKUP($A411,TRIM(SUBSTITUTE('worker file'!$A$2:$A$406,_xlfn.UNICHAR(160)," ")),'worker file'!$L$2:$L$406,"Not found")</f>
        <v>US Semi-monthly</v>
      </c>
      <c r="C411" s="36" t="str">
        <f t="array" ref="C411">_xlfn.XLOOKUP($A411,TRIM(SUBSTITUTE('worker file'!$A$2:$A$406,_xlfn.UNICHAR(160)," ")),'worker file'!$D$2:$D$406,"Not found")</f>
        <v>WA</v>
      </c>
      <c r="D411" s="36" t="str">
        <f t="array" ref="D411">_xlfn.XLOOKUP($A411,TRIM(SUBSTITUTE('worker file'!$A$2:$A$406,_xlfn.UNICHAR(160)," ")),'worker file'!$Q$2:$Q$406,"Not found")</f>
        <v>Active</v>
      </c>
      <c r="E411" s="35" t="s">
        <v>632</v>
      </c>
      <c r="F411" t="str">
        <f t="shared" si="46"/>
        <v>Dental – Employee</v>
      </c>
      <c r="G411" t="str">
        <f t="shared" si="47"/>
        <v>Pre-tax Section 125 (exempt from FIT/SIT/FICA)</v>
      </c>
      <c r="H411" t="str">
        <f t="shared" si="48"/>
        <v>Flat</v>
      </c>
      <c r="I411" s="40" t="str">
        <f>IF($H411="Percent",_xlfn.XLOOKUP($E411,$A$5:$A$8,$F$5:$F$8,""),"")</f>
        <v/>
      </c>
      <c r="J411" s="38">
        <f t="shared" si="49"/>
        <v>44</v>
      </c>
      <c r="K411" t="str">
        <f t="shared" si="50"/>
        <v>Per pay period</v>
      </c>
      <c r="L411" t="str">
        <f t="shared" si="51"/>
        <v>Every pay period (ongoing)</v>
      </c>
      <c r="M411" s="39">
        <f t="array" ref="M411">MAX(_xlfn.XLOOKUP($A411,TRIM(SUBSTITUTE('worker file'!$A$2:$A$406,_xlfn.UNICHAR(160)," ")),'worker file'!$M$2:$M$406,0),_xlfn.XLOOKUP($B411,TRIM('pay group &amp; schedule'!$A$2:$A$6),'pay group &amp; schedule'!$D$2:$D$6,0))</f>
        <v>46311</v>
      </c>
      <c r="N411" s="39" t="str">
        <f t="array" ref="N411">_xlfn.LET(_xlpm.t,_xlfn.XLOOKUP($A411,TRIM(SUBSTITUTE('worker file'!$A$2:$A$406,_xlfn.UNICHAR(160)," ")),'worker file'!$N$2:$N$406,""),IF(N(_xlpm.t)=0,"",_xlpm.t))</f>
        <v/>
      </c>
    </row>
    <row r="412" spans="1:14" x14ac:dyDescent="0.2">
      <c r="A412" s="35" t="s">
        <v>241</v>
      </c>
      <c r="B412" s="36" t="str">
        <f t="array" ref="B412">_xlfn.XLOOKUP($A412,TRIM(SUBSTITUTE('worker file'!$A$2:$A$406,_xlfn.UNICHAR(160)," ")),'worker file'!$L$2:$L$406,"Not found")</f>
        <v>US Semi-monthly</v>
      </c>
      <c r="C412" s="36" t="str">
        <f t="array" ref="C412">_xlfn.XLOOKUP($A412,TRIM(SUBSTITUTE('worker file'!$A$2:$A$406,_xlfn.UNICHAR(160)," ")),'worker file'!$D$2:$D$406,"Not found")</f>
        <v>WA</v>
      </c>
      <c r="D412" s="36" t="str">
        <f t="array" ref="D412">_xlfn.XLOOKUP($A412,TRIM(SUBSTITUTE('worker file'!$A$2:$A$406,_xlfn.UNICHAR(160)," ")),'worker file'!$Q$2:$Q$406,"Not found")</f>
        <v>Active</v>
      </c>
      <c r="E412" s="35" t="s">
        <v>634</v>
      </c>
      <c r="F412" t="str">
        <f t="shared" si="46"/>
        <v>Vision – Employee</v>
      </c>
      <c r="G412" t="str">
        <f t="shared" si="47"/>
        <v>Pre-tax Section 125 (exempt from FIT/SIT/FICA)</v>
      </c>
      <c r="H412" t="str">
        <f t="shared" si="48"/>
        <v>Flat</v>
      </c>
      <c r="I412" s="40" t="str">
        <f>IF($H412="Percent",_xlfn.XLOOKUP($E412,$A$5:$A$8,$F$5:$F$8,""),"")</f>
        <v/>
      </c>
      <c r="J412" s="38">
        <f t="shared" si="49"/>
        <v>30</v>
      </c>
      <c r="K412" t="str">
        <f t="shared" si="50"/>
        <v>Per pay period</v>
      </c>
      <c r="L412" t="str">
        <f t="shared" si="51"/>
        <v>Every pay period (ongoing)</v>
      </c>
      <c r="M412" s="39">
        <f t="array" ref="M412">MAX(_xlfn.XLOOKUP($A412,TRIM(SUBSTITUTE('worker file'!$A$2:$A$406,_xlfn.UNICHAR(160)," ")),'worker file'!$M$2:$M$406,0),_xlfn.XLOOKUP($B412,TRIM('pay group &amp; schedule'!$A$2:$A$6),'pay group &amp; schedule'!$D$2:$D$6,0))</f>
        <v>46311</v>
      </c>
      <c r="N412" s="39" t="str">
        <f t="array" ref="N412">_xlfn.LET(_xlpm.t,_xlfn.XLOOKUP($A412,TRIM(SUBSTITUTE('worker file'!$A$2:$A$406,_xlfn.UNICHAR(160)," ")),'worker file'!$N$2:$N$406,""),IF(N(_xlpm.t)=0,"",_xlpm.t))</f>
        <v/>
      </c>
    </row>
    <row r="413" spans="1:14" x14ac:dyDescent="0.2">
      <c r="A413" s="35" t="s">
        <v>244</v>
      </c>
      <c r="B413" s="36" t="str">
        <f t="array" ref="B413">_xlfn.XLOOKUP($A413,TRIM(SUBSTITUTE('worker file'!$A$2:$A$406,_xlfn.UNICHAR(160)," ")),'worker file'!$L$2:$L$406,"Not found")</f>
        <v>US Semi-monthly</v>
      </c>
      <c r="C413" s="36" t="str">
        <f t="array" ref="C413">_xlfn.XLOOKUP($A413,TRIM(SUBSTITUTE('worker file'!$A$2:$A$406,_xlfn.UNICHAR(160)," ")),'worker file'!$D$2:$D$406,"Not found")</f>
        <v>MA</v>
      </c>
      <c r="D413" s="36" t="str">
        <f t="array" ref="D413">_xlfn.XLOOKUP($A413,TRIM(SUBSTITUTE('worker file'!$A$2:$A$406,_xlfn.UNICHAR(160)," ")),'worker file'!$Q$2:$Q$406,"Not found")</f>
        <v>Active</v>
      </c>
      <c r="E413" s="35" t="s">
        <v>618</v>
      </c>
      <c r="F413" t="str">
        <f t="shared" si="46"/>
        <v>401(k) Employee Deferral</v>
      </c>
      <c r="G413" t="str">
        <f t="shared" si="47"/>
        <v>Pre-tax (exempt from FIT/SIT; subject to FICA)</v>
      </c>
      <c r="H413" t="str">
        <f t="shared" si="48"/>
        <v>Percent</v>
      </c>
      <c r="I413" s="37">
        <v>0.06</v>
      </c>
      <c r="J413" s="38" t="str">
        <f t="shared" si="49"/>
        <v/>
      </c>
      <c r="K413" t="str">
        <f t="shared" si="50"/>
        <v>Gross pay</v>
      </c>
      <c r="L413" t="str">
        <f t="shared" si="51"/>
        <v>Every pay period (ongoing)</v>
      </c>
      <c r="M413" s="39">
        <f t="array" ref="M413">MAX(_xlfn.XLOOKUP($A413,TRIM(SUBSTITUTE('worker file'!$A$2:$A$406,_xlfn.UNICHAR(160)," ")),'worker file'!$M$2:$M$406,0),_xlfn.XLOOKUP($B413,TRIM('pay group &amp; schedule'!$A$2:$A$6),'pay group &amp; schedule'!$D$2:$D$6,0))</f>
        <v>46311</v>
      </c>
      <c r="N413" s="39" t="str">
        <f t="array" ref="N413">_xlfn.LET(_xlpm.t,_xlfn.XLOOKUP($A413,TRIM(SUBSTITUTE('worker file'!$A$2:$A$406,_xlfn.UNICHAR(160)," ")),'worker file'!$N$2:$N$406,""),IF(N(_xlpm.t)=0,"",_xlpm.t))</f>
        <v/>
      </c>
    </row>
    <row r="414" spans="1:14" x14ac:dyDescent="0.2">
      <c r="A414" s="35" t="s">
        <v>244</v>
      </c>
      <c r="B414" s="36" t="str">
        <f t="array" ref="B414">_xlfn.XLOOKUP($A414,TRIM(SUBSTITUTE('worker file'!$A$2:$A$406,_xlfn.UNICHAR(160)," ")),'worker file'!$L$2:$L$406,"Not found")</f>
        <v>US Semi-monthly</v>
      </c>
      <c r="C414" s="36" t="str">
        <f t="array" ref="C414">_xlfn.XLOOKUP($A414,TRIM(SUBSTITUTE('worker file'!$A$2:$A$406,_xlfn.UNICHAR(160)," ")),'worker file'!$D$2:$D$406,"Not found")</f>
        <v>MA</v>
      </c>
      <c r="D414" s="36" t="str">
        <f t="array" ref="D414">_xlfn.XLOOKUP($A414,TRIM(SUBSTITUTE('worker file'!$A$2:$A$406,_xlfn.UNICHAR(160)," ")),'worker file'!$Q$2:$Q$406,"Not found")</f>
        <v>Active</v>
      </c>
      <c r="E414" s="35" t="s">
        <v>626</v>
      </c>
      <c r="F414" t="str">
        <f t="shared" si="46"/>
        <v>Medical (Health) – Employee</v>
      </c>
      <c r="G414" t="str">
        <f t="shared" si="47"/>
        <v>Pre-tax Section 125 (exempt from FIT/SIT/FICA)</v>
      </c>
      <c r="H414" t="str">
        <f t="shared" si="48"/>
        <v>Flat</v>
      </c>
      <c r="I414" s="40" t="str">
        <f>IF($H414="Percent",_xlfn.XLOOKUP($E414,$A$5:$A$8,$F$5:$F$8,""),"")</f>
        <v/>
      </c>
      <c r="J414" s="38">
        <f t="shared" si="49"/>
        <v>200</v>
      </c>
      <c r="K414" t="str">
        <f t="shared" si="50"/>
        <v>Per pay period</v>
      </c>
      <c r="L414" t="str">
        <f t="shared" si="51"/>
        <v>Every pay period (ongoing)</v>
      </c>
      <c r="M414" s="39">
        <f t="array" ref="M414">MAX(_xlfn.XLOOKUP($A414,TRIM(SUBSTITUTE('worker file'!$A$2:$A$406,_xlfn.UNICHAR(160)," ")),'worker file'!$M$2:$M$406,0),_xlfn.XLOOKUP($B414,TRIM('pay group &amp; schedule'!$A$2:$A$6),'pay group &amp; schedule'!$D$2:$D$6,0))</f>
        <v>46311</v>
      </c>
      <c r="N414" s="39" t="str">
        <f t="array" ref="N414">_xlfn.LET(_xlpm.t,_xlfn.XLOOKUP($A414,TRIM(SUBSTITUTE('worker file'!$A$2:$A$406,_xlfn.UNICHAR(160)," ")),'worker file'!$N$2:$N$406,""),IF(N(_xlpm.t)=0,"",_xlpm.t))</f>
        <v/>
      </c>
    </row>
    <row r="415" spans="1:14" x14ac:dyDescent="0.2">
      <c r="A415" s="35" t="s">
        <v>244</v>
      </c>
      <c r="B415" s="36" t="str">
        <f t="array" ref="B415">_xlfn.XLOOKUP($A415,TRIM(SUBSTITUTE('worker file'!$A$2:$A$406,_xlfn.UNICHAR(160)," ")),'worker file'!$L$2:$L$406,"Not found")</f>
        <v>US Semi-monthly</v>
      </c>
      <c r="C415" s="36" t="str">
        <f t="array" ref="C415">_xlfn.XLOOKUP($A415,TRIM(SUBSTITUTE('worker file'!$A$2:$A$406,_xlfn.UNICHAR(160)," ")),'worker file'!$D$2:$D$406,"Not found")</f>
        <v>MA</v>
      </c>
      <c r="D415" s="36" t="str">
        <f t="array" ref="D415">_xlfn.XLOOKUP($A415,TRIM(SUBSTITUTE('worker file'!$A$2:$A$406,_xlfn.UNICHAR(160)," ")),'worker file'!$Q$2:$Q$406,"Not found")</f>
        <v>Active</v>
      </c>
      <c r="E415" s="35" t="s">
        <v>632</v>
      </c>
      <c r="F415" t="str">
        <f t="shared" si="46"/>
        <v>Dental – Employee</v>
      </c>
      <c r="G415" t="str">
        <f t="shared" si="47"/>
        <v>Pre-tax Section 125 (exempt from FIT/SIT/FICA)</v>
      </c>
      <c r="H415" t="str">
        <f t="shared" si="48"/>
        <v>Flat</v>
      </c>
      <c r="I415" s="40" t="str">
        <f>IF($H415="Percent",_xlfn.XLOOKUP($E415,$A$5:$A$8,$F$5:$F$8,""),"")</f>
        <v/>
      </c>
      <c r="J415" s="38">
        <f t="shared" si="49"/>
        <v>44</v>
      </c>
      <c r="K415" t="str">
        <f t="shared" si="50"/>
        <v>Per pay period</v>
      </c>
      <c r="L415" t="str">
        <f t="shared" si="51"/>
        <v>Every pay period (ongoing)</v>
      </c>
      <c r="M415" s="39">
        <f t="array" ref="M415">MAX(_xlfn.XLOOKUP($A415,TRIM(SUBSTITUTE('worker file'!$A$2:$A$406,_xlfn.UNICHAR(160)," ")),'worker file'!$M$2:$M$406,0),_xlfn.XLOOKUP($B415,TRIM('pay group &amp; schedule'!$A$2:$A$6),'pay group &amp; schedule'!$D$2:$D$6,0))</f>
        <v>46311</v>
      </c>
      <c r="N415" s="39" t="str">
        <f t="array" ref="N415">_xlfn.LET(_xlpm.t,_xlfn.XLOOKUP($A415,TRIM(SUBSTITUTE('worker file'!$A$2:$A$406,_xlfn.UNICHAR(160)," ")),'worker file'!$N$2:$N$406,""),IF(N(_xlpm.t)=0,"",_xlpm.t))</f>
        <v/>
      </c>
    </row>
    <row r="416" spans="1:14" x14ac:dyDescent="0.2">
      <c r="A416" s="35" t="s">
        <v>244</v>
      </c>
      <c r="B416" s="36" t="str">
        <f t="array" ref="B416">_xlfn.XLOOKUP($A416,TRIM(SUBSTITUTE('worker file'!$A$2:$A$406,_xlfn.UNICHAR(160)," ")),'worker file'!$L$2:$L$406,"Not found")</f>
        <v>US Semi-monthly</v>
      </c>
      <c r="C416" s="36" t="str">
        <f t="array" ref="C416">_xlfn.XLOOKUP($A416,TRIM(SUBSTITUTE('worker file'!$A$2:$A$406,_xlfn.UNICHAR(160)," ")),'worker file'!$D$2:$D$406,"Not found")</f>
        <v>MA</v>
      </c>
      <c r="D416" s="36" t="str">
        <f t="array" ref="D416">_xlfn.XLOOKUP($A416,TRIM(SUBSTITUTE('worker file'!$A$2:$A$406,_xlfn.UNICHAR(160)," ")),'worker file'!$Q$2:$Q$406,"Not found")</f>
        <v>Active</v>
      </c>
      <c r="E416" s="35" t="s">
        <v>634</v>
      </c>
      <c r="F416" t="str">
        <f t="shared" si="46"/>
        <v>Vision – Employee</v>
      </c>
      <c r="G416" t="str">
        <f t="shared" si="47"/>
        <v>Pre-tax Section 125 (exempt from FIT/SIT/FICA)</v>
      </c>
      <c r="H416" t="str">
        <f t="shared" si="48"/>
        <v>Flat</v>
      </c>
      <c r="I416" s="40" t="str">
        <f>IF($H416="Percent",_xlfn.XLOOKUP($E416,$A$5:$A$8,$F$5:$F$8,""),"")</f>
        <v/>
      </c>
      <c r="J416" s="38">
        <f t="shared" si="49"/>
        <v>30</v>
      </c>
      <c r="K416" t="str">
        <f t="shared" si="50"/>
        <v>Per pay period</v>
      </c>
      <c r="L416" t="str">
        <f t="shared" si="51"/>
        <v>Every pay period (ongoing)</v>
      </c>
      <c r="M416" s="39">
        <f t="array" ref="M416">MAX(_xlfn.XLOOKUP($A416,TRIM(SUBSTITUTE('worker file'!$A$2:$A$406,_xlfn.UNICHAR(160)," ")),'worker file'!$M$2:$M$406,0),_xlfn.XLOOKUP($B416,TRIM('pay group &amp; schedule'!$A$2:$A$6),'pay group &amp; schedule'!$D$2:$D$6,0))</f>
        <v>46311</v>
      </c>
      <c r="N416" s="39" t="str">
        <f t="array" ref="N416">_xlfn.LET(_xlpm.t,_xlfn.XLOOKUP($A416,TRIM(SUBSTITUTE('worker file'!$A$2:$A$406,_xlfn.UNICHAR(160)," ")),'worker file'!$N$2:$N$406,""),IF(N(_xlpm.t)=0,"",_xlpm.t))</f>
        <v/>
      </c>
    </row>
    <row r="417" spans="1:14" x14ac:dyDescent="0.2">
      <c r="A417" s="35" t="s">
        <v>245</v>
      </c>
      <c r="B417" s="36" t="str">
        <f t="array" ref="B417">_xlfn.XLOOKUP($A417,TRIM(SUBSTITUTE('worker file'!$A$2:$A$406,_xlfn.UNICHAR(160)," ")),'worker file'!$L$2:$L$406,"Not found")</f>
        <v>US Semi-monthly</v>
      </c>
      <c r="C417" s="36" t="str">
        <f t="array" ref="C417">_xlfn.XLOOKUP($A417,TRIM(SUBSTITUTE('worker file'!$A$2:$A$406,_xlfn.UNICHAR(160)," ")),'worker file'!$D$2:$D$406,"Not found")</f>
        <v>CA</v>
      </c>
      <c r="D417" s="36" t="str">
        <f t="array" ref="D417">_xlfn.XLOOKUP($A417,TRIM(SUBSTITUTE('worker file'!$A$2:$A$406,_xlfn.UNICHAR(160)," ")),'worker file'!$Q$2:$Q$406,"Not found")</f>
        <v>Active</v>
      </c>
      <c r="E417" s="35" t="s">
        <v>618</v>
      </c>
      <c r="F417" t="str">
        <f t="shared" si="46"/>
        <v>401(k) Employee Deferral</v>
      </c>
      <c r="G417" t="str">
        <f t="shared" si="47"/>
        <v>Pre-tax (exempt from FIT/SIT; subject to FICA)</v>
      </c>
      <c r="H417" t="str">
        <f t="shared" si="48"/>
        <v>Percent</v>
      </c>
      <c r="I417" s="37">
        <v>0.03</v>
      </c>
      <c r="J417" s="38" t="str">
        <f t="shared" si="49"/>
        <v/>
      </c>
      <c r="K417" t="str">
        <f t="shared" si="50"/>
        <v>Gross pay</v>
      </c>
      <c r="L417" t="str">
        <f t="shared" si="51"/>
        <v>Every pay period (ongoing)</v>
      </c>
      <c r="M417" s="39">
        <f t="array" ref="M417">MAX(_xlfn.XLOOKUP($A417,TRIM(SUBSTITUTE('worker file'!$A$2:$A$406,_xlfn.UNICHAR(160)," ")),'worker file'!$M$2:$M$406,0),_xlfn.XLOOKUP($B417,TRIM('pay group &amp; schedule'!$A$2:$A$6),'pay group &amp; schedule'!$D$2:$D$6,0))</f>
        <v>46311</v>
      </c>
      <c r="N417" s="39" t="str">
        <f t="array" ref="N417">_xlfn.LET(_xlpm.t,_xlfn.XLOOKUP($A417,TRIM(SUBSTITUTE('worker file'!$A$2:$A$406,_xlfn.UNICHAR(160)," ")),'worker file'!$N$2:$N$406,""),IF(N(_xlpm.t)=0,"",_xlpm.t))</f>
        <v/>
      </c>
    </row>
    <row r="418" spans="1:14" x14ac:dyDescent="0.2">
      <c r="A418" s="35" t="s">
        <v>245</v>
      </c>
      <c r="B418" s="36" t="str">
        <f t="array" ref="B418">_xlfn.XLOOKUP($A418,TRIM(SUBSTITUTE('worker file'!$A$2:$A$406,_xlfn.UNICHAR(160)," ")),'worker file'!$L$2:$L$406,"Not found")</f>
        <v>US Semi-monthly</v>
      </c>
      <c r="C418" s="36" t="str">
        <f t="array" ref="C418">_xlfn.XLOOKUP($A418,TRIM(SUBSTITUTE('worker file'!$A$2:$A$406,_xlfn.UNICHAR(160)," ")),'worker file'!$D$2:$D$406,"Not found")</f>
        <v>CA</v>
      </c>
      <c r="D418" s="36" t="str">
        <f t="array" ref="D418">_xlfn.XLOOKUP($A418,TRIM(SUBSTITUTE('worker file'!$A$2:$A$406,_xlfn.UNICHAR(160)," ")),'worker file'!$Q$2:$Q$406,"Not found")</f>
        <v>Active</v>
      </c>
      <c r="E418" s="35" t="s">
        <v>626</v>
      </c>
      <c r="F418" t="str">
        <f t="shared" si="46"/>
        <v>Medical (Health) – Employee</v>
      </c>
      <c r="G418" t="str">
        <f t="shared" si="47"/>
        <v>Pre-tax Section 125 (exempt from FIT/SIT/FICA)</v>
      </c>
      <c r="H418" t="str">
        <f t="shared" si="48"/>
        <v>Flat</v>
      </c>
      <c r="I418" s="40" t="str">
        <f>IF($H418="Percent",_xlfn.XLOOKUP($E418,$A$5:$A$8,$F$5:$F$8,""),"")</f>
        <v/>
      </c>
      <c r="J418" s="38">
        <f t="shared" si="49"/>
        <v>200</v>
      </c>
      <c r="K418" t="str">
        <f t="shared" si="50"/>
        <v>Per pay period</v>
      </c>
      <c r="L418" t="str">
        <f t="shared" si="51"/>
        <v>Every pay period (ongoing)</v>
      </c>
      <c r="M418" s="39">
        <f t="array" ref="M418">MAX(_xlfn.XLOOKUP($A418,TRIM(SUBSTITUTE('worker file'!$A$2:$A$406,_xlfn.UNICHAR(160)," ")),'worker file'!$M$2:$M$406,0),_xlfn.XLOOKUP($B418,TRIM('pay group &amp; schedule'!$A$2:$A$6),'pay group &amp; schedule'!$D$2:$D$6,0))</f>
        <v>46311</v>
      </c>
      <c r="N418" s="39" t="str">
        <f t="array" ref="N418">_xlfn.LET(_xlpm.t,_xlfn.XLOOKUP($A418,TRIM(SUBSTITUTE('worker file'!$A$2:$A$406,_xlfn.UNICHAR(160)," ")),'worker file'!$N$2:$N$406,""),IF(N(_xlpm.t)=0,"",_xlpm.t))</f>
        <v/>
      </c>
    </row>
    <row r="419" spans="1:14" x14ac:dyDescent="0.2">
      <c r="A419" s="35" t="s">
        <v>245</v>
      </c>
      <c r="B419" s="36" t="str">
        <f t="array" ref="B419">_xlfn.XLOOKUP($A419,TRIM(SUBSTITUTE('worker file'!$A$2:$A$406,_xlfn.UNICHAR(160)," ")),'worker file'!$L$2:$L$406,"Not found")</f>
        <v>US Semi-monthly</v>
      </c>
      <c r="C419" s="36" t="str">
        <f t="array" ref="C419">_xlfn.XLOOKUP($A419,TRIM(SUBSTITUTE('worker file'!$A$2:$A$406,_xlfn.UNICHAR(160)," ")),'worker file'!$D$2:$D$406,"Not found")</f>
        <v>CA</v>
      </c>
      <c r="D419" s="36" t="str">
        <f t="array" ref="D419">_xlfn.XLOOKUP($A419,TRIM(SUBSTITUTE('worker file'!$A$2:$A$406,_xlfn.UNICHAR(160)," ")),'worker file'!$Q$2:$Q$406,"Not found")</f>
        <v>Active</v>
      </c>
      <c r="E419" s="35" t="s">
        <v>632</v>
      </c>
      <c r="F419" t="str">
        <f t="shared" si="46"/>
        <v>Dental – Employee</v>
      </c>
      <c r="G419" t="str">
        <f t="shared" si="47"/>
        <v>Pre-tax Section 125 (exempt from FIT/SIT/FICA)</v>
      </c>
      <c r="H419" t="str">
        <f t="shared" si="48"/>
        <v>Flat</v>
      </c>
      <c r="I419" s="40" t="str">
        <f>IF($H419="Percent",_xlfn.XLOOKUP($E419,$A$5:$A$8,$F$5:$F$8,""),"")</f>
        <v/>
      </c>
      <c r="J419" s="38">
        <f t="shared" si="49"/>
        <v>44</v>
      </c>
      <c r="K419" t="str">
        <f t="shared" si="50"/>
        <v>Per pay period</v>
      </c>
      <c r="L419" t="str">
        <f t="shared" si="51"/>
        <v>Every pay period (ongoing)</v>
      </c>
      <c r="M419" s="39">
        <f t="array" ref="M419">MAX(_xlfn.XLOOKUP($A419,TRIM(SUBSTITUTE('worker file'!$A$2:$A$406,_xlfn.UNICHAR(160)," ")),'worker file'!$M$2:$M$406,0),_xlfn.XLOOKUP($B419,TRIM('pay group &amp; schedule'!$A$2:$A$6),'pay group &amp; schedule'!$D$2:$D$6,0))</f>
        <v>46311</v>
      </c>
      <c r="N419" s="39" t="str">
        <f t="array" ref="N419">_xlfn.LET(_xlpm.t,_xlfn.XLOOKUP($A419,TRIM(SUBSTITUTE('worker file'!$A$2:$A$406,_xlfn.UNICHAR(160)," ")),'worker file'!$N$2:$N$406,""),IF(N(_xlpm.t)=0,"",_xlpm.t))</f>
        <v/>
      </c>
    </row>
    <row r="420" spans="1:14" x14ac:dyDescent="0.2">
      <c r="A420" s="35" t="s">
        <v>245</v>
      </c>
      <c r="B420" s="36" t="str">
        <f t="array" ref="B420">_xlfn.XLOOKUP($A420,TRIM(SUBSTITUTE('worker file'!$A$2:$A$406,_xlfn.UNICHAR(160)," ")),'worker file'!$L$2:$L$406,"Not found")</f>
        <v>US Semi-monthly</v>
      </c>
      <c r="C420" s="36" t="str">
        <f t="array" ref="C420">_xlfn.XLOOKUP($A420,TRIM(SUBSTITUTE('worker file'!$A$2:$A$406,_xlfn.UNICHAR(160)," ")),'worker file'!$D$2:$D$406,"Not found")</f>
        <v>CA</v>
      </c>
      <c r="D420" s="36" t="str">
        <f t="array" ref="D420">_xlfn.XLOOKUP($A420,TRIM(SUBSTITUTE('worker file'!$A$2:$A$406,_xlfn.UNICHAR(160)," ")),'worker file'!$Q$2:$Q$406,"Not found")</f>
        <v>Active</v>
      </c>
      <c r="E420" s="35" t="s">
        <v>634</v>
      </c>
      <c r="F420" t="str">
        <f t="shared" si="46"/>
        <v>Vision – Employee</v>
      </c>
      <c r="G420" t="str">
        <f t="shared" si="47"/>
        <v>Pre-tax Section 125 (exempt from FIT/SIT/FICA)</v>
      </c>
      <c r="H420" t="str">
        <f t="shared" si="48"/>
        <v>Flat</v>
      </c>
      <c r="I420" s="40" t="str">
        <f>IF($H420="Percent",_xlfn.XLOOKUP($E420,$A$5:$A$8,$F$5:$F$8,""),"")</f>
        <v/>
      </c>
      <c r="J420" s="38">
        <f t="shared" si="49"/>
        <v>30</v>
      </c>
      <c r="K420" t="str">
        <f t="shared" si="50"/>
        <v>Per pay period</v>
      </c>
      <c r="L420" t="str">
        <f t="shared" si="51"/>
        <v>Every pay period (ongoing)</v>
      </c>
      <c r="M420" s="39">
        <f t="array" ref="M420">MAX(_xlfn.XLOOKUP($A420,TRIM(SUBSTITUTE('worker file'!$A$2:$A$406,_xlfn.UNICHAR(160)," ")),'worker file'!$M$2:$M$406,0),_xlfn.XLOOKUP($B420,TRIM('pay group &amp; schedule'!$A$2:$A$6),'pay group &amp; schedule'!$D$2:$D$6,0))</f>
        <v>46311</v>
      </c>
      <c r="N420" s="39" t="str">
        <f t="array" ref="N420">_xlfn.LET(_xlpm.t,_xlfn.XLOOKUP($A420,TRIM(SUBSTITUTE('worker file'!$A$2:$A$406,_xlfn.UNICHAR(160)," ")),'worker file'!$N$2:$N$406,""),IF(N(_xlpm.t)=0,"",_xlpm.t))</f>
        <v/>
      </c>
    </row>
    <row r="421" spans="1:14" x14ac:dyDescent="0.2">
      <c r="A421" s="35" t="s">
        <v>246</v>
      </c>
      <c r="B421" s="36" t="str">
        <f t="array" ref="B421">_xlfn.XLOOKUP($A421,TRIM(SUBSTITUTE('worker file'!$A$2:$A$406,_xlfn.UNICHAR(160)," ")),'worker file'!$L$2:$L$406,"Not found")</f>
        <v>US Semi-monthly</v>
      </c>
      <c r="C421" s="36" t="str">
        <f t="array" ref="C421">_xlfn.XLOOKUP($A421,TRIM(SUBSTITUTE('worker file'!$A$2:$A$406,_xlfn.UNICHAR(160)," ")),'worker file'!$D$2:$D$406,"Not found")</f>
        <v>WA</v>
      </c>
      <c r="D421" s="36" t="str">
        <f t="array" ref="D421">_xlfn.XLOOKUP($A421,TRIM(SUBSTITUTE('worker file'!$A$2:$A$406,_xlfn.UNICHAR(160)," ")),'worker file'!$Q$2:$Q$406,"Not found")</f>
        <v>Active</v>
      </c>
      <c r="E421" s="35" t="s">
        <v>618</v>
      </c>
      <c r="F421" t="str">
        <f t="shared" si="46"/>
        <v>401(k) Employee Deferral</v>
      </c>
      <c r="G421" t="str">
        <f t="shared" si="47"/>
        <v>Pre-tax (exempt from FIT/SIT; subject to FICA)</v>
      </c>
      <c r="H421" t="str">
        <f t="shared" si="48"/>
        <v>Percent</v>
      </c>
      <c r="I421" s="37">
        <v>0</v>
      </c>
      <c r="J421" s="38" t="str">
        <f t="shared" si="49"/>
        <v/>
      </c>
      <c r="K421" t="str">
        <f t="shared" si="50"/>
        <v>Gross pay</v>
      </c>
      <c r="L421" t="str">
        <f t="shared" si="51"/>
        <v>Every pay period (ongoing)</v>
      </c>
      <c r="M421" s="39">
        <f t="array" ref="M421">MAX(_xlfn.XLOOKUP($A421,TRIM(SUBSTITUTE('worker file'!$A$2:$A$406,_xlfn.UNICHAR(160)," ")),'worker file'!$M$2:$M$406,0),_xlfn.XLOOKUP($B421,TRIM('pay group &amp; schedule'!$A$2:$A$6),'pay group &amp; schedule'!$D$2:$D$6,0))</f>
        <v>46311</v>
      </c>
      <c r="N421" s="39" t="str">
        <f t="array" ref="N421">_xlfn.LET(_xlpm.t,_xlfn.XLOOKUP($A421,TRIM(SUBSTITUTE('worker file'!$A$2:$A$406,_xlfn.UNICHAR(160)," ")),'worker file'!$N$2:$N$406,""),IF(N(_xlpm.t)=0,"",_xlpm.t))</f>
        <v/>
      </c>
    </row>
    <row r="422" spans="1:14" x14ac:dyDescent="0.2">
      <c r="A422" s="35" t="s">
        <v>246</v>
      </c>
      <c r="B422" s="36" t="str">
        <f t="array" ref="B422">_xlfn.XLOOKUP($A422,TRIM(SUBSTITUTE('worker file'!$A$2:$A$406,_xlfn.UNICHAR(160)," ")),'worker file'!$L$2:$L$406,"Not found")</f>
        <v>US Semi-monthly</v>
      </c>
      <c r="C422" s="36" t="str">
        <f t="array" ref="C422">_xlfn.XLOOKUP($A422,TRIM(SUBSTITUTE('worker file'!$A$2:$A$406,_xlfn.UNICHAR(160)," ")),'worker file'!$D$2:$D$406,"Not found")</f>
        <v>WA</v>
      </c>
      <c r="D422" s="36" t="str">
        <f t="array" ref="D422">_xlfn.XLOOKUP($A422,TRIM(SUBSTITUTE('worker file'!$A$2:$A$406,_xlfn.UNICHAR(160)," ")),'worker file'!$Q$2:$Q$406,"Not found")</f>
        <v>Active</v>
      </c>
      <c r="E422" s="35" t="s">
        <v>626</v>
      </c>
      <c r="F422" t="str">
        <f t="shared" si="46"/>
        <v>Medical (Health) – Employee</v>
      </c>
      <c r="G422" t="str">
        <f t="shared" si="47"/>
        <v>Pre-tax Section 125 (exempt from FIT/SIT/FICA)</v>
      </c>
      <c r="H422" t="str">
        <f t="shared" si="48"/>
        <v>Flat</v>
      </c>
      <c r="I422" s="40" t="str">
        <f>IF($H422="Percent",_xlfn.XLOOKUP($E422,$A$5:$A$8,$F$5:$F$8,""),"")</f>
        <v/>
      </c>
      <c r="J422" s="38">
        <f t="shared" si="49"/>
        <v>200</v>
      </c>
      <c r="K422" t="str">
        <f t="shared" si="50"/>
        <v>Per pay period</v>
      </c>
      <c r="L422" t="str">
        <f t="shared" si="51"/>
        <v>Every pay period (ongoing)</v>
      </c>
      <c r="M422" s="39">
        <f t="array" ref="M422">MAX(_xlfn.XLOOKUP($A422,TRIM(SUBSTITUTE('worker file'!$A$2:$A$406,_xlfn.UNICHAR(160)," ")),'worker file'!$M$2:$M$406,0),_xlfn.XLOOKUP($B422,TRIM('pay group &amp; schedule'!$A$2:$A$6),'pay group &amp; schedule'!$D$2:$D$6,0))</f>
        <v>46311</v>
      </c>
      <c r="N422" s="39" t="str">
        <f t="array" ref="N422">_xlfn.LET(_xlpm.t,_xlfn.XLOOKUP($A422,TRIM(SUBSTITUTE('worker file'!$A$2:$A$406,_xlfn.UNICHAR(160)," ")),'worker file'!$N$2:$N$406,""),IF(N(_xlpm.t)=0,"",_xlpm.t))</f>
        <v/>
      </c>
    </row>
    <row r="423" spans="1:14" x14ac:dyDescent="0.2">
      <c r="A423" s="35" t="s">
        <v>246</v>
      </c>
      <c r="B423" s="36" t="str">
        <f t="array" ref="B423">_xlfn.XLOOKUP($A423,TRIM(SUBSTITUTE('worker file'!$A$2:$A$406,_xlfn.UNICHAR(160)," ")),'worker file'!$L$2:$L$406,"Not found")</f>
        <v>US Semi-monthly</v>
      </c>
      <c r="C423" s="36" t="str">
        <f t="array" ref="C423">_xlfn.XLOOKUP($A423,TRIM(SUBSTITUTE('worker file'!$A$2:$A$406,_xlfn.UNICHAR(160)," ")),'worker file'!$D$2:$D$406,"Not found")</f>
        <v>WA</v>
      </c>
      <c r="D423" s="36" t="str">
        <f t="array" ref="D423">_xlfn.XLOOKUP($A423,TRIM(SUBSTITUTE('worker file'!$A$2:$A$406,_xlfn.UNICHAR(160)," ")),'worker file'!$Q$2:$Q$406,"Not found")</f>
        <v>Active</v>
      </c>
      <c r="E423" s="35" t="s">
        <v>632</v>
      </c>
      <c r="F423" t="str">
        <f t="shared" si="46"/>
        <v>Dental – Employee</v>
      </c>
      <c r="G423" t="str">
        <f t="shared" si="47"/>
        <v>Pre-tax Section 125 (exempt from FIT/SIT/FICA)</v>
      </c>
      <c r="H423" t="str">
        <f t="shared" si="48"/>
        <v>Flat</v>
      </c>
      <c r="I423" s="40" t="str">
        <f>IF($H423="Percent",_xlfn.XLOOKUP($E423,$A$5:$A$8,$F$5:$F$8,""),"")</f>
        <v/>
      </c>
      <c r="J423" s="38">
        <f t="shared" si="49"/>
        <v>44</v>
      </c>
      <c r="K423" t="str">
        <f t="shared" si="50"/>
        <v>Per pay period</v>
      </c>
      <c r="L423" t="str">
        <f t="shared" si="51"/>
        <v>Every pay period (ongoing)</v>
      </c>
      <c r="M423" s="39">
        <f t="array" ref="M423">MAX(_xlfn.XLOOKUP($A423,TRIM(SUBSTITUTE('worker file'!$A$2:$A$406,_xlfn.UNICHAR(160)," ")),'worker file'!$M$2:$M$406,0),_xlfn.XLOOKUP($B423,TRIM('pay group &amp; schedule'!$A$2:$A$6),'pay group &amp; schedule'!$D$2:$D$6,0))</f>
        <v>46311</v>
      </c>
      <c r="N423" s="39" t="str">
        <f t="array" ref="N423">_xlfn.LET(_xlpm.t,_xlfn.XLOOKUP($A423,TRIM(SUBSTITUTE('worker file'!$A$2:$A$406,_xlfn.UNICHAR(160)," ")),'worker file'!$N$2:$N$406,""),IF(N(_xlpm.t)=0,"",_xlpm.t))</f>
        <v/>
      </c>
    </row>
    <row r="424" spans="1:14" x14ac:dyDescent="0.2">
      <c r="A424" s="35" t="s">
        <v>246</v>
      </c>
      <c r="B424" s="36" t="str">
        <f t="array" ref="B424">_xlfn.XLOOKUP($A424,TRIM(SUBSTITUTE('worker file'!$A$2:$A$406,_xlfn.UNICHAR(160)," ")),'worker file'!$L$2:$L$406,"Not found")</f>
        <v>US Semi-monthly</v>
      </c>
      <c r="C424" s="36" t="str">
        <f t="array" ref="C424">_xlfn.XLOOKUP($A424,TRIM(SUBSTITUTE('worker file'!$A$2:$A$406,_xlfn.UNICHAR(160)," ")),'worker file'!$D$2:$D$406,"Not found")</f>
        <v>WA</v>
      </c>
      <c r="D424" s="36" t="str">
        <f t="array" ref="D424">_xlfn.XLOOKUP($A424,TRIM(SUBSTITUTE('worker file'!$A$2:$A$406,_xlfn.UNICHAR(160)," ")),'worker file'!$Q$2:$Q$406,"Not found")</f>
        <v>Active</v>
      </c>
      <c r="E424" s="35" t="s">
        <v>634</v>
      </c>
      <c r="F424" t="str">
        <f t="shared" si="46"/>
        <v>Vision – Employee</v>
      </c>
      <c r="G424" t="str">
        <f t="shared" si="47"/>
        <v>Pre-tax Section 125 (exempt from FIT/SIT/FICA)</v>
      </c>
      <c r="H424" t="str">
        <f t="shared" si="48"/>
        <v>Flat</v>
      </c>
      <c r="I424" s="40" t="str">
        <f>IF($H424="Percent",_xlfn.XLOOKUP($E424,$A$5:$A$8,$F$5:$F$8,""),"")</f>
        <v/>
      </c>
      <c r="J424" s="38">
        <f t="shared" si="49"/>
        <v>30</v>
      </c>
      <c r="K424" t="str">
        <f t="shared" si="50"/>
        <v>Per pay period</v>
      </c>
      <c r="L424" t="str">
        <f t="shared" si="51"/>
        <v>Every pay period (ongoing)</v>
      </c>
      <c r="M424" s="39">
        <f t="array" ref="M424">MAX(_xlfn.XLOOKUP($A424,TRIM(SUBSTITUTE('worker file'!$A$2:$A$406,_xlfn.UNICHAR(160)," ")),'worker file'!$M$2:$M$406,0),_xlfn.XLOOKUP($B424,TRIM('pay group &amp; schedule'!$A$2:$A$6),'pay group &amp; schedule'!$D$2:$D$6,0))</f>
        <v>46311</v>
      </c>
      <c r="N424" s="39" t="str">
        <f t="array" ref="N424">_xlfn.LET(_xlpm.t,_xlfn.XLOOKUP($A424,TRIM(SUBSTITUTE('worker file'!$A$2:$A$406,_xlfn.UNICHAR(160)," ")),'worker file'!$N$2:$N$406,""),IF(N(_xlpm.t)=0,"",_xlpm.t))</f>
        <v/>
      </c>
    </row>
    <row r="425" spans="1:14" x14ac:dyDescent="0.2">
      <c r="A425" s="35" t="s">
        <v>250</v>
      </c>
      <c r="B425" s="36" t="str">
        <f t="array" ref="B425">_xlfn.XLOOKUP($A425,TRIM(SUBSTITUTE('worker file'!$A$2:$A$406,_xlfn.UNICHAR(160)," ")),'worker file'!$L$2:$L$406,"Not found")</f>
        <v>US Semi-monthly</v>
      </c>
      <c r="C425" s="36" t="str">
        <f t="array" ref="C425">_xlfn.XLOOKUP($A425,TRIM(SUBSTITUTE('worker file'!$A$2:$A$406,_xlfn.UNICHAR(160)," ")),'worker file'!$D$2:$D$406,"Not found")</f>
        <v>WA</v>
      </c>
      <c r="D425" s="36" t="str">
        <f t="array" ref="D425">_xlfn.XLOOKUP($A425,TRIM(SUBSTITUTE('worker file'!$A$2:$A$406,_xlfn.UNICHAR(160)," ")),'worker file'!$Q$2:$Q$406,"Not found")</f>
        <v>Active</v>
      </c>
      <c r="E425" s="35" t="s">
        <v>618</v>
      </c>
      <c r="F425" t="str">
        <f t="shared" si="46"/>
        <v>401(k) Employee Deferral</v>
      </c>
      <c r="G425" t="str">
        <f t="shared" si="47"/>
        <v>Pre-tax (exempt from FIT/SIT; subject to FICA)</v>
      </c>
      <c r="H425" t="str">
        <f t="shared" si="48"/>
        <v>Percent</v>
      </c>
      <c r="I425" s="37">
        <v>0.05</v>
      </c>
      <c r="J425" s="38" t="str">
        <f t="shared" si="49"/>
        <v/>
      </c>
      <c r="K425" t="str">
        <f t="shared" si="50"/>
        <v>Gross pay</v>
      </c>
      <c r="L425" t="str">
        <f t="shared" si="51"/>
        <v>Every pay period (ongoing)</v>
      </c>
      <c r="M425" s="39">
        <f t="array" ref="M425">MAX(_xlfn.XLOOKUP($A425,TRIM(SUBSTITUTE('worker file'!$A$2:$A$406,_xlfn.UNICHAR(160)," ")),'worker file'!$M$2:$M$406,0),_xlfn.XLOOKUP($B425,TRIM('pay group &amp; schedule'!$A$2:$A$6),'pay group &amp; schedule'!$D$2:$D$6,0))</f>
        <v>46311</v>
      </c>
      <c r="N425" s="39" t="str">
        <f t="array" ref="N425">_xlfn.LET(_xlpm.t,_xlfn.XLOOKUP($A425,TRIM(SUBSTITUTE('worker file'!$A$2:$A$406,_xlfn.UNICHAR(160)," ")),'worker file'!$N$2:$N$406,""),IF(N(_xlpm.t)=0,"",_xlpm.t))</f>
        <v/>
      </c>
    </row>
    <row r="426" spans="1:14" x14ac:dyDescent="0.2">
      <c r="A426" s="35" t="s">
        <v>250</v>
      </c>
      <c r="B426" s="36" t="str">
        <f t="array" ref="B426">_xlfn.XLOOKUP($A426,TRIM(SUBSTITUTE('worker file'!$A$2:$A$406,_xlfn.UNICHAR(160)," ")),'worker file'!$L$2:$L$406,"Not found")</f>
        <v>US Semi-monthly</v>
      </c>
      <c r="C426" s="36" t="str">
        <f t="array" ref="C426">_xlfn.XLOOKUP($A426,TRIM(SUBSTITUTE('worker file'!$A$2:$A$406,_xlfn.UNICHAR(160)," ")),'worker file'!$D$2:$D$406,"Not found")</f>
        <v>WA</v>
      </c>
      <c r="D426" s="36" t="str">
        <f t="array" ref="D426">_xlfn.XLOOKUP($A426,TRIM(SUBSTITUTE('worker file'!$A$2:$A$406,_xlfn.UNICHAR(160)," ")),'worker file'!$Q$2:$Q$406,"Not found")</f>
        <v>Active</v>
      </c>
      <c r="E426" s="35" t="s">
        <v>626</v>
      </c>
      <c r="F426" t="str">
        <f t="shared" si="46"/>
        <v>Medical (Health) – Employee</v>
      </c>
      <c r="G426" t="str">
        <f t="shared" si="47"/>
        <v>Pre-tax Section 125 (exempt from FIT/SIT/FICA)</v>
      </c>
      <c r="H426" t="str">
        <f t="shared" si="48"/>
        <v>Flat</v>
      </c>
      <c r="I426" s="40" t="str">
        <f>IF($H426="Percent",_xlfn.XLOOKUP($E426,$A$5:$A$8,$F$5:$F$8,""),"")</f>
        <v/>
      </c>
      <c r="J426" s="38">
        <f t="shared" si="49"/>
        <v>200</v>
      </c>
      <c r="K426" t="str">
        <f t="shared" si="50"/>
        <v>Per pay period</v>
      </c>
      <c r="L426" t="str">
        <f t="shared" si="51"/>
        <v>Every pay period (ongoing)</v>
      </c>
      <c r="M426" s="39">
        <f t="array" ref="M426">MAX(_xlfn.XLOOKUP($A426,TRIM(SUBSTITUTE('worker file'!$A$2:$A$406,_xlfn.UNICHAR(160)," ")),'worker file'!$M$2:$M$406,0),_xlfn.XLOOKUP($B426,TRIM('pay group &amp; schedule'!$A$2:$A$6),'pay group &amp; schedule'!$D$2:$D$6,0))</f>
        <v>46311</v>
      </c>
      <c r="N426" s="39" t="str">
        <f t="array" ref="N426">_xlfn.LET(_xlpm.t,_xlfn.XLOOKUP($A426,TRIM(SUBSTITUTE('worker file'!$A$2:$A$406,_xlfn.UNICHAR(160)," ")),'worker file'!$N$2:$N$406,""),IF(N(_xlpm.t)=0,"",_xlpm.t))</f>
        <v/>
      </c>
    </row>
    <row r="427" spans="1:14" x14ac:dyDescent="0.2">
      <c r="A427" s="35" t="s">
        <v>250</v>
      </c>
      <c r="B427" s="36" t="str">
        <f t="array" ref="B427">_xlfn.XLOOKUP($A427,TRIM(SUBSTITUTE('worker file'!$A$2:$A$406,_xlfn.UNICHAR(160)," ")),'worker file'!$L$2:$L$406,"Not found")</f>
        <v>US Semi-monthly</v>
      </c>
      <c r="C427" s="36" t="str">
        <f t="array" ref="C427">_xlfn.XLOOKUP($A427,TRIM(SUBSTITUTE('worker file'!$A$2:$A$406,_xlfn.UNICHAR(160)," ")),'worker file'!$D$2:$D$406,"Not found")</f>
        <v>WA</v>
      </c>
      <c r="D427" s="36" t="str">
        <f t="array" ref="D427">_xlfn.XLOOKUP($A427,TRIM(SUBSTITUTE('worker file'!$A$2:$A$406,_xlfn.UNICHAR(160)," ")),'worker file'!$Q$2:$Q$406,"Not found")</f>
        <v>Active</v>
      </c>
      <c r="E427" s="35" t="s">
        <v>632</v>
      </c>
      <c r="F427" t="str">
        <f t="shared" si="46"/>
        <v>Dental – Employee</v>
      </c>
      <c r="G427" t="str">
        <f t="shared" si="47"/>
        <v>Pre-tax Section 125 (exempt from FIT/SIT/FICA)</v>
      </c>
      <c r="H427" t="str">
        <f t="shared" si="48"/>
        <v>Flat</v>
      </c>
      <c r="I427" s="40" t="str">
        <f>IF($H427="Percent",_xlfn.XLOOKUP($E427,$A$5:$A$8,$F$5:$F$8,""),"")</f>
        <v/>
      </c>
      <c r="J427" s="38">
        <f t="shared" si="49"/>
        <v>44</v>
      </c>
      <c r="K427" t="str">
        <f t="shared" si="50"/>
        <v>Per pay period</v>
      </c>
      <c r="L427" t="str">
        <f t="shared" si="51"/>
        <v>Every pay period (ongoing)</v>
      </c>
      <c r="M427" s="39">
        <f t="array" ref="M427">MAX(_xlfn.XLOOKUP($A427,TRIM(SUBSTITUTE('worker file'!$A$2:$A$406,_xlfn.UNICHAR(160)," ")),'worker file'!$M$2:$M$406,0),_xlfn.XLOOKUP($B427,TRIM('pay group &amp; schedule'!$A$2:$A$6),'pay group &amp; schedule'!$D$2:$D$6,0))</f>
        <v>46311</v>
      </c>
      <c r="N427" s="39" t="str">
        <f t="array" ref="N427">_xlfn.LET(_xlpm.t,_xlfn.XLOOKUP($A427,TRIM(SUBSTITUTE('worker file'!$A$2:$A$406,_xlfn.UNICHAR(160)," ")),'worker file'!$N$2:$N$406,""),IF(N(_xlpm.t)=0,"",_xlpm.t))</f>
        <v/>
      </c>
    </row>
    <row r="428" spans="1:14" x14ac:dyDescent="0.2">
      <c r="A428" s="35" t="s">
        <v>250</v>
      </c>
      <c r="B428" s="36" t="str">
        <f t="array" ref="B428">_xlfn.XLOOKUP($A428,TRIM(SUBSTITUTE('worker file'!$A$2:$A$406,_xlfn.UNICHAR(160)," ")),'worker file'!$L$2:$L$406,"Not found")</f>
        <v>US Semi-monthly</v>
      </c>
      <c r="C428" s="36" t="str">
        <f t="array" ref="C428">_xlfn.XLOOKUP($A428,TRIM(SUBSTITUTE('worker file'!$A$2:$A$406,_xlfn.UNICHAR(160)," ")),'worker file'!$D$2:$D$406,"Not found")</f>
        <v>WA</v>
      </c>
      <c r="D428" s="36" t="str">
        <f t="array" ref="D428">_xlfn.XLOOKUP($A428,TRIM(SUBSTITUTE('worker file'!$A$2:$A$406,_xlfn.UNICHAR(160)," ")),'worker file'!$Q$2:$Q$406,"Not found")</f>
        <v>Active</v>
      </c>
      <c r="E428" s="35" t="s">
        <v>634</v>
      </c>
      <c r="F428" t="str">
        <f t="shared" si="46"/>
        <v>Vision – Employee</v>
      </c>
      <c r="G428" t="str">
        <f t="shared" si="47"/>
        <v>Pre-tax Section 125 (exempt from FIT/SIT/FICA)</v>
      </c>
      <c r="H428" t="str">
        <f t="shared" si="48"/>
        <v>Flat</v>
      </c>
      <c r="I428" s="40" t="str">
        <f>IF($H428="Percent",_xlfn.XLOOKUP($E428,$A$5:$A$8,$F$5:$F$8,""),"")</f>
        <v/>
      </c>
      <c r="J428" s="38">
        <f t="shared" si="49"/>
        <v>30</v>
      </c>
      <c r="K428" t="str">
        <f t="shared" si="50"/>
        <v>Per pay period</v>
      </c>
      <c r="L428" t="str">
        <f t="shared" si="51"/>
        <v>Every pay period (ongoing)</v>
      </c>
      <c r="M428" s="39">
        <f t="array" ref="M428">MAX(_xlfn.XLOOKUP($A428,TRIM(SUBSTITUTE('worker file'!$A$2:$A$406,_xlfn.UNICHAR(160)," ")),'worker file'!$M$2:$M$406,0),_xlfn.XLOOKUP($B428,TRIM('pay group &amp; schedule'!$A$2:$A$6),'pay group &amp; schedule'!$D$2:$D$6,0))</f>
        <v>46311</v>
      </c>
      <c r="N428" s="39" t="str">
        <f t="array" ref="N428">_xlfn.LET(_xlpm.t,_xlfn.XLOOKUP($A428,TRIM(SUBSTITUTE('worker file'!$A$2:$A$406,_xlfn.UNICHAR(160)," ")),'worker file'!$N$2:$N$406,""),IF(N(_xlpm.t)=0,"",_xlpm.t))</f>
        <v/>
      </c>
    </row>
    <row r="429" spans="1:14" x14ac:dyDescent="0.2">
      <c r="A429" s="35" t="s">
        <v>251</v>
      </c>
      <c r="B429" s="36" t="str">
        <f t="array" ref="B429">_xlfn.XLOOKUP($A429,TRIM(SUBSTITUTE('worker file'!$A$2:$A$406,_xlfn.UNICHAR(160)," ")),'worker file'!$L$2:$L$406,"Not found")</f>
        <v>US Semi-monthly</v>
      </c>
      <c r="C429" s="36" t="str">
        <f t="array" ref="C429">_xlfn.XLOOKUP($A429,TRIM(SUBSTITUTE('worker file'!$A$2:$A$406,_xlfn.UNICHAR(160)," ")),'worker file'!$D$2:$D$406,"Not found")</f>
        <v>CA</v>
      </c>
      <c r="D429" s="36" t="str">
        <f t="array" ref="D429">_xlfn.XLOOKUP($A429,TRIM(SUBSTITUTE('worker file'!$A$2:$A$406,_xlfn.UNICHAR(160)," ")),'worker file'!$Q$2:$Q$406,"Not found")</f>
        <v>Active</v>
      </c>
      <c r="E429" s="35" t="s">
        <v>618</v>
      </c>
      <c r="F429" t="str">
        <f t="shared" si="46"/>
        <v>401(k) Employee Deferral</v>
      </c>
      <c r="G429" t="str">
        <f t="shared" si="47"/>
        <v>Pre-tax (exempt from FIT/SIT; subject to FICA)</v>
      </c>
      <c r="H429" t="str">
        <f t="shared" si="48"/>
        <v>Percent</v>
      </c>
      <c r="I429" s="37">
        <v>0.02</v>
      </c>
      <c r="J429" s="38" t="str">
        <f t="shared" si="49"/>
        <v/>
      </c>
      <c r="K429" t="str">
        <f t="shared" si="50"/>
        <v>Gross pay</v>
      </c>
      <c r="L429" t="str">
        <f t="shared" si="51"/>
        <v>Every pay period (ongoing)</v>
      </c>
      <c r="M429" s="39">
        <f t="array" ref="M429">MAX(_xlfn.XLOOKUP($A429,TRIM(SUBSTITUTE('worker file'!$A$2:$A$406,_xlfn.UNICHAR(160)," ")),'worker file'!$M$2:$M$406,0),_xlfn.XLOOKUP($B429,TRIM('pay group &amp; schedule'!$A$2:$A$6),'pay group &amp; schedule'!$D$2:$D$6,0))</f>
        <v>46311</v>
      </c>
      <c r="N429" s="39" t="str">
        <f t="array" ref="N429">_xlfn.LET(_xlpm.t,_xlfn.XLOOKUP($A429,TRIM(SUBSTITUTE('worker file'!$A$2:$A$406,_xlfn.UNICHAR(160)," ")),'worker file'!$N$2:$N$406,""),IF(N(_xlpm.t)=0,"",_xlpm.t))</f>
        <v/>
      </c>
    </row>
    <row r="430" spans="1:14" x14ac:dyDescent="0.2">
      <c r="A430" s="35" t="s">
        <v>251</v>
      </c>
      <c r="B430" s="36" t="str">
        <f t="array" ref="B430">_xlfn.XLOOKUP($A430,TRIM(SUBSTITUTE('worker file'!$A$2:$A$406,_xlfn.UNICHAR(160)," ")),'worker file'!$L$2:$L$406,"Not found")</f>
        <v>US Semi-monthly</v>
      </c>
      <c r="C430" s="36" t="str">
        <f t="array" ref="C430">_xlfn.XLOOKUP($A430,TRIM(SUBSTITUTE('worker file'!$A$2:$A$406,_xlfn.UNICHAR(160)," ")),'worker file'!$D$2:$D$406,"Not found")</f>
        <v>CA</v>
      </c>
      <c r="D430" s="36" t="str">
        <f t="array" ref="D430">_xlfn.XLOOKUP($A430,TRIM(SUBSTITUTE('worker file'!$A$2:$A$406,_xlfn.UNICHAR(160)," ")),'worker file'!$Q$2:$Q$406,"Not found")</f>
        <v>Active</v>
      </c>
      <c r="E430" s="35" t="s">
        <v>626</v>
      </c>
      <c r="F430" t="str">
        <f t="shared" si="46"/>
        <v>Medical (Health) – Employee</v>
      </c>
      <c r="G430" t="str">
        <f t="shared" si="47"/>
        <v>Pre-tax Section 125 (exempt from FIT/SIT/FICA)</v>
      </c>
      <c r="H430" t="str">
        <f t="shared" si="48"/>
        <v>Flat</v>
      </c>
      <c r="I430" s="40" t="str">
        <f>IF($H430="Percent",_xlfn.XLOOKUP($E430,$A$5:$A$8,$F$5:$F$8,""),"")</f>
        <v/>
      </c>
      <c r="J430" s="38">
        <f t="shared" si="49"/>
        <v>200</v>
      </c>
      <c r="K430" t="str">
        <f t="shared" si="50"/>
        <v>Per pay period</v>
      </c>
      <c r="L430" t="str">
        <f t="shared" si="51"/>
        <v>Every pay period (ongoing)</v>
      </c>
      <c r="M430" s="39">
        <f t="array" ref="M430">MAX(_xlfn.XLOOKUP($A430,TRIM(SUBSTITUTE('worker file'!$A$2:$A$406,_xlfn.UNICHAR(160)," ")),'worker file'!$M$2:$M$406,0),_xlfn.XLOOKUP($B430,TRIM('pay group &amp; schedule'!$A$2:$A$6),'pay group &amp; schedule'!$D$2:$D$6,0))</f>
        <v>46311</v>
      </c>
      <c r="N430" s="39" t="str">
        <f t="array" ref="N430">_xlfn.LET(_xlpm.t,_xlfn.XLOOKUP($A430,TRIM(SUBSTITUTE('worker file'!$A$2:$A$406,_xlfn.UNICHAR(160)," ")),'worker file'!$N$2:$N$406,""),IF(N(_xlpm.t)=0,"",_xlpm.t))</f>
        <v/>
      </c>
    </row>
    <row r="431" spans="1:14" x14ac:dyDescent="0.2">
      <c r="A431" s="35" t="s">
        <v>251</v>
      </c>
      <c r="B431" s="36" t="str">
        <f t="array" ref="B431">_xlfn.XLOOKUP($A431,TRIM(SUBSTITUTE('worker file'!$A$2:$A$406,_xlfn.UNICHAR(160)," ")),'worker file'!$L$2:$L$406,"Not found")</f>
        <v>US Semi-monthly</v>
      </c>
      <c r="C431" s="36" t="str">
        <f t="array" ref="C431">_xlfn.XLOOKUP($A431,TRIM(SUBSTITUTE('worker file'!$A$2:$A$406,_xlfn.UNICHAR(160)," ")),'worker file'!$D$2:$D$406,"Not found")</f>
        <v>CA</v>
      </c>
      <c r="D431" s="36" t="str">
        <f t="array" ref="D431">_xlfn.XLOOKUP($A431,TRIM(SUBSTITUTE('worker file'!$A$2:$A$406,_xlfn.UNICHAR(160)," ")),'worker file'!$Q$2:$Q$406,"Not found")</f>
        <v>Active</v>
      </c>
      <c r="E431" s="35" t="s">
        <v>632</v>
      </c>
      <c r="F431" t="str">
        <f t="shared" si="46"/>
        <v>Dental – Employee</v>
      </c>
      <c r="G431" t="str">
        <f t="shared" si="47"/>
        <v>Pre-tax Section 125 (exempt from FIT/SIT/FICA)</v>
      </c>
      <c r="H431" t="str">
        <f t="shared" si="48"/>
        <v>Flat</v>
      </c>
      <c r="I431" s="40" t="str">
        <f>IF($H431="Percent",_xlfn.XLOOKUP($E431,$A$5:$A$8,$F$5:$F$8,""),"")</f>
        <v/>
      </c>
      <c r="J431" s="38">
        <f t="shared" si="49"/>
        <v>44</v>
      </c>
      <c r="K431" t="str">
        <f t="shared" si="50"/>
        <v>Per pay period</v>
      </c>
      <c r="L431" t="str">
        <f t="shared" si="51"/>
        <v>Every pay period (ongoing)</v>
      </c>
      <c r="M431" s="39">
        <f t="array" ref="M431">MAX(_xlfn.XLOOKUP($A431,TRIM(SUBSTITUTE('worker file'!$A$2:$A$406,_xlfn.UNICHAR(160)," ")),'worker file'!$M$2:$M$406,0),_xlfn.XLOOKUP($B431,TRIM('pay group &amp; schedule'!$A$2:$A$6),'pay group &amp; schedule'!$D$2:$D$6,0))</f>
        <v>46311</v>
      </c>
      <c r="N431" s="39" t="str">
        <f t="array" ref="N431">_xlfn.LET(_xlpm.t,_xlfn.XLOOKUP($A431,TRIM(SUBSTITUTE('worker file'!$A$2:$A$406,_xlfn.UNICHAR(160)," ")),'worker file'!$N$2:$N$406,""),IF(N(_xlpm.t)=0,"",_xlpm.t))</f>
        <v/>
      </c>
    </row>
    <row r="432" spans="1:14" x14ac:dyDescent="0.2">
      <c r="A432" s="35" t="s">
        <v>251</v>
      </c>
      <c r="B432" s="36" t="str">
        <f t="array" ref="B432">_xlfn.XLOOKUP($A432,TRIM(SUBSTITUTE('worker file'!$A$2:$A$406,_xlfn.UNICHAR(160)," ")),'worker file'!$L$2:$L$406,"Not found")</f>
        <v>US Semi-monthly</v>
      </c>
      <c r="C432" s="36" t="str">
        <f t="array" ref="C432">_xlfn.XLOOKUP($A432,TRIM(SUBSTITUTE('worker file'!$A$2:$A$406,_xlfn.UNICHAR(160)," ")),'worker file'!$D$2:$D$406,"Not found")</f>
        <v>CA</v>
      </c>
      <c r="D432" s="36" t="str">
        <f t="array" ref="D432">_xlfn.XLOOKUP($A432,TRIM(SUBSTITUTE('worker file'!$A$2:$A$406,_xlfn.UNICHAR(160)," ")),'worker file'!$Q$2:$Q$406,"Not found")</f>
        <v>Active</v>
      </c>
      <c r="E432" s="35" t="s">
        <v>634</v>
      </c>
      <c r="F432" t="str">
        <f t="shared" si="46"/>
        <v>Vision – Employee</v>
      </c>
      <c r="G432" t="str">
        <f t="shared" si="47"/>
        <v>Pre-tax Section 125 (exempt from FIT/SIT/FICA)</v>
      </c>
      <c r="H432" t="str">
        <f t="shared" si="48"/>
        <v>Flat</v>
      </c>
      <c r="I432" s="40" t="str">
        <f>IF($H432="Percent",_xlfn.XLOOKUP($E432,$A$5:$A$8,$F$5:$F$8,""),"")</f>
        <v/>
      </c>
      <c r="J432" s="38">
        <f t="shared" si="49"/>
        <v>30</v>
      </c>
      <c r="K432" t="str">
        <f t="shared" si="50"/>
        <v>Per pay period</v>
      </c>
      <c r="L432" t="str">
        <f t="shared" si="51"/>
        <v>Every pay period (ongoing)</v>
      </c>
      <c r="M432" s="39">
        <f t="array" ref="M432">MAX(_xlfn.XLOOKUP($A432,TRIM(SUBSTITUTE('worker file'!$A$2:$A$406,_xlfn.UNICHAR(160)," ")),'worker file'!$M$2:$M$406,0),_xlfn.XLOOKUP($B432,TRIM('pay group &amp; schedule'!$A$2:$A$6),'pay group &amp; schedule'!$D$2:$D$6,0))</f>
        <v>46311</v>
      </c>
      <c r="N432" s="39" t="str">
        <f t="array" ref="N432">_xlfn.LET(_xlpm.t,_xlfn.XLOOKUP($A432,TRIM(SUBSTITUTE('worker file'!$A$2:$A$406,_xlfn.UNICHAR(160)," ")),'worker file'!$N$2:$N$406,""),IF(N(_xlpm.t)=0,"",_xlpm.t))</f>
        <v/>
      </c>
    </row>
    <row r="433" spans="1:14" x14ac:dyDescent="0.2">
      <c r="A433" s="35" t="s">
        <v>253</v>
      </c>
      <c r="B433" s="36" t="str">
        <f t="array" ref="B433">_xlfn.XLOOKUP($A433,TRIM(SUBSTITUTE('worker file'!$A$2:$A$406,_xlfn.UNICHAR(160)," ")),'worker file'!$L$2:$L$406,"Not found")</f>
        <v>US Semi-monthly</v>
      </c>
      <c r="C433" s="36" t="str">
        <f t="array" ref="C433">_xlfn.XLOOKUP($A433,TRIM(SUBSTITUTE('worker file'!$A$2:$A$406,_xlfn.UNICHAR(160)," ")),'worker file'!$D$2:$D$406,"Not found")</f>
        <v>CA</v>
      </c>
      <c r="D433" s="36" t="str">
        <f t="array" ref="D433">_xlfn.XLOOKUP($A433,TRIM(SUBSTITUTE('worker file'!$A$2:$A$406,_xlfn.UNICHAR(160)," ")),'worker file'!$Q$2:$Q$406,"Not found")</f>
        <v>Active</v>
      </c>
      <c r="E433" s="35" t="s">
        <v>618</v>
      </c>
      <c r="F433" t="str">
        <f t="shared" si="46"/>
        <v>401(k) Employee Deferral</v>
      </c>
      <c r="G433" t="str">
        <f t="shared" si="47"/>
        <v>Pre-tax (exempt from FIT/SIT; subject to FICA)</v>
      </c>
      <c r="H433" t="str">
        <f t="shared" si="48"/>
        <v>Percent</v>
      </c>
      <c r="I433" s="37">
        <v>7.0000000000000007E-2</v>
      </c>
      <c r="J433" s="38" t="str">
        <f t="shared" si="49"/>
        <v/>
      </c>
      <c r="K433" t="str">
        <f t="shared" si="50"/>
        <v>Gross pay</v>
      </c>
      <c r="L433" t="str">
        <f t="shared" si="51"/>
        <v>Every pay period (ongoing)</v>
      </c>
      <c r="M433" s="39">
        <f t="array" ref="M433">MAX(_xlfn.XLOOKUP($A433,TRIM(SUBSTITUTE('worker file'!$A$2:$A$406,_xlfn.UNICHAR(160)," ")),'worker file'!$M$2:$M$406,0),_xlfn.XLOOKUP($B433,TRIM('pay group &amp; schedule'!$A$2:$A$6),'pay group &amp; schedule'!$D$2:$D$6,0))</f>
        <v>46311</v>
      </c>
      <c r="N433" s="39" t="str">
        <f t="array" ref="N433">_xlfn.LET(_xlpm.t,_xlfn.XLOOKUP($A433,TRIM(SUBSTITUTE('worker file'!$A$2:$A$406,_xlfn.UNICHAR(160)," ")),'worker file'!$N$2:$N$406,""),IF(N(_xlpm.t)=0,"",_xlpm.t))</f>
        <v/>
      </c>
    </row>
    <row r="434" spans="1:14" x14ac:dyDescent="0.2">
      <c r="A434" s="35" t="s">
        <v>253</v>
      </c>
      <c r="B434" s="36" t="str">
        <f t="array" ref="B434">_xlfn.XLOOKUP($A434,TRIM(SUBSTITUTE('worker file'!$A$2:$A$406,_xlfn.UNICHAR(160)," ")),'worker file'!$L$2:$L$406,"Not found")</f>
        <v>US Semi-monthly</v>
      </c>
      <c r="C434" s="36" t="str">
        <f t="array" ref="C434">_xlfn.XLOOKUP($A434,TRIM(SUBSTITUTE('worker file'!$A$2:$A$406,_xlfn.UNICHAR(160)," ")),'worker file'!$D$2:$D$406,"Not found")</f>
        <v>CA</v>
      </c>
      <c r="D434" s="36" t="str">
        <f t="array" ref="D434">_xlfn.XLOOKUP($A434,TRIM(SUBSTITUTE('worker file'!$A$2:$A$406,_xlfn.UNICHAR(160)," ")),'worker file'!$Q$2:$Q$406,"Not found")</f>
        <v>Active</v>
      </c>
      <c r="E434" s="35" t="s">
        <v>626</v>
      </c>
      <c r="F434" t="str">
        <f t="shared" si="46"/>
        <v>Medical (Health) – Employee</v>
      </c>
      <c r="G434" t="str">
        <f t="shared" si="47"/>
        <v>Pre-tax Section 125 (exempt from FIT/SIT/FICA)</v>
      </c>
      <c r="H434" t="str">
        <f t="shared" si="48"/>
        <v>Flat</v>
      </c>
      <c r="I434" s="40" t="str">
        <f>IF($H434="Percent",_xlfn.XLOOKUP($E434,$A$5:$A$8,$F$5:$F$8,""),"")</f>
        <v/>
      </c>
      <c r="J434" s="38">
        <f t="shared" si="49"/>
        <v>200</v>
      </c>
      <c r="K434" t="str">
        <f t="shared" si="50"/>
        <v>Per pay period</v>
      </c>
      <c r="L434" t="str">
        <f t="shared" si="51"/>
        <v>Every pay period (ongoing)</v>
      </c>
      <c r="M434" s="39">
        <f t="array" ref="M434">MAX(_xlfn.XLOOKUP($A434,TRIM(SUBSTITUTE('worker file'!$A$2:$A$406,_xlfn.UNICHAR(160)," ")),'worker file'!$M$2:$M$406,0),_xlfn.XLOOKUP($B434,TRIM('pay group &amp; schedule'!$A$2:$A$6),'pay group &amp; schedule'!$D$2:$D$6,0))</f>
        <v>46311</v>
      </c>
      <c r="N434" s="39" t="str">
        <f t="array" ref="N434">_xlfn.LET(_xlpm.t,_xlfn.XLOOKUP($A434,TRIM(SUBSTITUTE('worker file'!$A$2:$A$406,_xlfn.UNICHAR(160)," ")),'worker file'!$N$2:$N$406,""),IF(N(_xlpm.t)=0,"",_xlpm.t))</f>
        <v/>
      </c>
    </row>
    <row r="435" spans="1:14" x14ac:dyDescent="0.2">
      <c r="A435" s="35" t="s">
        <v>253</v>
      </c>
      <c r="B435" s="36" t="str">
        <f t="array" ref="B435">_xlfn.XLOOKUP($A435,TRIM(SUBSTITUTE('worker file'!$A$2:$A$406,_xlfn.UNICHAR(160)," ")),'worker file'!$L$2:$L$406,"Not found")</f>
        <v>US Semi-monthly</v>
      </c>
      <c r="C435" s="36" t="str">
        <f t="array" ref="C435">_xlfn.XLOOKUP($A435,TRIM(SUBSTITUTE('worker file'!$A$2:$A$406,_xlfn.UNICHAR(160)," ")),'worker file'!$D$2:$D$406,"Not found")</f>
        <v>CA</v>
      </c>
      <c r="D435" s="36" t="str">
        <f t="array" ref="D435">_xlfn.XLOOKUP($A435,TRIM(SUBSTITUTE('worker file'!$A$2:$A$406,_xlfn.UNICHAR(160)," ")),'worker file'!$Q$2:$Q$406,"Not found")</f>
        <v>Active</v>
      </c>
      <c r="E435" s="35" t="s">
        <v>632</v>
      </c>
      <c r="F435" t="str">
        <f t="shared" si="46"/>
        <v>Dental – Employee</v>
      </c>
      <c r="G435" t="str">
        <f t="shared" si="47"/>
        <v>Pre-tax Section 125 (exempt from FIT/SIT/FICA)</v>
      </c>
      <c r="H435" t="str">
        <f t="shared" si="48"/>
        <v>Flat</v>
      </c>
      <c r="I435" s="40" t="str">
        <f>IF($H435="Percent",_xlfn.XLOOKUP($E435,$A$5:$A$8,$F$5:$F$8,""),"")</f>
        <v/>
      </c>
      <c r="J435" s="38">
        <f t="shared" si="49"/>
        <v>44</v>
      </c>
      <c r="K435" t="str">
        <f t="shared" si="50"/>
        <v>Per pay period</v>
      </c>
      <c r="L435" t="str">
        <f t="shared" si="51"/>
        <v>Every pay period (ongoing)</v>
      </c>
      <c r="M435" s="39">
        <f t="array" ref="M435">MAX(_xlfn.XLOOKUP($A435,TRIM(SUBSTITUTE('worker file'!$A$2:$A$406,_xlfn.UNICHAR(160)," ")),'worker file'!$M$2:$M$406,0),_xlfn.XLOOKUP($B435,TRIM('pay group &amp; schedule'!$A$2:$A$6),'pay group &amp; schedule'!$D$2:$D$6,0))</f>
        <v>46311</v>
      </c>
      <c r="N435" s="39" t="str">
        <f t="array" ref="N435">_xlfn.LET(_xlpm.t,_xlfn.XLOOKUP($A435,TRIM(SUBSTITUTE('worker file'!$A$2:$A$406,_xlfn.UNICHAR(160)," ")),'worker file'!$N$2:$N$406,""),IF(N(_xlpm.t)=0,"",_xlpm.t))</f>
        <v/>
      </c>
    </row>
    <row r="436" spans="1:14" x14ac:dyDescent="0.2">
      <c r="A436" s="35" t="s">
        <v>253</v>
      </c>
      <c r="B436" s="36" t="str">
        <f t="array" ref="B436">_xlfn.XLOOKUP($A436,TRIM(SUBSTITUTE('worker file'!$A$2:$A$406,_xlfn.UNICHAR(160)," ")),'worker file'!$L$2:$L$406,"Not found")</f>
        <v>US Semi-monthly</v>
      </c>
      <c r="C436" s="36" t="str">
        <f t="array" ref="C436">_xlfn.XLOOKUP($A436,TRIM(SUBSTITUTE('worker file'!$A$2:$A$406,_xlfn.UNICHAR(160)," ")),'worker file'!$D$2:$D$406,"Not found")</f>
        <v>CA</v>
      </c>
      <c r="D436" s="36" t="str">
        <f t="array" ref="D436">_xlfn.XLOOKUP($A436,TRIM(SUBSTITUTE('worker file'!$A$2:$A$406,_xlfn.UNICHAR(160)," ")),'worker file'!$Q$2:$Q$406,"Not found")</f>
        <v>Active</v>
      </c>
      <c r="E436" s="35" t="s">
        <v>634</v>
      </c>
      <c r="F436" t="str">
        <f t="shared" si="46"/>
        <v>Vision – Employee</v>
      </c>
      <c r="G436" t="str">
        <f t="shared" si="47"/>
        <v>Pre-tax Section 125 (exempt from FIT/SIT/FICA)</v>
      </c>
      <c r="H436" t="str">
        <f t="shared" si="48"/>
        <v>Flat</v>
      </c>
      <c r="I436" s="40" t="str">
        <f>IF($H436="Percent",_xlfn.XLOOKUP($E436,$A$5:$A$8,$F$5:$F$8,""),"")</f>
        <v/>
      </c>
      <c r="J436" s="38">
        <f t="shared" si="49"/>
        <v>30</v>
      </c>
      <c r="K436" t="str">
        <f t="shared" si="50"/>
        <v>Per pay period</v>
      </c>
      <c r="L436" t="str">
        <f t="shared" si="51"/>
        <v>Every pay period (ongoing)</v>
      </c>
      <c r="M436" s="39">
        <f t="array" ref="M436">MAX(_xlfn.XLOOKUP($A436,TRIM(SUBSTITUTE('worker file'!$A$2:$A$406,_xlfn.UNICHAR(160)," ")),'worker file'!$M$2:$M$406,0),_xlfn.XLOOKUP($B436,TRIM('pay group &amp; schedule'!$A$2:$A$6),'pay group &amp; schedule'!$D$2:$D$6,0))</f>
        <v>46311</v>
      </c>
      <c r="N436" s="39" t="str">
        <f t="array" ref="N436">_xlfn.LET(_xlpm.t,_xlfn.XLOOKUP($A436,TRIM(SUBSTITUTE('worker file'!$A$2:$A$406,_xlfn.UNICHAR(160)," ")),'worker file'!$N$2:$N$406,""),IF(N(_xlpm.t)=0,"",_xlpm.t))</f>
        <v/>
      </c>
    </row>
    <row r="437" spans="1:14" x14ac:dyDescent="0.2">
      <c r="A437" s="35" t="s">
        <v>255</v>
      </c>
      <c r="B437" s="36" t="str">
        <f t="array" ref="B437">_xlfn.XLOOKUP($A437,TRIM(SUBSTITUTE('worker file'!$A$2:$A$406,_xlfn.UNICHAR(160)," ")),'worker file'!$L$2:$L$406,"Not found")</f>
        <v>US Semi-monthly</v>
      </c>
      <c r="C437" s="36" t="str">
        <f t="array" ref="C437">_xlfn.XLOOKUP($A437,TRIM(SUBSTITUTE('worker file'!$A$2:$A$406,_xlfn.UNICHAR(160)," ")),'worker file'!$D$2:$D$406,"Not found")</f>
        <v>CA</v>
      </c>
      <c r="D437" s="36" t="str">
        <f t="array" ref="D437">_xlfn.XLOOKUP($A437,TRIM(SUBSTITUTE('worker file'!$A$2:$A$406,_xlfn.UNICHAR(160)," ")),'worker file'!$Q$2:$Q$406,"Not found")</f>
        <v>Active</v>
      </c>
      <c r="E437" s="35" t="s">
        <v>618</v>
      </c>
      <c r="F437" t="str">
        <f t="shared" si="46"/>
        <v>401(k) Employee Deferral</v>
      </c>
      <c r="G437" t="str">
        <f t="shared" si="47"/>
        <v>Pre-tax (exempt from FIT/SIT; subject to FICA)</v>
      </c>
      <c r="H437" t="str">
        <f t="shared" si="48"/>
        <v>Percent</v>
      </c>
      <c r="I437" s="37">
        <v>0.04</v>
      </c>
      <c r="J437" s="38" t="str">
        <f t="shared" si="49"/>
        <v/>
      </c>
      <c r="K437" t="str">
        <f t="shared" si="50"/>
        <v>Gross pay</v>
      </c>
      <c r="L437" t="str">
        <f t="shared" si="51"/>
        <v>Every pay period (ongoing)</v>
      </c>
      <c r="M437" s="39">
        <f t="array" ref="M437">MAX(_xlfn.XLOOKUP($A437,TRIM(SUBSTITUTE('worker file'!$A$2:$A$406,_xlfn.UNICHAR(160)," ")),'worker file'!$M$2:$M$406,0),_xlfn.XLOOKUP($B437,TRIM('pay group &amp; schedule'!$A$2:$A$6),'pay group &amp; schedule'!$D$2:$D$6,0))</f>
        <v>46311</v>
      </c>
      <c r="N437" s="39" t="str">
        <f t="array" ref="N437">_xlfn.LET(_xlpm.t,_xlfn.XLOOKUP($A437,TRIM(SUBSTITUTE('worker file'!$A$2:$A$406,_xlfn.UNICHAR(160)," ")),'worker file'!$N$2:$N$406,""),IF(N(_xlpm.t)=0,"",_xlpm.t))</f>
        <v/>
      </c>
    </row>
    <row r="438" spans="1:14" x14ac:dyDescent="0.2">
      <c r="A438" s="35" t="s">
        <v>255</v>
      </c>
      <c r="B438" s="36" t="str">
        <f t="array" ref="B438">_xlfn.XLOOKUP($A438,TRIM(SUBSTITUTE('worker file'!$A$2:$A$406,_xlfn.UNICHAR(160)," ")),'worker file'!$L$2:$L$406,"Not found")</f>
        <v>US Semi-monthly</v>
      </c>
      <c r="C438" s="36" t="str">
        <f t="array" ref="C438">_xlfn.XLOOKUP($A438,TRIM(SUBSTITUTE('worker file'!$A$2:$A$406,_xlfn.UNICHAR(160)," ")),'worker file'!$D$2:$D$406,"Not found")</f>
        <v>CA</v>
      </c>
      <c r="D438" s="36" t="str">
        <f t="array" ref="D438">_xlfn.XLOOKUP($A438,TRIM(SUBSTITUTE('worker file'!$A$2:$A$406,_xlfn.UNICHAR(160)," ")),'worker file'!$Q$2:$Q$406,"Not found")</f>
        <v>Active</v>
      </c>
      <c r="E438" s="35" t="s">
        <v>626</v>
      </c>
      <c r="F438" t="str">
        <f t="shared" si="46"/>
        <v>Medical (Health) – Employee</v>
      </c>
      <c r="G438" t="str">
        <f t="shared" si="47"/>
        <v>Pre-tax Section 125 (exempt from FIT/SIT/FICA)</v>
      </c>
      <c r="H438" t="str">
        <f t="shared" si="48"/>
        <v>Flat</v>
      </c>
      <c r="I438" s="40" t="str">
        <f>IF($H438="Percent",_xlfn.XLOOKUP($E438,$A$5:$A$8,$F$5:$F$8,""),"")</f>
        <v/>
      </c>
      <c r="J438" s="38">
        <f t="shared" si="49"/>
        <v>200</v>
      </c>
      <c r="K438" t="str">
        <f t="shared" si="50"/>
        <v>Per pay period</v>
      </c>
      <c r="L438" t="str">
        <f t="shared" si="51"/>
        <v>Every pay period (ongoing)</v>
      </c>
      <c r="M438" s="39">
        <f t="array" ref="M438">MAX(_xlfn.XLOOKUP($A438,TRIM(SUBSTITUTE('worker file'!$A$2:$A$406,_xlfn.UNICHAR(160)," ")),'worker file'!$M$2:$M$406,0),_xlfn.XLOOKUP($B438,TRIM('pay group &amp; schedule'!$A$2:$A$6),'pay group &amp; schedule'!$D$2:$D$6,0))</f>
        <v>46311</v>
      </c>
      <c r="N438" s="39" t="str">
        <f t="array" ref="N438">_xlfn.LET(_xlpm.t,_xlfn.XLOOKUP($A438,TRIM(SUBSTITUTE('worker file'!$A$2:$A$406,_xlfn.UNICHAR(160)," ")),'worker file'!$N$2:$N$406,""),IF(N(_xlpm.t)=0,"",_xlpm.t))</f>
        <v/>
      </c>
    </row>
    <row r="439" spans="1:14" x14ac:dyDescent="0.2">
      <c r="A439" s="35" t="s">
        <v>255</v>
      </c>
      <c r="B439" s="36" t="str">
        <f t="array" ref="B439">_xlfn.XLOOKUP($A439,TRIM(SUBSTITUTE('worker file'!$A$2:$A$406,_xlfn.UNICHAR(160)," ")),'worker file'!$L$2:$L$406,"Not found")</f>
        <v>US Semi-monthly</v>
      </c>
      <c r="C439" s="36" t="str">
        <f t="array" ref="C439">_xlfn.XLOOKUP($A439,TRIM(SUBSTITUTE('worker file'!$A$2:$A$406,_xlfn.UNICHAR(160)," ")),'worker file'!$D$2:$D$406,"Not found")</f>
        <v>CA</v>
      </c>
      <c r="D439" s="36" t="str">
        <f t="array" ref="D439">_xlfn.XLOOKUP($A439,TRIM(SUBSTITUTE('worker file'!$A$2:$A$406,_xlfn.UNICHAR(160)," ")),'worker file'!$Q$2:$Q$406,"Not found")</f>
        <v>Active</v>
      </c>
      <c r="E439" s="35" t="s">
        <v>632</v>
      </c>
      <c r="F439" t="str">
        <f t="shared" si="46"/>
        <v>Dental – Employee</v>
      </c>
      <c r="G439" t="str">
        <f t="shared" si="47"/>
        <v>Pre-tax Section 125 (exempt from FIT/SIT/FICA)</v>
      </c>
      <c r="H439" t="str">
        <f t="shared" si="48"/>
        <v>Flat</v>
      </c>
      <c r="I439" s="40" t="str">
        <f>IF($H439="Percent",_xlfn.XLOOKUP($E439,$A$5:$A$8,$F$5:$F$8,""),"")</f>
        <v/>
      </c>
      <c r="J439" s="38">
        <f t="shared" si="49"/>
        <v>44</v>
      </c>
      <c r="K439" t="str">
        <f t="shared" si="50"/>
        <v>Per pay period</v>
      </c>
      <c r="L439" t="str">
        <f t="shared" si="51"/>
        <v>Every pay period (ongoing)</v>
      </c>
      <c r="M439" s="39">
        <f t="array" ref="M439">MAX(_xlfn.XLOOKUP($A439,TRIM(SUBSTITUTE('worker file'!$A$2:$A$406,_xlfn.UNICHAR(160)," ")),'worker file'!$M$2:$M$406,0),_xlfn.XLOOKUP($B439,TRIM('pay group &amp; schedule'!$A$2:$A$6),'pay group &amp; schedule'!$D$2:$D$6,0))</f>
        <v>46311</v>
      </c>
      <c r="N439" s="39" t="str">
        <f t="array" ref="N439">_xlfn.LET(_xlpm.t,_xlfn.XLOOKUP($A439,TRIM(SUBSTITUTE('worker file'!$A$2:$A$406,_xlfn.UNICHAR(160)," ")),'worker file'!$N$2:$N$406,""),IF(N(_xlpm.t)=0,"",_xlpm.t))</f>
        <v/>
      </c>
    </row>
    <row r="440" spans="1:14" x14ac:dyDescent="0.2">
      <c r="A440" s="35" t="s">
        <v>255</v>
      </c>
      <c r="B440" s="36" t="str">
        <f t="array" ref="B440">_xlfn.XLOOKUP($A440,TRIM(SUBSTITUTE('worker file'!$A$2:$A$406,_xlfn.UNICHAR(160)," ")),'worker file'!$L$2:$L$406,"Not found")</f>
        <v>US Semi-monthly</v>
      </c>
      <c r="C440" s="36" t="str">
        <f t="array" ref="C440">_xlfn.XLOOKUP($A440,TRIM(SUBSTITUTE('worker file'!$A$2:$A$406,_xlfn.UNICHAR(160)," ")),'worker file'!$D$2:$D$406,"Not found")</f>
        <v>CA</v>
      </c>
      <c r="D440" s="36" t="str">
        <f t="array" ref="D440">_xlfn.XLOOKUP($A440,TRIM(SUBSTITUTE('worker file'!$A$2:$A$406,_xlfn.UNICHAR(160)," ")),'worker file'!$Q$2:$Q$406,"Not found")</f>
        <v>Active</v>
      </c>
      <c r="E440" s="35" t="s">
        <v>634</v>
      </c>
      <c r="F440" t="str">
        <f t="shared" si="46"/>
        <v>Vision – Employee</v>
      </c>
      <c r="G440" t="str">
        <f t="shared" si="47"/>
        <v>Pre-tax Section 125 (exempt from FIT/SIT/FICA)</v>
      </c>
      <c r="H440" t="str">
        <f t="shared" si="48"/>
        <v>Flat</v>
      </c>
      <c r="I440" s="40" t="str">
        <f>IF($H440="Percent",_xlfn.XLOOKUP($E440,$A$5:$A$8,$F$5:$F$8,""),"")</f>
        <v/>
      </c>
      <c r="J440" s="38">
        <f t="shared" si="49"/>
        <v>30</v>
      </c>
      <c r="K440" t="str">
        <f t="shared" si="50"/>
        <v>Per pay period</v>
      </c>
      <c r="L440" t="str">
        <f t="shared" si="51"/>
        <v>Every pay period (ongoing)</v>
      </c>
      <c r="M440" s="39">
        <f t="array" ref="M440">MAX(_xlfn.XLOOKUP($A440,TRIM(SUBSTITUTE('worker file'!$A$2:$A$406,_xlfn.UNICHAR(160)," ")),'worker file'!$M$2:$M$406,0),_xlfn.XLOOKUP($B440,TRIM('pay group &amp; schedule'!$A$2:$A$6),'pay group &amp; schedule'!$D$2:$D$6,0))</f>
        <v>46311</v>
      </c>
      <c r="N440" s="39" t="str">
        <f t="array" ref="N440">_xlfn.LET(_xlpm.t,_xlfn.XLOOKUP($A440,TRIM(SUBSTITUTE('worker file'!$A$2:$A$406,_xlfn.UNICHAR(160)," ")),'worker file'!$N$2:$N$406,""),IF(N(_xlpm.t)=0,"",_xlpm.t))</f>
        <v/>
      </c>
    </row>
    <row r="441" spans="1:14" x14ac:dyDescent="0.2">
      <c r="A441" s="35" t="s">
        <v>256</v>
      </c>
      <c r="B441" s="36" t="str">
        <f t="array" ref="B441">_xlfn.XLOOKUP($A441,TRIM(SUBSTITUTE('worker file'!$A$2:$A$406,_xlfn.UNICHAR(160)," ")),'worker file'!$L$2:$L$406,"Not found")</f>
        <v>US Biweekly</v>
      </c>
      <c r="C441" s="36" t="str">
        <f t="array" ref="C441">_xlfn.XLOOKUP($A441,TRIM(SUBSTITUTE('worker file'!$A$2:$A$406,_xlfn.UNICHAR(160)," ")),'worker file'!$D$2:$D$406,"Not found")</f>
        <v>TX</v>
      </c>
      <c r="D441" s="36" t="str">
        <f t="array" ref="D441">_xlfn.XLOOKUP($A441,TRIM(SUBSTITUTE('worker file'!$A$2:$A$406,_xlfn.UNICHAR(160)," ")),'worker file'!$Q$2:$Q$406,"Not found")</f>
        <v>Active</v>
      </c>
      <c r="E441" s="35" t="s">
        <v>618</v>
      </c>
      <c r="F441" t="str">
        <f t="shared" si="46"/>
        <v>401(k) Employee Deferral</v>
      </c>
      <c r="G441" t="str">
        <f t="shared" si="47"/>
        <v>Pre-tax (exempt from FIT/SIT; subject to FICA)</v>
      </c>
      <c r="H441" t="str">
        <f t="shared" si="48"/>
        <v>Percent</v>
      </c>
      <c r="I441" s="37">
        <v>0.01</v>
      </c>
      <c r="J441" s="38" t="str">
        <f t="shared" si="49"/>
        <v/>
      </c>
      <c r="K441" t="str">
        <f t="shared" si="50"/>
        <v>Gross pay</v>
      </c>
      <c r="L441" t="str">
        <f t="shared" si="51"/>
        <v>Every pay period (ongoing)</v>
      </c>
      <c r="M441" s="39">
        <f t="array" ref="M441">MAX(_xlfn.XLOOKUP($A441,TRIM(SUBSTITUTE('worker file'!$A$2:$A$406,_xlfn.UNICHAR(160)," ")),'worker file'!$M$2:$M$406,0),_xlfn.XLOOKUP($B441,TRIM('pay group &amp; schedule'!$A$2:$A$6),'pay group &amp; schedule'!$D$2:$D$6,0))</f>
        <v>46299</v>
      </c>
      <c r="N441" s="39" t="str">
        <f t="array" ref="N441">_xlfn.LET(_xlpm.t,_xlfn.XLOOKUP($A441,TRIM(SUBSTITUTE('worker file'!$A$2:$A$406,_xlfn.UNICHAR(160)," ")),'worker file'!$N$2:$N$406,""),IF(N(_xlpm.t)=0,"",_xlpm.t))</f>
        <v/>
      </c>
    </row>
    <row r="442" spans="1:14" x14ac:dyDescent="0.2">
      <c r="A442" s="35" t="s">
        <v>256</v>
      </c>
      <c r="B442" s="36" t="str">
        <f t="array" ref="B442">_xlfn.XLOOKUP($A442,TRIM(SUBSTITUTE('worker file'!$A$2:$A$406,_xlfn.UNICHAR(160)," ")),'worker file'!$L$2:$L$406,"Not found")</f>
        <v>US Biweekly</v>
      </c>
      <c r="C442" s="36" t="str">
        <f t="array" ref="C442">_xlfn.XLOOKUP($A442,TRIM(SUBSTITUTE('worker file'!$A$2:$A$406,_xlfn.UNICHAR(160)," ")),'worker file'!$D$2:$D$406,"Not found")</f>
        <v>TX</v>
      </c>
      <c r="D442" s="36" t="str">
        <f t="array" ref="D442">_xlfn.XLOOKUP($A442,TRIM(SUBSTITUTE('worker file'!$A$2:$A$406,_xlfn.UNICHAR(160)," ")),'worker file'!$Q$2:$Q$406,"Not found")</f>
        <v>Active</v>
      </c>
      <c r="E442" s="35" t="s">
        <v>626</v>
      </c>
      <c r="F442" t="str">
        <f t="shared" si="46"/>
        <v>Medical (Health) – Employee</v>
      </c>
      <c r="G442" t="str">
        <f t="shared" si="47"/>
        <v>Pre-tax Section 125 (exempt from FIT/SIT/FICA)</v>
      </c>
      <c r="H442" t="str">
        <f t="shared" si="48"/>
        <v>Flat</v>
      </c>
      <c r="I442" s="40" t="str">
        <f t="shared" ref="I442:I447" si="53">IF($H442="Percent",_xlfn.XLOOKUP($E442,$A$5:$A$8,$F$5:$F$8,""),"")</f>
        <v/>
      </c>
      <c r="J442" s="38">
        <f t="shared" si="49"/>
        <v>200</v>
      </c>
      <c r="K442" t="str">
        <f t="shared" si="50"/>
        <v>Per pay period</v>
      </c>
      <c r="L442" t="str">
        <f t="shared" si="51"/>
        <v>Every pay period (ongoing)</v>
      </c>
      <c r="M442" s="39">
        <f t="array" ref="M442">MAX(_xlfn.XLOOKUP($A442,TRIM(SUBSTITUTE('worker file'!$A$2:$A$406,_xlfn.UNICHAR(160)," ")),'worker file'!$M$2:$M$406,0),_xlfn.XLOOKUP($B442,TRIM('pay group &amp; schedule'!$A$2:$A$6),'pay group &amp; schedule'!$D$2:$D$6,0))</f>
        <v>46299</v>
      </c>
      <c r="N442" s="39" t="str">
        <f t="array" ref="N442">_xlfn.LET(_xlpm.t,_xlfn.XLOOKUP($A442,TRIM(SUBSTITUTE('worker file'!$A$2:$A$406,_xlfn.UNICHAR(160)," ")),'worker file'!$N$2:$N$406,""),IF(N(_xlpm.t)=0,"",_xlpm.t))</f>
        <v/>
      </c>
    </row>
    <row r="443" spans="1:14" x14ac:dyDescent="0.2">
      <c r="A443" s="35" t="s">
        <v>256</v>
      </c>
      <c r="B443" s="36" t="str">
        <f t="array" ref="B443">_xlfn.XLOOKUP($A443,TRIM(SUBSTITUTE('worker file'!$A$2:$A$406,_xlfn.UNICHAR(160)," ")),'worker file'!$L$2:$L$406,"Not found")</f>
        <v>US Biweekly</v>
      </c>
      <c r="C443" s="36" t="str">
        <f t="array" ref="C443">_xlfn.XLOOKUP($A443,TRIM(SUBSTITUTE('worker file'!$A$2:$A$406,_xlfn.UNICHAR(160)," ")),'worker file'!$D$2:$D$406,"Not found")</f>
        <v>TX</v>
      </c>
      <c r="D443" s="36" t="str">
        <f t="array" ref="D443">_xlfn.XLOOKUP($A443,TRIM(SUBSTITUTE('worker file'!$A$2:$A$406,_xlfn.UNICHAR(160)," ")),'worker file'!$Q$2:$Q$406,"Not found")</f>
        <v>Active</v>
      </c>
      <c r="E443" s="35" t="s">
        <v>632</v>
      </c>
      <c r="F443" t="str">
        <f t="shared" si="46"/>
        <v>Dental – Employee</v>
      </c>
      <c r="G443" t="str">
        <f t="shared" si="47"/>
        <v>Pre-tax Section 125 (exempt from FIT/SIT/FICA)</v>
      </c>
      <c r="H443" t="str">
        <f t="shared" si="48"/>
        <v>Flat</v>
      </c>
      <c r="I443" s="40" t="str">
        <f t="shared" si="53"/>
        <v/>
      </c>
      <c r="J443" s="38">
        <f t="shared" si="49"/>
        <v>44</v>
      </c>
      <c r="K443" t="str">
        <f t="shared" si="50"/>
        <v>Per pay period</v>
      </c>
      <c r="L443" t="str">
        <f t="shared" si="51"/>
        <v>Every pay period (ongoing)</v>
      </c>
      <c r="M443" s="39">
        <f t="array" ref="M443">MAX(_xlfn.XLOOKUP($A443,TRIM(SUBSTITUTE('worker file'!$A$2:$A$406,_xlfn.UNICHAR(160)," ")),'worker file'!$M$2:$M$406,0),_xlfn.XLOOKUP($B443,TRIM('pay group &amp; schedule'!$A$2:$A$6),'pay group &amp; schedule'!$D$2:$D$6,0))</f>
        <v>46299</v>
      </c>
      <c r="N443" s="39" t="str">
        <f t="array" ref="N443">_xlfn.LET(_xlpm.t,_xlfn.XLOOKUP($A443,TRIM(SUBSTITUTE('worker file'!$A$2:$A$406,_xlfn.UNICHAR(160)," ")),'worker file'!$N$2:$N$406,""),IF(N(_xlpm.t)=0,"",_xlpm.t))</f>
        <v/>
      </c>
    </row>
    <row r="444" spans="1:14" x14ac:dyDescent="0.2">
      <c r="A444" s="35" t="s">
        <v>256</v>
      </c>
      <c r="B444" s="36" t="str">
        <f t="array" ref="B444">_xlfn.XLOOKUP($A444,TRIM(SUBSTITUTE('worker file'!$A$2:$A$406,_xlfn.UNICHAR(160)," ")),'worker file'!$L$2:$L$406,"Not found")</f>
        <v>US Biweekly</v>
      </c>
      <c r="C444" s="36" t="str">
        <f t="array" ref="C444">_xlfn.XLOOKUP($A444,TRIM(SUBSTITUTE('worker file'!$A$2:$A$406,_xlfn.UNICHAR(160)," ")),'worker file'!$D$2:$D$406,"Not found")</f>
        <v>TX</v>
      </c>
      <c r="D444" s="36" t="str">
        <f t="array" ref="D444">_xlfn.XLOOKUP($A444,TRIM(SUBSTITUTE('worker file'!$A$2:$A$406,_xlfn.UNICHAR(160)," ")),'worker file'!$Q$2:$Q$406,"Not found")</f>
        <v>Active</v>
      </c>
      <c r="E444" s="35" t="s">
        <v>634</v>
      </c>
      <c r="F444" t="str">
        <f t="shared" si="46"/>
        <v>Vision – Employee</v>
      </c>
      <c r="G444" t="str">
        <f t="shared" si="47"/>
        <v>Pre-tax Section 125 (exempt from FIT/SIT/FICA)</v>
      </c>
      <c r="H444" t="str">
        <f t="shared" si="48"/>
        <v>Flat</v>
      </c>
      <c r="I444" s="40" t="str">
        <f t="shared" si="53"/>
        <v/>
      </c>
      <c r="J444" s="38">
        <f t="shared" si="49"/>
        <v>30</v>
      </c>
      <c r="K444" t="str">
        <f t="shared" si="50"/>
        <v>Per pay period</v>
      </c>
      <c r="L444" t="str">
        <f t="shared" si="51"/>
        <v>Every pay period (ongoing)</v>
      </c>
      <c r="M444" s="39">
        <f t="array" ref="M444">MAX(_xlfn.XLOOKUP($A444,TRIM(SUBSTITUTE('worker file'!$A$2:$A$406,_xlfn.UNICHAR(160)," ")),'worker file'!$M$2:$M$406,0),_xlfn.XLOOKUP($B444,TRIM('pay group &amp; schedule'!$A$2:$A$6),'pay group &amp; schedule'!$D$2:$D$6,0))</f>
        <v>46299</v>
      </c>
      <c r="N444" s="39" t="str">
        <f t="array" ref="N444">_xlfn.LET(_xlpm.t,_xlfn.XLOOKUP($A444,TRIM(SUBSTITUTE('worker file'!$A$2:$A$406,_xlfn.UNICHAR(160)," ")),'worker file'!$N$2:$N$406,""),IF(N(_xlpm.t)=0,"",_xlpm.t))</f>
        <v/>
      </c>
    </row>
    <row r="445" spans="1:14" x14ac:dyDescent="0.2">
      <c r="A445" s="35" t="s">
        <v>257</v>
      </c>
      <c r="B445" s="36" t="str">
        <f t="array" ref="B445">_xlfn.XLOOKUP($A445,TRIM(SUBSTITUTE('worker file'!$A$2:$A$406,_xlfn.UNICHAR(160)," ")),'worker file'!$L$2:$L$406,"Not found")</f>
        <v>US Semi-monthly</v>
      </c>
      <c r="C445" s="36" t="str">
        <f t="array" ref="C445">_xlfn.XLOOKUP($A445,TRIM(SUBSTITUTE('worker file'!$A$2:$A$406,_xlfn.UNICHAR(160)," ")),'worker file'!$D$2:$D$406,"Not found")</f>
        <v>NY</v>
      </c>
      <c r="D445" s="36" t="str">
        <f t="array" ref="D445">_xlfn.XLOOKUP($A445,TRIM(SUBSTITUTE('worker file'!$A$2:$A$406,_xlfn.UNICHAR(160)," ")),'worker file'!$Q$2:$Q$406,"Not found")</f>
        <v>Active</v>
      </c>
      <c r="E445" s="35" t="s">
        <v>626</v>
      </c>
      <c r="F445" t="str">
        <f t="shared" si="46"/>
        <v>Medical (Health) – Employee</v>
      </c>
      <c r="G445" t="str">
        <f t="shared" si="47"/>
        <v>Pre-tax Section 125 (exempt from FIT/SIT/FICA)</v>
      </c>
      <c r="H445" t="str">
        <f t="shared" si="48"/>
        <v>Flat</v>
      </c>
      <c r="I445" s="40" t="str">
        <f t="shared" si="53"/>
        <v/>
      </c>
      <c r="J445" s="38">
        <f t="shared" si="49"/>
        <v>200</v>
      </c>
      <c r="K445" t="str">
        <f t="shared" si="50"/>
        <v>Per pay period</v>
      </c>
      <c r="L445" t="str">
        <f t="shared" si="51"/>
        <v>Every pay period (ongoing)</v>
      </c>
      <c r="M445" s="39">
        <f t="array" ref="M445">MAX(_xlfn.XLOOKUP($A445,TRIM(SUBSTITUTE('worker file'!$A$2:$A$406,_xlfn.UNICHAR(160)," ")),'worker file'!$M$2:$M$406,0),_xlfn.XLOOKUP($B445,TRIM('pay group &amp; schedule'!$A$2:$A$6),'pay group &amp; schedule'!$D$2:$D$6,0))</f>
        <v>46311</v>
      </c>
      <c r="N445" s="39" t="str">
        <f t="array" ref="N445">_xlfn.LET(_xlpm.t,_xlfn.XLOOKUP($A445,TRIM(SUBSTITUTE('worker file'!$A$2:$A$406,_xlfn.UNICHAR(160)," ")),'worker file'!$N$2:$N$406,""),IF(N(_xlpm.t)=0,"",_xlpm.t))</f>
        <v/>
      </c>
    </row>
    <row r="446" spans="1:14" x14ac:dyDescent="0.2">
      <c r="A446" s="35" t="s">
        <v>257</v>
      </c>
      <c r="B446" s="36" t="str">
        <f t="array" ref="B446">_xlfn.XLOOKUP($A446,TRIM(SUBSTITUTE('worker file'!$A$2:$A$406,_xlfn.UNICHAR(160)," ")),'worker file'!$L$2:$L$406,"Not found")</f>
        <v>US Semi-monthly</v>
      </c>
      <c r="C446" s="36" t="str">
        <f t="array" ref="C446">_xlfn.XLOOKUP($A446,TRIM(SUBSTITUTE('worker file'!$A$2:$A$406,_xlfn.UNICHAR(160)," ")),'worker file'!$D$2:$D$406,"Not found")</f>
        <v>NY</v>
      </c>
      <c r="D446" s="36" t="str">
        <f t="array" ref="D446">_xlfn.XLOOKUP($A446,TRIM(SUBSTITUTE('worker file'!$A$2:$A$406,_xlfn.UNICHAR(160)," ")),'worker file'!$Q$2:$Q$406,"Not found")</f>
        <v>Active</v>
      </c>
      <c r="E446" s="35" t="s">
        <v>632</v>
      </c>
      <c r="F446" t="str">
        <f t="shared" si="46"/>
        <v>Dental – Employee</v>
      </c>
      <c r="G446" t="str">
        <f t="shared" si="47"/>
        <v>Pre-tax Section 125 (exempt from FIT/SIT/FICA)</v>
      </c>
      <c r="H446" t="str">
        <f t="shared" si="48"/>
        <v>Flat</v>
      </c>
      <c r="I446" s="40" t="str">
        <f t="shared" si="53"/>
        <v/>
      </c>
      <c r="J446" s="38">
        <f t="shared" si="49"/>
        <v>44</v>
      </c>
      <c r="K446" t="str">
        <f t="shared" si="50"/>
        <v>Per pay period</v>
      </c>
      <c r="L446" t="str">
        <f t="shared" si="51"/>
        <v>Every pay period (ongoing)</v>
      </c>
      <c r="M446" s="39">
        <f t="array" ref="M446">MAX(_xlfn.XLOOKUP($A446,TRIM(SUBSTITUTE('worker file'!$A$2:$A$406,_xlfn.UNICHAR(160)," ")),'worker file'!$M$2:$M$406,0),_xlfn.XLOOKUP($B446,TRIM('pay group &amp; schedule'!$A$2:$A$6),'pay group &amp; schedule'!$D$2:$D$6,0))</f>
        <v>46311</v>
      </c>
      <c r="N446" s="39" t="str">
        <f t="array" ref="N446">_xlfn.LET(_xlpm.t,_xlfn.XLOOKUP($A446,TRIM(SUBSTITUTE('worker file'!$A$2:$A$406,_xlfn.UNICHAR(160)," ")),'worker file'!$N$2:$N$406,""),IF(N(_xlpm.t)=0,"",_xlpm.t))</f>
        <v/>
      </c>
    </row>
    <row r="447" spans="1:14" x14ac:dyDescent="0.2">
      <c r="A447" s="35" t="s">
        <v>257</v>
      </c>
      <c r="B447" s="36" t="str">
        <f t="array" ref="B447">_xlfn.XLOOKUP($A447,TRIM(SUBSTITUTE('worker file'!$A$2:$A$406,_xlfn.UNICHAR(160)," ")),'worker file'!$L$2:$L$406,"Not found")</f>
        <v>US Semi-monthly</v>
      </c>
      <c r="C447" s="36" t="str">
        <f t="array" ref="C447">_xlfn.XLOOKUP($A447,TRIM(SUBSTITUTE('worker file'!$A$2:$A$406,_xlfn.UNICHAR(160)," ")),'worker file'!$D$2:$D$406,"Not found")</f>
        <v>NY</v>
      </c>
      <c r="D447" s="36" t="str">
        <f t="array" ref="D447">_xlfn.XLOOKUP($A447,TRIM(SUBSTITUTE('worker file'!$A$2:$A$406,_xlfn.UNICHAR(160)," ")),'worker file'!$Q$2:$Q$406,"Not found")</f>
        <v>Active</v>
      </c>
      <c r="E447" s="35" t="s">
        <v>634</v>
      </c>
      <c r="F447" t="str">
        <f t="shared" si="46"/>
        <v>Vision – Employee</v>
      </c>
      <c r="G447" t="str">
        <f t="shared" si="47"/>
        <v>Pre-tax Section 125 (exempt from FIT/SIT/FICA)</v>
      </c>
      <c r="H447" t="str">
        <f t="shared" si="48"/>
        <v>Flat</v>
      </c>
      <c r="I447" s="40" t="str">
        <f t="shared" si="53"/>
        <v/>
      </c>
      <c r="J447" s="38">
        <f t="shared" si="49"/>
        <v>30</v>
      </c>
      <c r="K447" t="str">
        <f t="shared" si="50"/>
        <v>Per pay period</v>
      </c>
      <c r="L447" t="str">
        <f t="shared" si="51"/>
        <v>Every pay period (ongoing)</v>
      </c>
      <c r="M447" s="39">
        <f t="array" ref="M447">MAX(_xlfn.XLOOKUP($A447,TRIM(SUBSTITUTE('worker file'!$A$2:$A$406,_xlfn.UNICHAR(160)," ")),'worker file'!$M$2:$M$406,0),_xlfn.XLOOKUP($B447,TRIM('pay group &amp; schedule'!$A$2:$A$6),'pay group &amp; schedule'!$D$2:$D$6,0))</f>
        <v>46311</v>
      </c>
      <c r="N447" s="39" t="str">
        <f t="array" ref="N447">_xlfn.LET(_xlpm.t,_xlfn.XLOOKUP($A447,TRIM(SUBSTITUTE('worker file'!$A$2:$A$406,_xlfn.UNICHAR(160)," ")),'worker file'!$N$2:$N$406,""),IF(N(_xlpm.t)=0,"",_xlpm.t))</f>
        <v/>
      </c>
    </row>
    <row r="448" spans="1:14" x14ac:dyDescent="0.2">
      <c r="A448" s="35" t="s">
        <v>259</v>
      </c>
      <c r="B448" s="36" t="str">
        <f t="array" ref="B448">_xlfn.XLOOKUP($A448,TRIM(SUBSTITUTE('worker file'!$A$2:$A$406,_xlfn.UNICHAR(160)," ")),'worker file'!$L$2:$L$406,"Not found")</f>
        <v>US Semi-monthly</v>
      </c>
      <c r="C448" s="36" t="str">
        <f t="array" ref="C448">_xlfn.XLOOKUP($A448,TRIM(SUBSTITUTE('worker file'!$A$2:$A$406,_xlfn.UNICHAR(160)," ")),'worker file'!$D$2:$D$406,"Not found")</f>
        <v>TX</v>
      </c>
      <c r="D448" s="36" t="str">
        <f t="array" ref="D448">_xlfn.XLOOKUP($A448,TRIM(SUBSTITUTE('worker file'!$A$2:$A$406,_xlfn.UNICHAR(160)," ")),'worker file'!$Q$2:$Q$406,"Not found")</f>
        <v>Active</v>
      </c>
      <c r="E448" s="35" t="s">
        <v>618</v>
      </c>
      <c r="F448" t="str">
        <f t="shared" si="46"/>
        <v>401(k) Employee Deferral</v>
      </c>
      <c r="G448" t="str">
        <f t="shared" si="47"/>
        <v>Pre-tax (exempt from FIT/SIT; subject to FICA)</v>
      </c>
      <c r="H448" t="str">
        <f t="shared" si="48"/>
        <v>Percent</v>
      </c>
      <c r="I448" s="37">
        <v>0.03</v>
      </c>
      <c r="J448" s="38" t="str">
        <f t="shared" si="49"/>
        <v/>
      </c>
      <c r="K448" t="str">
        <f t="shared" si="50"/>
        <v>Gross pay</v>
      </c>
      <c r="L448" t="str">
        <f t="shared" si="51"/>
        <v>Every pay period (ongoing)</v>
      </c>
      <c r="M448" s="39">
        <f t="array" ref="M448">MAX(_xlfn.XLOOKUP($A448,TRIM(SUBSTITUTE('worker file'!$A$2:$A$406,_xlfn.UNICHAR(160)," ")),'worker file'!$M$2:$M$406,0),_xlfn.XLOOKUP($B448,TRIM('pay group &amp; schedule'!$A$2:$A$6),'pay group &amp; schedule'!$D$2:$D$6,0))</f>
        <v>46311</v>
      </c>
      <c r="N448" s="39" t="str">
        <f t="array" ref="N448">_xlfn.LET(_xlpm.t,_xlfn.XLOOKUP($A448,TRIM(SUBSTITUTE('worker file'!$A$2:$A$406,_xlfn.UNICHAR(160)," ")),'worker file'!$N$2:$N$406,""),IF(N(_xlpm.t)=0,"",_xlpm.t))</f>
        <v/>
      </c>
    </row>
    <row r="449" spans="1:15" x14ac:dyDescent="0.2">
      <c r="A449" s="35" t="s">
        <v>259</v>
      </c>
      <c r="B449" s="36" t="str">
        <f t="array" ref="B449">_xlfn.XLOOKUP($A449,TRIM(SUBSTITUTE('worker file'!$A$2:$A$406,_xlfn.UNICHAR(160)," ")),'worker file'!$L$2:$L$406,"Not found")</f>
        <v>US Semi-monthly</v>
      </c>
      <c r="C449" s="36" t="str">
        <f t="array" ref="C449">_xlfn.XLOOKUP($A449,TRIM(SUBSTITUTE('worker file'!$A$2:$A$406,_xlfn.UNICHAR(160)," ")),'worker file'!$D$2:$D$406,"Not found")</f>
        <v>TX</v>
      </c>
      <c r="D449" s="36" t="str">
        <f t="array" ref="D449">_xlfn.XLOOKUP($A449,TRIM(SUBSTITUTE('worker file'!$A$2:$A$406,_xlfn.UNICHAR(160)," ")),'worker file'!$Q$2:$Q$406,"Not found")</f>
        <v>Active</v>
      </c>
      <c r="E449" s="35" t="s">
        <v>626</v>
      </c>
      <c r="F449" t="str">
        <f t="shared" si="46"/>
        <v>Medical (Health) – Employee</v>
      </c>
      <c r="G449" t="str">
        <f t="shared" si="47"/>
        <v>Pre-tax Section 125 (exempt from FIT/SIT/FICA)</v>
      </c>
      <c r="H449" t="str">
        <f t="shared" si="48"/>
        <v>Flat</v>
      </c>
      <c r="I449" s="40" t="str">
        <f>IF($H449="Percent",_xlfn.XLOOKUP($E449,$A$5:$A$8,$F$5:$F$8,""),"")</f>
        <v/>
      </c>
      <c r="J449" s="38">
        <f t="shared" si="49"/>
        <v>200</v>
      </c>
      <c r="K449" t="str">
        <f t="shared" si="50"/>
        <v>Per pay period</v>
      </c>
      <c r="L449" t="str">
        <f t="shared" si="51"/>
        <v>Every pay period (ongoing)</v>
      </c>
      <c r="M449" s="39">
        <f t="array" ref="M449">MAX(_xlfn.XLOOKUP($A449,TRIM(SUBSTITUTE('worker file'!$A$2:$A$406,_xlfn.UNICHAR(160)," ")),'worker file'!$M$2:$M$406,0),_xlfn.XLOOKUP($B449,TRIM('pay group &amp; schedule'!$A$2:$A$6),'pay group &amp; schedule'!$D$2:$D$6,0))</f>
        <v>46311</v>
      </c>
      <c r="N449" s="39" t="str">
        <f t="array" ref="N449">_xlfn.LET(_xlpm.t,_xlfn.XLOOKUP($A449,TRIM(SUBSTITUTE('worker file'!$A$2:$A$406,_xlfn.UNICHAR(160)," ")),'worker file'!$N$2:$N$406,""),IF(N(_xlpm.t)=0,"",_xlpm.t))</f>
        <v/>
      </c>
    </row>
    <row r="450" spans="1:15" x14ac:dyDescent="0.2">
      <c r="A450" s="35" t="s">
        <v>259</v>
      </c>
      <c r="B450" s="36" t="str">
        <f t="array" ref="B450">_xlfn.XLOOKUP($A450,TRIM(SUBSTITUTE('worker file'!$A$2:$A$406,_xlfn.UNICHAR(160)," ")),'worker file'!$L$2:$L$406,"Not found")</f>
        <v>US Semi-monthly</v>
      </c>
      <c r="C450" s="36" t="str">
        <f t="array" ref="C450">_xlfn.XLOOKUP($A450,TRIM(SUBSTITUTE('worker file'!$A$2:$A$406,_xlfn.UNICHAR(160)," ")),'worker file'!$D$2:$D$406,"Not found")</f>
        <v>TX</v>
      </c>
      <c r="D450" s="36" t="str">
        <f t="array" ref="D450">_xlfn.XLOOKUP($A450,TRIM(SUBSTITUTE('worker file'!$A$2:$A$406,_xlfn.UNICHAR(160)," ")),'worker file'!$Q$2:$Q$406,"Not found")</f>
        <v>Active</v>
      </c>
      <c r="E450" s="35" t="s">
        <v>632</v>
      </c>
      <c r="F450" t="str">
        <f t="shared" si="46"/>
        <v>Dental – Employee</v>
      </c>
      <c r="G450" t="str">
        <f t="shared" si="47"/>
        <v>Pre-tax Section 125 (exempt from FIT/SIT/FICA)</v>
      </c>
      <c r="H450" t="str">
        <f t="shared" si="48"/>
        <v>Flat</v>
      </c>
      <c r="I450" s="40" t="str">
        <f>IF($H450="Percent",_xlfn.XLOOKUP($E450,$A$5:$A$8,$F$5:$F$8,""),"")</f>
        <v/>
      </c>
      <c r="J450" s="38">
        <f t="shared" si="49"/>
        <v>44</v>
      </c>
      <c r="K450" t="str">
        <f t="shared" si="50"/>
        <v>Per pay period</v>
      </c>
      <c r="L450" t="str">
        <f t="shared" si="51"/>
        <v>Every pay period (ongoing)</v>
      </c>
      <c r="M450" s="39">
        <f t="array" ref="M450">MAX(_xlfn.XLOOKUP($A450,TRIM(SUBSTITUTE('worker file'!$A$2:$A$406,_xlfn.UNICHAR(160)," ")),'worker file'!$M$2:$M$406,0),_xlfn.XLOOKUP($B450,TRIM('pay group &amp; schedule'!$A$2:$A$6),'pay group &amp; schedule'!$D$2:$D$6,0))</f>
        <v>46311</v>
      </c>
      <c r="N450" s="39" t="str">
        <f t="array" ref="N450">_xlfn.LET(_xlpm.t,_xlfn.XLOOKUP($A450,TRIM(SUBSTITUTE('worker file'!$A$2:$A$406,_xlfn.UNICHAR(160)," ")),'worker file'!$N$2:$N$406,""),IF(N(_xlpm.t)=0,"",_xlpm.t))</f>
        <v/>
      </c>
    </row>
    <row r="451" spans="1:15" x14ac:dyDescent="0.2">
      <c r="A451" s="35" t="s">
        <v>259</v>
      </c>
      <c r="B451" s="36" t="str">
        <f t="array" ref="B451">_xlfn.XLOOKUP($A451,TRIM(SUBSTITUTE('worker file'!$A$2:$A$406,_xlfn.UNICHAR(160)," ")),'worker file'!$L$2:$L$406,"Not found")</f>
        <v>US Semi-monthly</v>
      </c>
      <c r="C451" s="36" t="str">
        <f t="array" ref="C451">_xlfn.XLOOKUP($A451,TRIM(SUBSTITUTE('worker file'!$A$2:$A$406,_xlfn.UNICHAR(160)," ")),'worker file'!$D$2:$D$406,"Not found")</f>
        <v>TX</v>
      </c>
      <c r="D451" s="36" t="str">
        <f t="array" ref="D451">_xlfn.XLOOKUP($A451,TRIM(SUBSTITUTE('worker file'!$A$2:$A$406,_xlfn.UNICHAR(160)," ")),'worker file'!$Q$2:$Q$406,"Not found")</f>
        <v>Active</v>
      </c>
      <c r="E451" s="35" t="s">
        <v>634</v>
      </c>
      <c r="F451" t="str">
        <f t="shared" si="46"/>
        <v>Vision – Employee</v>
      </c>
      <c r="G451" t="str">
        <f t="shared" si="47"/>
        <v>Pre-tax Section 125 (exempt from FIT/SIT/FICA)</v>
      </c>
      <c r="H451" t="str">
        <f t="shared" si="48"/>
        <v>Flat</v>
      </c>
      <c r="I451" s="40" t="str">
        <f>IF($H451="Percent",_xlfn.XLOOKUP($E451,$A$5:$A$8,$F$5:$F$8,""),"")</f>
        <v/>
      </c>
      <c r="J451" s="38">
        <f t="shared" si="49"/>
        <v>30</v>
      </c>
      <c r="K451" t="str">
        <f t="shared" si="50"/>
        <v>Per pay period</v>
      </c>
      <c r="L451" t="str">
        <f t="shared" si="51"/>
        <v>Every pay period (ongoing)</v>
      </c>
      <c r="M451" s="39">
        <f t="array" ref="M451">MAX(_xlfn.XLOOKUP($A451,TRIM(SUBSTITUTE('worker file'!$A$2:$A$406,_xlfn.UNICHAR(160)," ")),'worker file'!$M$2:$M$406,0),_xlfn.XLOOKUP($B451,TRIM('pay group &amp; schedule'!$A$2:$A$6),'pay group &amp; schedule'!$D$2:$D$6,0))</f>
        <v>46311</v>
      </c>
      <c r="N451" s="39" t="str">
        <f t="array" ref="N451">_xlfn.LET(_xlpm.t,_xlfn.XLOOKUP($A451,TRIM(SUBSTITUTE('worker file'!$A$2:$A$406,_xlfn.UNICHAR(160)," ")),'worker file'!$N$2:$N$406,""),IF(N(_xlpm.t)=0,"",_xlpm.t))</f>
        <v/>
      </c>
    </row>
    <row r="452" spans="1:15" x14ac:dyDescent="0.2">
      <c r="A452" s="35" t="s">
        <v>260</v>
      </c>
      <c r="B452" s="36" t="str">
        <f t="array" ref="B452">_xlfn.XLOOKUP($A452,TRIM(SUBSTITUTE('worker file'!$A$2:$A$406,_xlfn.UNICHAR(160)," ")),'worker file'!$L$2:$L$406,"Not found")</f>
        <v>US Semi-monthly</v>
      </c>
      <c r="C452" s="36" t="str">
        <f t="array" ref="C452">_xlfn.XLOOKUP($A452,TRIM(SUBSTITUTE('worker file'!$A$2:$A$406,_xlfn.UNICHAR(160)," ")),'worker file'!$D$2:$D$406,"Not found")</f>
        <v>MA</v>
      </c>
      <c r="D452" s="36" t="str">
        <f t="array" ref="D452">_xlfn.XLOOKUP($A452,TRIM(SUBSTITUTE('worker file'!$A$2:$A$406,_xlfn.UNICHAR(160)," ")),'worker file'!$Q$2:$Q$406,"Not found")</f>
        <v>Active</v>
      </c>
      <c r="E452" s="35" t="s">
        <v>618</v>
      </c>
      <c r="F452" t="str">
        <f t="shared" si="46"/>
        <v>401(k) Employee Deferral</v>
      </c>
      <c r="G452" t="str">
        <f t="shared" si="47"/>
        <v>Pre-tax (exempt from FIT/SIT; subject to FICA)</v>
      </c>
      <c r="H452" t="str">
        <f t="shared" si="48"/>
        <v>Percent</v>
      </c>
      <c r="I452" s="37">
        <v>0</v>
      </c>
      <c r="J452" s="38" t="str">
        <f t="shared" si="49"/>
        <v/>
      </c>
      <c r="K452" t="str">
        <f t="shared" si="50"/>
        <v>Gross pay</v>
      </c>
      <c r="L452" t="str">
        <f t="shared" si="51"/>
        <v>Every pay period (ongoing)</v>
      </c>
      <c r="M452" s="39">
        <f t="array" ref="M452">MAX(_xlfn.XLOOKUP($A452,TRIM(SUBSTITUTE('worker file'!$A$2:$A$406,_xlfn.UNICHAR(160)," ")),'worker file'!$M$2:$M$406,0),_xlfn.XLOOKUP($B452,TRIM('pay group &amp; schedule'!$A$2:$A$6),'pay group &amp; schedule'!$D$2:$D$6,0))</f>
        <v>46311</v>
      </c>
      <c r="N452" s="39" t="str">
        <f t="array" ref="N452">_xlfn.LET(_xlpm.t,_xlfn.XLOOKUP($A452,TRIM(SUBSTITUTE('worker file'!$A$2:$A$406,_xlfn.UNICHAR(160)," ")),'worker file'!$N$2:$N$406,""),IF(N(_xlpm.t)=0,"",_xlpm.t))</f>
        <v/>
      </c>
    </row>
    <row r="453" spans="1:15" x14ac:dyDescent="0.2">
      <c r="A453" s="35" t="s">
        <v>260</v>
      </c>
      <c r="B453" s="36" t="str">
        <f t="array" ref="B453">_xlfn.XLOOKUP($A453,TRIM(SUBSTITUTE('worker file'!$A$2:$A$406,_xlfn.UNICHAR(160)," ")),'worker file'!$L$2:$L$406,"Not found")</f>
        <v>US Semi-monthly</v>
      </c>
      <c r="C453" s="36" t="str">
        <f t="array" ref="C453">_xlfn.XLOOKUP($A453,TRIM(SUBSTITUTE('worker file'!$A$2:$A$406,_xlfn.UNICHAR(160)," ")),'worker file'!$D$2:$D$406,"Not found")</f>
        <v>MA</v>
      </c>
      <c r="D453" s="36" t="str">
        <f t="array" ref="D453">_xlfn.XLOOKUP($A453,TRIM(SUBSTITUTE('worker file'!$A$2:$A$406,_xlfn.UNICHAR(160)," ")),'worker file'!$Q$2:$Q$406,"Not found")</f>
        <v>Active</v>
      </c>
      <c r="E453" s="35" t="s">
        <v>626</v>
      </c>
      <c r="F453" t="str">
        <f t="shared" si="46"/>
        <v>Medical (Health) – Employee</v>
      </c>
      <c r="G453" t="str">
        <f t="shared" si="47"/>
        <v>Pre-tax Section 125 (exempt from FIT/SIT/FICA)</v>
      </c>
      <c r="H453" t="str">
        <f t="shared" si="48"/>
        <v>Flat</v>
      </c>
      <c r="I453" s="40" t="str">
        <f>IF($H453="Percent",_xlfn.XLOOKUP($E453,$A$5:$A$8,$F$5:$F$8,""),"")</f>
        <v/>
      </c>
      <c r="J453" s="38">
        <f t="shared" si="49"/>
        <v>200</v>
      </c>
      <c r="K453" t="str">
        <f t="shared" si="50"/>
        <v>Per pay period</v>
      </c>
      <c r="L453" t="str">
        <f t="shared" si="51"/>
        <v>Every pay period (ongoing)</v>
      </c>
      <c r="M453" s="39">
        <f t="array" ref="M453">MAX(_xlfn.XLOOKUP($A453,TRIM(SUBSTITUTE('worker file'!$A$2:$A$406,_xlfn.UNICHAR(160)," ")),'worker file'!$M$2:$M$406,0),_xlfn.XLOOKUP($B453,TRIM('pay group &amp; schedule'!$A$2:$A$6),'pay group &amp; schedule'!$D$2:$D$6,0))</f>
        <v>46311</v>
      </c>
      <c r="N453" s="39" t="str">
        <f t="array" ref="N453">_xlfn.LET(_xlpm.t,_xlfn.XLOOKUP($A453,TRIM(SUBSTITUTE('worker file'!$A$2:$A$406,_xlfn.UNICHAR(160)," ")),'worker file'!$N$2:$N$406,""),IF(N(_xlpm.t)=0,"",_xlpm.t))</f>
        <v/>
      </c>
    </row>
    <row r="454" spans="1:15" x14ac:dyDescent="0.2">
      <c r="A454" s="35" t="s">
        <v>260</v>
      </c>
      <c r="B454" s="36" t="str">
        <f t="array" ref="B454">_xlfn.XLOOKUP($A454,TRIM(SUBSTITUTE('worker file'!$A$2:$A$406,_xlfn.UNICHAR(160)," ")),'worker file'!$L$2:$L$406,"Not found")</f>
        <v>US Semi-monthly</v>
      </c>
      <c r="C454" s="36" t="str">
        <f t="array" ref="C454">_xlfn.XLOOKUP($A454,TRIM(SUBSTITUTE('worker file'!$A$2:$A$406,_xlfn.UNICHAR(160)," ")),'worker file'!$D$2:$D$406,"Not found")</f>
        <v>MA</v>
      </c>
      <c r="D454" s="36" t="str">
        <f t="array" ref="D454">_xlfn.XLOOKUP($A454,TRIM(SUBSTITUTE('worker file'!$A$2:$A$406,_xlfn.UNICHAR(160)," ")),'worker file'!$Q$2:$Q$406,"Not found")</f>
        <v>Active</v>
      </c>
      <c r="E454" s="35" t="s">
        <v>632</v>
      </c>
      <c r="F454" t="str">
        <f t="shared" si="46"/>
        <v>Dental – Employee</v>
      </c>
      <c r="G454" t="str">
        <f t="shared" si="47"/>
        <v>Pre-tax Section 125 (exempt from FIT/SIT/FICA)</v>
      </c>
      <c r="H454" t="str">
        <f t="shared" si="48"/>
        <v>Flat</v>
      </c>
      <c r="I454" s="40" t="str">
        <f>IF($H454="Percent",_xlfn.XLOOKUP($E454,$A$5:$A$8,$F$5:$F$8,""),"")</f>
        <v/>
      </c>
      <c r="J454" s="38">
        <f t="shared" si="49"/>
        <v>44</v>
      </c>
      <c r="K454" t="str">
        <f t="shared" si="50"/>
        <v>Per pay period</v>
      </c>
      <c r="L454" t="str">
        <f t="shared" si="51"/>
        <v>Every pay period (ongoing)</v>
      </c>
      <c r="M454" s="39">
        <f t="array" ref="M454">MAX(_xlfn.XLOOKUP($A454,TRIM(SUBSTITUTE('worker file'!$A$2:$A$406,_xlfn.UNICHAR(160)," ")),'worker file'!$M$2:$M$406,0),_xlfn.XLOOKUP($B454,TRIM('pay group &amp; schedule'!$A$2:$A$6),'pay group &amp; schedule'!$D$2:$D$6,0))</f>
        <v>46311</v>
      </c>
      <c r="N454" s="39" t="str">
        <f t="array" ref="N454">_xlfn.LET(_xlpm.t,_xlfn.XLOOKUP($A454,TRIM(SUBSTITUTE('worker file'!$A$2:$A$406,_xlfn.UNICHAR(160)," ")),'worker file'!$N$2:$N$406,""),IF(N(_xlpm.t)=0,"",_xlpm.t))</f>
        <v/>
      </c>
    </row>
    <row r="455" spans="1:15" x14ac:dyDescent="0.2">
      <c r="A455" s="35" t="s">
        <v>260</v>
      </c>
      <c r="B455" s="36" t="str">
        <f t="array" ref="B455">_xlfn.XLOOKUP($A455,TRIM(SUBSTITUTE('worker file'!$A$2:$A$406,_xlfn.UNICHAR(160)," ")),'worker file'!$L$2:$L$406,"Not found")</f>
        <v>US Semi-monthly</v>
      </c>
      <c r="C455" s="36" t="str">
        <f t="array" ref="C455">_xlfn.XLOOKUP($A455,TRIM(SUBSTITUTE('worker file'!$A$2:$A$406,_xlfn.UNICHAR(160)," ")),'worker file'!$D$2:$D$406,"Not found")</f>
        <v>MA</v>
      </c>
      <c r="D455" s="36" t="str">
        <f t="array" ref="D455">_xlfn.XLOOKUP($A455,TRIM(SUBSTITUTE('worker file'!$A$2:$A$406,_xlfn.UNICHAR(160)," ")),'worker file'!$Q$2:$Q$406,"Not found")</f>
        <v>Active</v>
      </c>
      <c r="E455" s="35" t="s">
        <v>634</v>
      </c>
      <c r="F455" t="str">
        <f t="shared" si="46"/>
        <v>Vision – Employee</v>
      </c>
      <c r="G455" t="str">
        <f t="shared" si="47"/>
        <v>Pre-tax Section 125 (exempt from FIT/SIT/FICA)</v>
      </c>
      <c r="H455" t="str">
        <f t="shared" si="48"/>
        <v>Flat</v>
      </c>
      <c r="I455" s="40" t="str">
        <f>IF($H455="Percent",_xlfn.XLOOKUP($E455,$A$5:$A$8,$F$5:$F$8,""),"")</f>
        <v/>
      </c>
      <c r="J455" s="38">
        <f t="shared" si="49"/>
        <v>30</v>
      </c>
      <c r="K455" t="str">
        <f t="shared" si="50"/>
        <v>Per pay period</v>
      </c>
      <c r="L455" t="str">
        <f t="shared" si="51"/>
        <v>Every pay period (ongoing)</v>
      </c>
      <c r="M455" s="39">
        <f t="array" ref="M455">MAX(_xlfn.XLOOKUP($A455,TRIM(SUBSTITUTE('worker file'!$A$2:$A$406,_xlfn.UNICHAR(160)," ")),'worker file'!$M$2:$M$406,0),_xlfn.XLOOKUP($B455,TRIM('pay group &amp; schedule'!$A$2:$A$6),'pay group &amp; schedule'!$D$2:$D$6,0))</f>
        <v>46311</v>
      </c>
      <c r="N455" s="39" t="str">
        <f t="array" ref="N455">_xlfn.LET(_xlpm.t,_xlfn.XLOOKUP($A455,TRIM(SUBSTITUTE('worker file'!$A$2:$A$406,_xlfn.UNICHAR(160)," ")),'worker file'!$N$2:$N$406,""),IF(N(_xlpm.t)=0,"",_xlpm.t))</f>
        <v/>
      </c>
    </row>
    <row r="456" spans="1:15" x14ac:dyDescent="0.2">
      <c r="A456" s="35" t="s">
        <v>261</v>
      </c>
      <c r="B456" s="36" t="str">
        <f t="array" ref="B456">_xlfn.XLOOKUP($A456,TRIM(SUBSTITUTE('worker file'!$A$2:$A$406,_xlfn.UNICHAR(160)," ")),'worker file'!$L$2:$L$406,"Not found")</f>
        <v>US Biweekly</v>
      </c>
      <c r="C456" s="36" t="str">
        <f t="array" ref="C456">_xlfn.XLOOKUP($A456,TRIM(SUBSTITUTE('worker file'!$A$2:$A$406,_xlfn.UNICHAR(160)," ")),'worker file'!$D$2:$D$406,"Not found")</f>
        <v>CA</v>
      </c>
      <c r="D456" s="36" t="str">
        <f t="array" ref="D456">_xlfn.XLOOKUP($A456,TRIM(SUBSTITUTE('worker file'!$A$2:$A$406,_xlfn.UNICHAR(160)," ")),'worker file'!$Q$2:$Q$406,"Not found")</f>
        <v>On Leave(unpaid)</v>
      </c>
      <c r="E456" s="35" t="s">
        <v>618</v>
      </c>
      <c r="F456" t="str">
        <f t="shared" si="46"/>
        <v>401(k) Employee Deferral</v>
      </c>
      <c r="G456" t="str">
        <f t="shared" si="47"/>
        <v>Pre-tax (exempt from FIT/SIT; subject to FICA)</v>
      </c>
      <c r="H456" t="str">
        <f t="shared" si="48"/>
        <v>Percent</v>
      </c>
      <c r="I456" s="37">
        <v>0.05</v>
      </c>
      <c r="J456" s="38" t="str">
        <f t="shared" si="49"/>
        <v/>
      </c>
      <c r="K456" t="str">
        <f t="shared" si="50"/>
        <v>Gross pay</v>
      </c>
      <c r="L456" t="str">
        <f t="shared" si="51"/>
        <v>Every pay period (ongoing)</v>
      </c>
      <c r="M456" s="39">
        <f t="array" ref="M456">MAX(_xlfn.XLOOKUP($A456,TRIM(SUBSTITUTE('worker file'!$A$2:$A$406,_xlfn.UNICHAR(160)," ")),'worker file'!$M$2:$M$406,0),_xlfn.XLOOKUP($B456,TRIM('pay group &amp; schedule'!$A$2:$A$6),'pay group &amp; schedule'!$D$2:$D$6,0))</f>
        <v>46299</v>
      </c>
      <c r="N456" s="39" t="str">
        <f t="array" ref="N456">_xlfn.LET(_xlpm.t,_xlfn.XLOOKUP($A456,TRIM(SUBSTITUTE('worker file'!$A$2:$A$406,_xlfn.UNICHAR(160)," ")),'worker file'!$N$2:$N$406,""),IF(N(_xlpm.t)=0,"",_xlpm.t))</f>
        <v/>
      </c>
      <c r="O456" t="s">
        <v>646</v>
      </c>
    </row>
    <row r="457" spans="1:15" x14ac:dyDescent="0.2">
      <c r="A457" s="35" t="s">
        <v>261</v>
      </c>
      <c r="B457" s="36" t="str">
        <f t="array" ref="B457">_xlfn.XLOOKUP($A457,TRIM(SUBSTITUTE('worker file'!$A$2:$A$406,_xlfn.UNICHAR(160)," ")),'worker file'!$L$2:$L$406,"Not found")</f>
        <v>US Biweekly</v>
      </c>
      <c r="C457" s="36" t="str">
        <f t="array" ref="C457">_xlfn.XLOOKUP($A457,TRIM(SUBSTITUTE('worker file'!$A$2:$A$406,_xlfn.UNICHAR(160)," ")),'worker file'!$D$2:$D$406,"Not found")</f>
        <v>CA</v>
      </c>
      <c r="D457" s="36" t="str">
        <f t="array" ref="D457">_xlfn.XLOOKUP($A457,TRIM(SUBSTITUTE('worker file'!$A$2:$A$406,_xlfn.UNICHAR(160)," ")),'worker file'!$Q$2:$Q$406,"Not found")</f>
        <v>On Leave(unpaid)</v>
      </c>
      <c r="E457" s="35" t="s">
        <v>626</v>
      </c>
      <c r="F457" t="str">
        <f t="shared" si="46"/>
        <v>Medical (Health) – Employee</v>
      </c>
      <c r="G457" t="str">
        <f t="shared" si="47"/>
        <v>Pre-tax Section 125 (exempt from FIT/SIT/FICA)</v>
      </c>
      <c r="H457" t="str">
        <f t="shared" si="48"/>
        <v>Flat</v>
      </c>
      <c r="I457" s="40" t="str">
        <f>IF($H457="Percent",_xlfn.XLOOKUP($E457,$A$5:$A$8,$F$5:$F$8,""),"")</f>
        <v/>
      </c>
      <c r="J457" s="38">
        <f t="shared" si="49"/>
        <v>200</v>
      </c>
      <c r="K457" t="str">
        <f t="shared" si="50"/>
        <v>Per pay period</v>
      </c>
      <c r="L457" t="str">
        <f t="shared" si="51"/>
        <v>Every pay period (ongoing)</v>
      </c>
      <c r="M457" s="39">
        <f t="array" ref="M457">MAX(_xlfn.XLOOKUP($A457,TRIM(SUBSTITUTE('worker file'!$A$2:$A$406,_xlfn.UNICHAR(160)," ")),'worker file'!$M$2:$M$406,0),_xlfn.XLOOKUP($B457,TRIM('pay group &amp; schedule'!$A$2:$A$6),'pay group &amp; schedule'!$D$2:$D$6,0))</f>
        <v>46299</v>
      </c>
      <c r="N457" s="39" t="str">
        <f t="array" ref="N457">_xlfn.LET(_xlpm.t,_xlfn.XLOOKUP($A457,TRIM(SUBSTITUTE('worker file'!$A$2:$A$406,_xlfn.UNICHAR(160)," ")),'worker file'!$N$2:$N$406,""),IF(N(_xlpm.t)=0,"",_xlpm.t))</f>
        <v/>
      </c>
      <c r="O457" t="s">
        <v>646</v>
      </c>
    </row>
    <row r="458" spans="1:15" x14ac:dyDescent="0.2">
      <c r="A458" s="35" t="s">
        <v>261</v>
      </c>
      <c r="B458" s="36" t="str">
        <f t="array" ref="B458">_xlfn.XLOOKUP($A458,TRIM(SUBSTITUTE('worker file'!$A$2:$A$406,_xlfn.UNICHAR(160)," ")),'worker file'!$L$2:$L$406,"Not found")</f>
        <v>US Biweekly</v>
      </c>
      <c r="C458" s="36" t="str">
        <f t="array" ref="C458">_xlfn.XLOOKUP($A458,TRIM(SUBSTITUTE('worker file'!$A$2:$A$406,_xlfn.UNICHAR(160)," ")),'worker file'!$D$2:$D$406,"Not found")</f>
        <v>CA</v>
      </c>
      <c r="D458" s="36" t="str">
        <f t="array" ref="D458">_xlfn.XLOOKUP($A458,TRIM(SUBSTITUTE('worker file'!$A$2:$A$406,_xlfn.UNICHAR(160)," ")),'worker file'!$Q$2:$Q$406,"Not found")</f>
        <v>On Leave(unpaid)</v>
      </c>
      <c r="E458" s="35" t="s">
        <v>632</v>
      </c>
      <c r="F458" t="str">
        <f t="shared" si="46"/>
        <v>Dental – Employee</v>
      </c>
      <c r="G458" t="str">
        <f t="shared" si="47"/>
        <v>Pre-tax Section 125 (exempt from FIT/SIT/FICA)</v>
      </c>
      <c r="H458" t="str">
        <f t="shared" si="48"/>
        <v>Flat</v>
      </c>
      <c r="I458" s="40" t="str">
        <f>IF($H458="Percent",_xlfn.XLOOKUP($E458,$A$5:$A$8,$F$5:$F$8,""),"")</f>
        <v/>
      </c>
      <c r="J458" s="38">
        <f t="shared" si="49"/>
        <v>44</v>
      </c>
      <c r="K458" t="str">
        <f t="shared" si="50"/>
        <v>Per pay period</v>
      </c>
      <c r="L458" t="str">
        <f t="shared" si="51"/>
        <v>Every pay period (ongoing)</v>
      </c>
      <c r="M458" s="39">
        <f t="array" ref="M458">MAX(_xlfn.XLOOKUP($A458,TRIM(SUBSTITUTE('worker file'!$A$2:$A$406,_xlfn.UNICHAR(160)," ")),'worker file'!$M$2:$M$406,0),_xlfn.XLOOKUP($B458,TRIM('pay group &amp; schedule'!$A$2:$A$6),'pay group &amp; schedule'!$D$2:$D$6,0))</f>
        <v>46299</v>
      </c>
      <c r="N458" s="39" t="str">
        <f t="array" ref="N458">_xlfn.LET(_xlpm.t,_xlfn.XLOOKUP($A458,TRIM(SUBSTITUTE('worker file'!$A$2:$A$406,_xlfn.UNICHAR(160)," ")),'worker file'!$N$2:$N$406,""),IF(N(_xlpm.t)=0,"",_xlpm.t))</f>
        <v/>
      </c>
      <c r="O458" t="s">
        <v>646</v>
      </c>
    </row>
    <row r="459" spans="1:15" x14ac:dyDescent="0.2">
      <c r="A459" s="35" t="s">
        <v>261</v>
      </c>
      <c r="B459" s="36" t="str">
        <f t="array" ref="B459">_xlfn.XLOOKUP($A459,TRIM(SUBSTITUTE('worker file'!$A$2:$A$406,_xlfn.UNICHAR(160)," ")),'worker file'!$L$2:$L$406,"Not found")</f>
        <v>US Biweekly</v>
      </c>
      <c r="C459" s="36" t="str">
        <f t="array" ref="C459">_xlfn.XLOOKUP($A459,TRIM(SUBSTITUTE('worker file'!$A$2:$A$406,_xlfn.UNICHAR(160)," ")),'worker file'!$D$2:$D$406,"Not found")</f>
        <v>CA</v>
      </c>
      <c r="D459" s="36" t="str">
        <f t="array" ref="D459">_xlfn.XLOOKUP($A459,TRIM(SUBSTITUTE('worker file'!$A$2:$A$406,_xlfn.UNICHAR(160)," ")),'worker file'!$Q$2:$Q$406,"Not found")</f>
        <v>On Leave(unpaid)</v>
      </c>
      <c r="E459" s="35" t="s">
        <v>634</v>
      </c>
      <c r="F459" t="str">
        <f t="shared" si="46"/>
        <v>Vision – Employee</v>
      </c>
      <c r="G459" t="str">
        <f t="shared" si="47"/>
        <v>Pre-tax Section 125 (exempt from FIT/SIT/FICA)</v>
      </c>
      <c r="H459" t="str">
        <f t="shared" si="48"/>
        <v>Flat</v>
      </c>
      <c r="I459" s="40" t="str">
        <f>IF($H459="Percent",_xlfn.XLOOKUP($E459,$A$5:$A$8,$F$5:$F$8,""),"")</f>
        <v/>
      </c>
      <c r="J459" s="38">
        <f t="shared" si="49"/>
        <v>30</v>
      </c>
      <c r="K459" t="str">
        <f t="shared" si="50"/>
        <v>Per pay period</v>
      </c>
      <c r="L459" t="str">
        <f t="shared" si="51"/>
        <v>Every pay period (ongoing)</v>
      </c>
      <c r="M459" s="39">
        <f t="array" ref="M459">MAX(_xlfn.XLOOKUP($A459,TRIM(SUBSTITUTE('worker file'!$A$2:$A$406,_xlfn.UNICHAR(160)," ")),'worker file'!$M$2:$M$406,0),_xlfn.XLOOKUP($B459,TRIM('pay group &amp; schedule'!$A$2:$A$6),'pay group &amp; schedule'!$D$2:$D$6,0))</f>
        <v>46299</v>
      </c>
      <c r="N459" s="39" t="str">
        <f t="array" ref="N459">_xlfn.LET(_xlpm.t,_xlfn.XLOOKUP($A459,TRIM(SUBSTITUTE('worker file'!$A$2:$A$406,_xlfn.UNICHAR(160)," ")),'worker file'!$N$2:$N$406,""),IF(N(_xlpm.t)=0,"",_xlpm.t))</f>
        <v/>
      </c>
      <c r="O459" t="s">
        <v>646</v>
      </c>
    </row>
    <row r="460" spans="1:15" x14ac:dyDescent="0.2">
      <c r="A460" s="35" t="s">
        <v>262</v>
      </c>
      <c r="B460" s="36" t="str">
        <f t="array" ref="B460">_xlfn.XLOOKUP($A460,TRIM(SUBSTITUTE('worker file'!$A$2:$A$406,_xlfn.UNICHAR(160)," ")),'worker file'!$L$2:$L$406,"Not found")</f>
        <v>US Semi-monthly</v>
      </c>
      <c r="C460" s="36" t="str">
        <f t="array" ref="C460">_xlfn.XLOOKUP($A460,TRIM(SUBSTITUTE('worker file'!$A$2:$A$406,_xlfn.UNICHAR(160)," ")),'worker file'!$D$2:$D$406,"Not found")</f>
        <v>IL</v>
      </c>
      <c r="D460" s="36" t="str">
        <f t="array" ref="D460">_xlfn.XLOOKUP($A460,TRIM(SUBSTITUTE('worker file'!$A$2:$A$406,_xlfn.UNICHAR(160)," ")),'worker file'!$Q$2:$Q$406,"Not found")</f>
        <v>Active</v>
      </c>
      <c r="E460" s="35" t="s">
        <v>618</v>
      </c>
      <c r="F460" t="str">
        <f t="shared" ref="F460:F523" si="54">_xlfn.XLOOKUP($E460,$A$5:$A$8,$B$5:$B$8,"")</f>
        <v>401(k) Employee Deferral</v>
      </c>
      <c r="G460" t="str">
        <f t="shared" ref="G460:G523" si="55">_xlfn.XLOOKUP($E460,$A$5:$A$8,$D$5:$D$8,"")</f>
        <v>Pre-tax (exempt from FIT/SIT; subject to FICA)</v>
      </c>
      <c r="H460" t="str">
        <f t="shared" ref="H460:H523" si="56">_xlfn.XLOOKUP($E460,$A$5:$A$8,$E$5:$E$8,"")</f>
        <v>Percent</v>
      </c>
      <c r="I460" s="37">
        <v>0.02</v>
      </c>
      <c r="J460" s="38" t="str">
        <f t="shared" ref="J460:J523" si="57">IF($H460="Flat",_xlfn.XLOOKUP($E460,$A$5:$A$8,$F$5:$F$8,""),"")</f>
        <v/>
      </c>
      <c r="K460" t="str">
        <f t="shared" ref="K460:K523" si="58">_xlfn.XLOOKUP($E460,$A$5:$A$8,$G$5:$G$8,"")</f>
        <v>Gross pay</v>
      </c>
      <c r="L460" t="str">
        <f t="shared" ref="L460:L523" si="59">_xlfn.XLOOKUP($E460,$A$5:$A$8,$H$5:$H$8,"")</f>
        <v>Every pay period (ongoing)</v>
      </c>
      <c r="M460" s="39">
        <f t="array" ref="M460">MAX(_xlfn.XLOOKUP($A460,TRIM(SUBSTITUTE('worker file'!$A$2:$A$406,_xlfn.UNICHAR(160)," ")),'worker file'!$M$2:$M$406,0),_xlfn.XLOOKUP($B460,TRIM('pay group &amp; schedule'!$A$2:$A$6),'pay group &amp; schedule'!$D$2:$D$6,0))</f>
        <v>46311</v>
      </c>
      <c r="N460" s="39" t="str">
        <f t="array" ref="N460">_xlfn.LET(_xlpm.t,_xlfn.XLOOKUP($A460,TRIM(SUBSTITUTE('worker file'!$A$2:$A$406,_xlfn.UNICHAR(160)," ")),'worker file'!$N$2:$N$406,""),IF(N(_xlpm.t)=0,"",_xlpm.t))</f>
        <v/>
      </c>
    </row>
    <row r="461" spans="1:15" x14ac:dyDescent="0.2">
      <c r="A461" s="35" t="s">
        <v>262</v>
      </c>
      <c r="B461" s="36" t="str">
        <f t="array" ref="B461">_xlfn.XLOOKUP($A461,TRIM(SUBSTITUTE('worker file'!$A$2:$A$406,_xlfn.UNICHAR(160)," ")),'worker file'!$L$2:$L$406,"Not found")</f>
        <v>US Semi-monthly</v>
      </c>
      <c r="C461" s="36" t="str">
        <f t="array" ref="C461">_xlfn.XLOOKUP($A461,TRIM(SUBSTITUTE('worker file'!$A$2:$A$406,_xlfn.UNICHAR(160)," ")),'worker file'!$D$2:$D$406,"Not found")</f>
        <v>IL</v>
      </c>
      <c r="D461" s="36" t="str">
        <f t="array" ref="D461">_xlfn.XLOOKUP($A461,TRIM(SUBSTITUTE('worker file'!$A$2:$A$406,_xlfn.UNICHAR(160)," ")),'worker file'!$Q$2:$Q$406,"Not found")</f>
        <v>Active</v>
      </c>
      <c r="E461" s="35" t="s">
        <v>626</v>
      </c>
      <c r="F461" t="str">
        <f t="shared" si="54"/>
        <v>Medical (Health) – Employee</v>
      </c>
      <c r="G461" t="str">
        <f t="shared" si="55"/>
        <v>Pre-tax Section 125 (exempt from FIT/SIT/FICA)</v>
      </c>
      <c r="H461" t="str">
        <f t="shared" si="56"/>
        <v>Flat</v>
      </c>
      <c r="I461" s="40" t="str">
        <f>IF($H461="Percent",_xlfn.XLOOKUP($E461,$A$5:$A$8,$F$5:$F$8,""),"")</f>
        <v/>
      </c>
      <c r="J461" s="38">
        <f t="shared" si="57"/>
        <v>200</v>
      </c>
      <c r="K461" t="str">
        <f t="shared" si="58"/>
        <v>Per pay period</v>
      </c>
      <c r="L461" t="str">
        <f t="shared" si="59"/>
        <v>Every pay period (ongoing)</v>
      </c>
      <c r="M461" s="39">
        <f t="array" ref="M461">MAX(_xlfn.XLOOKUP($A461,TRIM(SUBSTITUTE('worker file'!$A$2:$A$406,_xlfn.UNICHAR(160)," ")),'worker file'!$M$2:$M$406,0),_xlfn.XLOOKUP($B461,TRIM('pay group &amp; schedule'!$A$2:$A$6),'pay group &amp; schedule'!$D$2:$D$6,0))</f>
        <v>46311</v>
      </c>
      <c r="N461" s="39" t="str">
        <f t="array" ref="N461">_xlfn.LET(_xlpm.t,_xlfn.XLOOKUP($A461,TRIM(SUBSTITUTE('worker file'!$A$2:$A$406,_xlfn.UNICHAR(160)," ")),'worker file'!$N$2:$N$406,""),IF(N(_xlpm.t)=0,"",_xlpm.t))</f>
        <v/>
      </c>
    </row>
    <row r="462" spans="1:15" x14ac:dyDescent="0.2">
      <c r="A462" s="35" t="s">
        <v>262</v>
      </c>
      <c r="B462" s="36" t="str">
        <f t="array" ref="B462">_xlfn.XLOOKUP($A462,TRIM(SUBSTITUTE('worker file'!$A$2:$A$406,_xlfn.UNICHAR(160)," ")),'worker file'!$L$2:$L$406,"Not found")</f>
        <v>US Semi-monthly</v>
      </c>
      <c r="C462" s="36" t="str">
        <f t="array" ref="C462">_xlfn.XLOOKUP($A462,TRIM(SUBSTITUTE('worker file'!$A$2:$A$406,_xlfn.UNICHAR(160)," ")),'worker file'!$D$2:$D$406,"Not found")</f>
        <v>IL</v>
      </c>
      <c r="D462" s="36" t="str">
        <f t="array" ref="D462">_xlfn.XLOOKUP($A462,TRIM(SUBSTITUTE('worker file'!$A$2:$A$406,_xlfn.UNICHAR(160)," ")),'worker file'!$Q$2:$Q$406,"Not found")</f>
        <v>Active</v>
      </c>
      <c r="E462" s="35" t="s">
        <v>632</v>
      </c>
      <c r="F462" t="str">
        <f t="shared" si="54"/>
        <v>Dental – Employee</v>
      </c>
      <c r="G462" t="str">
        <f t="shared" si="55"/>
        <v>Pre-tax Section 125 (exempt from FIT/SIT/FICA)</v>
      </c>
      <c r="H462" t="str">
        <f t="shared" si="56"/>
        <v>Flat</v>
      </c>
      <c r="I462" s="40" t="str">
        <f>IF($H462="Percent",_xlfn.XLOOKUP($E462,$A$5:$A$8,$F$5:$F$8,""),"")</f>
        <v/>
      </c>
      <c r="J462" s="38">
        <f t="shared" si="57"/>
        <v>44</v>
      </c>
      <c r="K462" t="str">
        <f t="shared" si="58"/>
        <v>Per pay period</v>
      </c>
      <c r="L462" t="str">
        <f t="shared" si="59"/>
        <v>Every pay period (ongoing)</v>
      </c>
      <c r="M462" s="39">
        <f t="array" ref="M462">MAX(_xlfn.XLOOKUP($A462,TRIM(SUBSTITUTE('worker file'!$A$2:$A$406,_xlfn.UNICHAR(160)," ")),'worker file'!$M$2:$M$406,0),_xlfn.XLOOKUP($B462,TRIM('pay group &amp; schedule'!$A$2:$A$6),'pay group &amp; schedule'!$D$2:$D$6,0))</f>
        <v>46311</v>
      </c>
      <c r="N462" s="39" t="str">
        <f t="array" ref="N462">_xlfn.LET(_xlpm.t,_xlfn.XLOOKUP($A462,TRIM(SUBSTITUTE('worker file'!$A$2:$A$406,_xlfn.UNICHAR(160)," ")),'worker file'!$N$2:$N$406,""),IF(N(_xlpm.t)=0,"",_xlpm.t))</f>
        <v/>
      </c>
    </row>
    <row r="463" spans="1:15" x14ac:dyDescent="0.2">
      <c r="A463" s="35" t="s">
        <v>262</v>
      </c>
      <c r="B463" s="36" t="str">
        <f t="array" ref="B463">_xlfn.XLOOKUP($A463,TRIM(SUBSTITUTE('worker file'!$A$2:$A$406,_xlfn.UNICHAR(160)," ")),'worker file'!$L$2:$L$406,"Not found")</f>
        <v>US Semi-monthly</v>
      </c>
      <c r="C463" s="36" t="str">
        <f t="array" ref="C463">_xlfn.XLOOKUP($A463,TRIM(SUBSTITUTE('worker file'!$A$2:$A$406,_xlfn.UNICHAR(160)," ")),'worker file'!$D$2:$D$406,"Not found")</f>
        <v>IL</v>
      </c>
      <c r="D463" s="36" t="str">
        <f t="array" ref="D463">_xlfn.XLOOKUP($A463,TRIM(SUBSTITUTE('worker file'!$A$2:$A$406,_xlfn.UNICHAR(160)," ")),'worker file'!$Q$2:$Q$406,"Not found")</f>
        <v>Active</v>
      </c>
      <c r="E463" s="35" t="s">
        <v>634</v>
      </c>
      <c r="F463" t="str">
        <f t="shared" si="54"/>
        <v>Vision – Employee</v>
      </c>
      <c r="G463" t="str">
        <f t="shared" si="55"/>
        <v>Pre-tax Section 125 (exempt from FIT/SIT/FICA)</v>
      </c>
      <c r="H463" t="str">
        <f t="shared" si="56"/>
        <v>Flat</v>
      </c>
      <c r="I463" s="40" t="str">
        <f>IF($H463="Percent",_xlfn.XLOOKUP($E463,$A$5:$A$8,$F$5:$F$8,""),"")</f>
        <v/>
      </c>
      <c r="J463" s="38">
        <f t="shared" si="57"/>
        <v>30</v>
      </c>
      <c r="K463" t="str">
        <f t="shared" si="58"/>
        <v>Per pay period</v>
      </c>
      <c r="L463" t="str">
        <f t="shared" si="59"/>
        <v>Every pay period (ongoing)</v>
      </c>
      <c r="M463" s="39">
        <f t="array" ref="M463">MAX(_xlfn.XLOOKUP($A463,TRIM(SUBSTITUTE('worker file'!$A$2:$A$406,_xlfn.UNICHAR(160)," ")),'worker file'!$M$2:$M$406,0),_xlfn.XLOOKUP($B463,TRIM('pay group &amp; schedule'!$A$2:$A$6),'pay group &amp; schedule'!$D$2:$D$6,0))</f>
        <v>46311</v>
      </c>
      <c r="N463" s="39" t="str">
        <f t="array" ref="N463">_xlfn.LET(_xlpm.t,_xlfn.XLOOKUP($A463,TRIM(SUBSTITUTE('worker file'!$A$2:$A$406,_xlfn.UNICHAR(160)," ")),'worker file'!$N$2:$N$406,""),IF(N(_xlpm.t)=0,"",_xlpm.t))</f>
        <v/>
      </c>
    </row>
    <row r="464" spans="1:15" x14ac:dyDescent="0.2">
      <c r="A464" s="35" t="s">
        <v>263</v>
      </c>
      <c r="B464" s="36" t="str">
        <f t="array" ref="B464">_xlfn.XLOOKUP($A464,TRIM(SUBSTITUTE('worker file'!$A$2:$A$406,_xlfn.UNICHAR(160)," ")),'worker file'!$L$2:$L$406,"Not found")</f>
        <v>US Biweekly</v>
      </c>
      <c r="C464" s="36" t="str">
        <f t="array" ref="C464">_xlfn.XLOOKUP($A464,TRIM(SUBSTITUTE('worker file'!$A$2:$A$406,_xlfn.UNICHAR(160)," ")),'worker file'!$D$2:$D$406,"Not found")</f>
        <v>CA</v>
      </c>
      <c r="D464" s="36" t="str">
        <f t="array" ref="D464">_xlfn.XLOOKUP($A464,TRIM(SUBSTITUTE('worker file'!$A$2:$A$406,_xlfn.UNICHAR(160)," ")),'worker file'!$Q$2:$Q$406,"Not found")</f>
        <v>Active</v>
      </c>
      <c r="E464" s="35" t="s">
        <v>618</v>
      </c>
      <c r="F464" t="str">
        <f t="shared" si="54"/>
        <v>401(k) Employee Deferral</v>
      </c>
      <c r="G464" t="str">
        <f t="shared" si="55"/>
        <v>Pre-tax (exempt from FIT/SIT; subject to FICA)</v>
      </c>
      <c r="H464" t="str">
        <f t="shared" si="56"/>
        <v>Percent</v>
      </c>
      <c r="I464" s="37">
        <v>7.0000000000000007E-2</v>
      </c>
      <c r="J464" s="38" t="str">
        <f t="shared" si="57"/>
        <v/>
      </c>
      <c r="K464" t="str">
        <f t="shared" si="58"/>
        <v>Gross pay</v>
      </c>
      <c r="L464" t="str">
        <f t="shared" si="59"/>
        <v>Every pay period (ongoing)</v>
      </c>
      <c r="M464" s="39">
        <f t="array" ref="M464">MAX(_xlfn.XLOOKUP($A464,TRIM(SUBSTITUTE('worker file'!$A$2:$A$406,_xlfn.UNICHAR(160)," ")),'worker file'!$M$2:$M$406,0),_xlfn.XLOOKUP($B464,TRIM('pay group &amp; schedule'!$A$2:$A$6),'pay group &amp; schedule'!$D$2:$D$6,0))</f>
        <v>46299</v>
      </c>
      <c r="N464" s="39" t="str">
        <f t="array" ref="N464">_xlfn.LET(_xlpm.t,_xlfn.XLOOKUP($A464,TRIM(SUBSTITUTE('worker file'!$A$2:$A$406,_xlfn.UNICHAR(160)," ")),'worker file'!$N$2:$N$406,""),IF(N(_xlpm.t)=0,"",_xlpm.t))</f>
        <v/>
      </c>
    </row>
    <row r="465" spans="1:14" x14ac:dyDescent="0.2">
      <c r="A465" s="35" t="s">
        <v>263</v>
      </c>
      <c r="B465" s="36" t="str">
        <f t="array" ref="B465">_xlfn.XLOOKUP($A465,TRIM(SUBSTITUTE('worker file'!$A$2:$A$406,_xlfn.UNICHAR(160)," ")),'worker file'!$L$2:$L$406,"Not found")</f>
        <v>US Biweekly</v>
      </c>
      <c r="C465" s="36" t="str">
        <f t="array" ref="C465">_xlfn.XLOOKUP($A465,TRIM(SUBSTITUTE('worker file'!$A$2:$A$406,_xlfn.UNICHAR(160)," ")),'worker file'!$D$2:$D$406,"Not found")</f>
        <v>CA</v>
      </c>
      <c r="D465" s="36" t="str">
        <f t="array" ref="D465">_xlfn.XLOOKUP($A465,TRIM(SUBSTITUTE('worker file'!$A$2:$A$406,_xlfn.UNICHAR(160)," ")),'worker file'!$Q$2:$Q$406,"Not found")</f>
        <v>Active</v>
      </c>
      <c r="E465" s="35" t="s">
        <v>626</v>
      </c>
      <c r="F465" t="str">
        <f t="shared" si="54"/>
        <v>Medical (Health) – Employee</v>
      </c>
      <c r="G465" t="str">
        <f t="shared" si="55"/>
        <v>Pre-tax Section 125 (exempt from FIT/SIT/FICA)</v>
      </c>
      <c r="H465" t="str">
        <f t="shared" si="56"/>
        <v>Flat</v>
      </c>
      <c r="I465" s="40" t="str">
        <f>IF($H465="Percent",_xlfn.XLOOKUP($E465,$A$5:$A$8,$F$5:$F$8,""),"")</f>
        <v/>
      </c>
      <c r="J465" s="38">
        <f t="shared" si="57"/>
        <v>200</v>
      </c>
      <c r="K465" t="str">
        <f t="shared" si="58"/>
        <v>Per pay period</v>
      </c>
      <c r="L465" t="str">
        <f t="shared" si="59"/>
        <v>Every pay period (ongoing)</v>
      </c>
      <c r="M465" s="39">
        <f t="array" ref="M465">MAX(_xlfn.XLOOKUP($A465,TRIM(SUBSTITUTE('worker file'!$A$2:$A$406,_xlfn.UNICHAR(160)," ")),'worker file'!$M$2:$M$406,0),_xlfn.XLOOKUP($B465,TRIM('pay group &amp; schedule'!$A$2:$A$6),'pay group &amp; schedule'!$D$2:$D$6,0))</f>
        <v>46299</v>
      </c>
      <c r="N465" s="39" t="str">
        <f t="array" ref="N465">_xlfn.LET(_xlpm.t,_xlfn.XLOOKUP($A465,TRIM(SUBSTITUTE('worker file'!$A$2:$A$406,_xlfn.UNICHAR(160)," ")),'worker file'!$N$2:$N$406,""),IF(N(_xlpm.t)=0,"",_xlpm.t))</f>
        <v/>
      </c>
    </row>
    <row r="466" spans="1:14" x14ac:dyDescent="0.2">
      <c r="A466" s="35" t="s">
        <v>263</v>
      </c>
      <c r="B466" s="36" t="str">
        <f t="array" ref="B466">_xlfn.XLOOKUP($A466,TRIM(SUBSTITUTE('worker file'!$A$2:$A$406,_xlfn.UNICHAR(160)," ")),'worker file'!$L$2:$L$406,"Not found")</f>
        <v>US Biweekly</v>
      </c>
      <c r="C466" s="36" t="str">
        <f t="array" ref="C466">_xlfn.XLOOKUP($A466,TRIM(SUBSTITUTE('worker file'!$A$2:$A$406,_xlfn.UNICHAR(160)," ")),'worker file'!$D$2:$D$406,"Not found")</f>
        <v>CA</v>
      </c>
      <c r="D466" s="36" t="str">
        <f t="array" ref="D466">_xlfn.XLOOKUP($A466,TRIM(SUBSTITUTE('worker file'!$A$2:$A$406,_xlfn.UNICHAR(160)," ")),'worker file'!$Q$2:$Q$406,"Not found")</f>
        <v>Active</v>
      </c>
      <c r="E466" s="35" t="s">
        <v>632</v>
      </c>
      <c r="F466" t="str">
        <f t="shared" si="54"/>
        <v>Dental – Employee</v>
      </c>
      <c r="G466" t="str">
        <f t="shared" si="55"/>
        <v>Pre-tax Section 125 (exempt from FIT/SIT/FICA)</v>
      </c>
      <c r="H466" t="str">
        <f t="shared" si="56"/>
        <v>Flat</v>
      </c>
      <c r="I466" s="40" t="str">
        <f>IF($H466="Percent",_xlfn.XLOOKUP($E466,$A$5:$A$8,$F$5:$F$8,""),"")</f>
        <v/>
      </c>
      <c r="J466" s="38">
        <f t="shared" si="57"/>
        <v>44</v>
      </c>
      <c r="K466" t="str">
        <f t="shared" si="58"/>
        <v>Per pay period</v>
      </c>
      <c r="L466" t="str">
        <f t="shared" si="59"/>
        <v>Every pay period (ongoing)</v>
      </c>
      <c r="M466" s="39">
        <f t="array" ref="M466">MAX(_xlfn.XLOOKUP($A466,TRIM(SUBSTITUTE('worker file'!$A$2:$A$406,_xlfn.UNICHAR(160)," ")),'worker file'!$M$2:$M$406,0),_xlfn.XLOOKUP($B466,TRIM('pay group &amp; schedule'!$A$2:$A$6),'pay group &amp; schedule'!$D$2:$D$6,0))</f>
        <v>46299</v>
      </c>
      <c r="N466" s="39" t="str">
        <f t="array" ref="N466">_xlfn.LET(_xlpm.t,_xlfn.XLOOKUP($A466,TRIM(SUBSTITUTE('worker file'!$A$2:$A$406,_xlfn.UNICHAR(160)," ")),'worker file'!$N$2:$N$406,""),IF(N(_xlpm.t)=0,"",_xlpm.t))</f>
        <v/>
      </c>
    </row>
    <row r="467" spans="1:14" x14ac:dyDescent="0.2">
      <c r="A467" s="35" t="s">
        <v>263</v>
      </c>
      <c r="B467" s="36" t="str">
        <f t="array" ref="B467">_xlfn.XLOOKUP($A467,TRIM(SUBSTITUTE('worker file'!$A$2:$A$406,_xlfn.UNICHAR(160)," ")),'worker file'!$L$2:$L$406,"Not found")</f>
        <v>US Biweekly</v>
      </c>
      <c r="C467" s="36" t="str">
        <f t="array" ref="C467">_xlfn.XLOOKUP($A467,TRIM(SUBSTITUTE('worker file'!$A$2:$A$406,_xlfn.UNICHAR(160)," ")),'worker file'!$D$2:$D$406,"Not found")</f>
        <v>CA</v>
      </c>
      <c r="D467" s="36" t="str">
        <f t="array" ref="D467">_xlfn.XLOOKUP($A467,TRIM(SUBSTITUTE('worker file'!$A$2:$A$406,_xlfn.UNICHAR(160)," ")),'worker file'!$Q$2:$Q$406,"Not found")</f>
        <v>Active</v>
      </c>
      <c r="E467" s="35" t="s">
        <v>634</v>
      </c>
      <c r="F467" t="str">
        <f t="shared" si="54"/>
        <v>Vision – Employee</v>
      </c>
      <c r="G467" t="str">
        <f t="shared" si="55"/>
        <v>Pre-tax Section 125 (exempt from FIT/SIT/FICA)</v>
      </c>
      <c r="H467" t="str">
        <f t="shared" si="56"/>
        <v>Flat</v>
      </c>
      <c r="I467" s="40" t="str">
        <f>IF($H467="Percent",_xlfn.XLOOKUP($E467,$A$5:$A$8,$F$5:$F$8,""),"")</f>
        <v/>
      </c>
      <c r="J467" s="38">
        <f t="shared" si="57"/>
        <v>30</v>
      </c>
      <c r="K467" t="str">
        <f t="shared" si="58"/>
        <v>Per pay period</v>
      </c>
      <c r="L467" t="str">
        <f t="shared" si="59"/>
        <v>Every pay period (ongoing)</v>
      </c>
      <c r="M467" s="39">
        <f t="array" ref="M467">MAX(_xlfn.XLOOKUP($A467,TRIM(SUBSTITUTE('worker file'!$A$2:$A$406,_xlfn.UNICHAR(160)," ")),'worker file'!$M$2:$M$406,0),_xlfn.XLOOKUP($B467,TRIM('pay group &amp; schedule'!$A$2:$A$6),'pay group &amp; schedule'!$D$2:$D$6,0))</f>
        <v>46299</v>
      </c>
      <c r="N467" s="39" t="str">
        <f t="array" ref="N467">_xlfn.LET(_xlpm.t,_xlfn.XLOOKUP($A467,TRIM(SUBSTITUTE('worker file'!$A$2:$A$406,_xlfn.UNICHAR(160)," ")),'worker file'!$N$2:$N$406,""),IF(N(_xlpm.t)=0,"",_xlpm.t))</f>
        <v/>
      </c>
    </row>
    <row r="468" spans="1:14" x14ac:dyDescent="0.2">
      <c r="A468" s="35" t="s">
        <v>265</v>
      </c>
      <c r="B468" s="36" t="str">
        <f t="array" ref="B468">_xlfn.XLOOKUP($A468,TRIM(SUBSTITUTE('worker file'!$A$2:$A$406,_xlfn.UNICHAR(160)," ")),'worker file'!$L$2:$L$406,"Not found")</f>
        <v>US Semi-monthly</v>
      </c>
      <c r="C468" s="36" t="str">
        <f t="array" ref="C468">_xlfn.XLOOKUP($A468,TRIM(SUBSTITUTE('worker file'!$A$2:$A$406,_xlfn.UNICHAR(160)," ")),'worker file'!$D$2:$D$406,"Not found")</f>
        <v>CO</v>
      </c>
      <c r="D468" s="36" t="str">
        <f t="array" ref="D468">_xlfn.XLOOKUP($A468,TRIM(SUBSTITUTE('worker file'!$A$2:$A$406,_xlfn.UNICHAR(160)," ")),'worker file'!$Q$2:$Q$406,"Not found")</f>
        <v>Active</v>
      </c>
      <c r="E468" s="35" t="s">
        <v>618</v>
      </c>
      <c r="F468" t="str">
        <f t="shared" si="54"/>
        <v>401(k) Employee Deferral</v>
      </c>
      <c r="G468" t="str">
        <f t="shared" si="55"/>
        <v>Pre-tax (exempt from FIT/SIT; subject to FICA)</v>
      </c>
      <c r="H468" t="str">
        <f t="shared" si="56"/>
        <v>Percent</v>
      </c>
      <c r="I468" s="37">
        <v>0.04</v>
      </c>
      <c r="J468" s="38" t="str">
        <f t="shared" si="57"/>
        <v/>
      </c>
      <c r="K468" t="str">
        <f t="shared" si="58"/>
        <v>Gross pay</v>
      </c>
      <c r="L468" t="str">
        <f t="shared" si="59"/>
        <v>Every pay period (ongoing)</v>
      </c>
      <c r="M468" s="39">
        <f t="array" ref="M468">MAX(_xlfn.XLOOKUP($A468,TRIM(SUBSTITUTE('worker file'!$A$2:$A$406,_xlfn.UNICHAR(160)," ")),'worker file'!$M$2:$M$406,0),_xlfn.XLOOKUP($B468,TRIM('pay group &amp; schedule'!$A$2:$A$6),'pay group &amp; schedule'!$D$2:$D$6,0))</f>
        <v>46311</v>
      </c>
      <c r="N468" s="39" t="str">
        <f t="array" ref="N468">_xlfn.LET(_xlpm.t,_xlfn.XLOOKUP($A468,TRIM(SUBSTITUTE('worker file'!$A$2:$A$406,_xlfn.UNICHAR(160)," ")),'worker file'!$N$2:$N$406,""),IF(N(_xlpm.t)=0,"",_xlpm.t))</f>
        <v/>
      </c>
    </row>
    <row r="469" spans="1:14" x14ac:dyDescent="0.2">
      <c r="A469" s="35" t="s">
        <v>265</v>
      </c>
      <c r="B469" s="36" t="str">
        <f t="array" ref="B469">_xlfn.XLOOKUP($A469,TRIM(SUBSTITUTE('worker file'!$A$2:$A$406,_xlfn.UNICHAR(160)," ")),'worker file'!$L$2:$L$406,"Not found")</f>
        <v>US Semi-monthly</v>
      </c>
      <c r="C469" s="36" t="str">
        <f t="array" ref="C469">_xlfn.XLOOKUP($A469,TRIM(SUBSTITUTE('worker file'!$A$2:$A$406,_xlfn.UNICHAR(160)," ")),'worker file'!$D$2:$D$406,"Not found")</f>
        <v>CO</v>
      </c>
      <c r="D469" s="36" t="str">
        <f t="array" ref="D469">_xlfn.XLOOKUP($A469,TRIM(SUBSTITUTE('worker file'!$A$2:$A$406,_xlfn.UNICHAR(160)," ")),'worker file'!$Q$2:$Q$406,"Not found")</f>
        <v>Active</v>
      </c>
      <c r="E469" s="35" t="s">
        <v>626</v>
      </c>
      <c r="F469" t="str">
        <f t="shared" si="54"/>
        <v>Medical (Health) – Employee</v>
      </c>
      <c r="G469" t="str">
        <f t="shared" si="55"/>
        <v>Pre-tax Section 125 (exempt from FIT/SIT/FICA)</v>
      </c>
      <c r="H469" t="str">
        <f t="shared" si="56"/>
        <v>Flat</v>
      </c>
      <c r="I469" s="40" t="str">
        <f>IF($H469="Percent",_xlfn.XLOOKUP($E469,$A$5:$A$8,$F$5:$F$8,""),"")</f>
        <v/>
      </c>
      <c r="J469" s="38">
        <f t="shared" si="57"/>
        <v>200</v>
      </c>
      <c r="K469" t="str">
        <f t="shared" si="58"/>
        <v>Per pay period</v>
      </c>
      <c r="L469" t="str">
        <f t="shared" si="59"/>
        <v>Every pay period (ongoing)</v>
      </c>
      <c r="M469" s="39">
        <f t="array" ref="M469">MAX(_xlfn.XLOOKUP($A469,TRIM(SUBSTITUTE('worker file'!$A$2:$A$406,_xlfn.UNICHAR(160)," ")),'worker file'!$M$2:$M$406,0),_xlfn.XLOOKUP($B469,TRIM('pay group &amp; schedule'!$A$2:$A$6),'pay group &amp; schedule'!$D$2:$D$6,0))</f>
        <v>46311</v>
      </c>
      <c r="N469" s="39" t="str">
        <f t="array" ref="N469">_xlfn.LET(_xlpm.t,_xlfn.XLOOKUP($A469,TRIM(SUBSTITUTE('worker file'!$A$2:$A$406,_xlfn.UNICHAR(160)," ")),'worker file'!$N$2:$N$406,""),IF(N(_xlpm.t)=0,"",_xlpm.t))</f>
        <v/>
      </c>
    </row>
    <row r="470" spans="1:14" x14ac:dyDescent="0.2">
      <c r="A470" s="35" t="s">
        <v>265</v>
      </c>
      <c r="B470" s="36" t="str">
        <f t="array" ref="B470">_xlfn.XLOOKUP($A470,TRIM(SUBSTITUTE('worker file'!$A$2:$A$406,_xlfn.UNICHAR(160)," ")),'worker file'!$L$2:$L$406,"Not found")</f>
        <v>US Semi-monthly</v>
      </c>
      <c r="C470" s="36" t="str">
        <f t="array" ref="C470">_xlfn.XLOOKUP($A470,TRIM(SUBSTITUTE('worker file'!$A$2:$A$406,_xlfn.UNICHAR(160)," ")),'worker file'!$D$2:$D$406,"Not found")</f>
        <v>CO</v>
      </c>
      <c r="D470" s="36" t="str">
        <f t="array" ref="D470">_xlfn.XLOOKUP($A470,TRIM(SUBSTITUTE('worker file'!$A$2:$A$406,_xlfn.UNICHAR(160)," ")),'worker file'!$Q$2:$Q$406,"Not found")</f>
        <v>Active</v>
      </c>
      <c r="E470" s="35" t="s">
        <v>632</v>
      </c>
      <c r="F470" t="str">
        <f t="shared" si="54"/>
        <v>Dental – Employee</v>
      </c>
      <c r="G470" t="str">
        <f t="shared" si="55"/>
        <v>Pre-tax Section 125 (exempt from FIT/SIT/FICA)</v>
      </c>
      <c r="H470" t="str">
        <f t="shared" si="56"/>
        <v>Flat</v>
      </c>
      <c r="I470" s="40" t="str">
        <f>IF($H470="Percent",_xlfn.XLOOKUP($E470,$A$5:$A$8,$F$5:$F$8,""),"")</f>
        <v/>
      </c>
      <c r="J470" s="38">
        <f t="shared" si="57"/>
        <v>44</v>
      </c>
      <c r="K470" t="str">
        <f t="shared" si="58"/>
        <v>Per pay period</v>
      </c>
      <c r="L470" t="str">
        <f t="shared" si="59"/>
        <v>Every pay period (ongoing)</v>
      </c>
      <c r="M470" s="39">
        <f t="array" ref="M470">MAX(_xlfn.XLOOKUP($A470,TRIM(SUBSTITUTE('worker file'!$A$2:$A$406,_xlfn.UNICHAR(160)," ")),'worker file'!$M$2:$M$406,0),_xlfn.XLOOKUP($B470,TRIM('pay group &amp; schedule'!$A$2:$A$6),'pay group &amp; schedule'!$D$2:$D$6,0))</f>
        <v>46311</v>
      </c>
      <c r="N470" s="39" t="str">
        <f t="array" ref="N470">_xlfn.LET(_xlpm.t,_xlfn.XLOOKUP($A470,TRIM(SUBSTITUTE('worker file'!$A$2:$A$406,_xlfn.UNICHAR(160)," ")),'worker file'!$N$2:$N$406,""),IF(N(_xlpm.t)=0,"",_xlpm.t))</f>
        <v/>
      </c>
    </row>
    <row r="471" spans="1:14" x14ac:dyDescent="0.2">
      <c r="A471" s="35" t="s">
        <v>265</v>
      </c>
      <c r="B471" s="36" t="str">
        <f t="array" ref="B471">_xlfn.XLOOKUP($A471,TRIM(SUBSTITUTE('worker file'!$A$2:$A$406,_xlfn.UNICHAR(160)," ")),'worker file'!$L$2:$L$406,"Not found")</f>
        <v>US Semi-monthly</v>
      </c>
      <c r="C471" s="36" t="str">
        <f t="array" ref="C471">_xlfn.XLOOKUP($A471,TRIM(SUBSTITUTE('worker file'!$A$2:$A$406,_xlfn.UNICHAR(160)," ")),'worker file'!$D$2:$D$406,"Not found")</f>
        <v>CO</v>
      </c>
      <c r="D471" s="36" t="str">
        <f t="array" ref="D471">_xlfn.XLOOKUP($A471,TRIM(SUBSTITUTE('worker file'!$A$2:$A$406,_xlfn.UNICHAR(160)," ")),'worker file'!$Q$2:$Q$406,"Not found")</f>
        <v>Active</v>
      </c>
      <c r="E471" s="35" t="s">
        <v>634</v>
      </c>
      <c r="F471" t="str">
        <f t="shared" si="54"/>
        <v>Vision – Employee</v>
      </c>
      <c r="G471" t="str">
        <f t="shared" si="55"/>
        <v>Pre-tax Section 125 (exempt from FIT/SIT/FICA)</v>
      </c>
      <c r="H471" t="str">
        <f t="shared" si="56"/>
        <v>Flat</v>
      </c>
      <c r="I471" s="40" t="str">
        <f>IF($H471="Percent",_xlfn.XLOOKUP($E471,$A$5:$A$8,$F$5:$F$8,""),"")</f>
        <v/>
      </c>
      <c r="J471" s="38">
        <f t="shared" si="57"/>
        <v>30</v>
      </c>
      <c r="K471" t="str">
        <f t="shared" si="58"/>
        <v>Per pay period</v>
      </c>
      <c r="L471" t="str">
        <f t="shared" si="59"/>
        <v>Every pay period (ongoing)</v>
      </c>
      <c r="M471" s="39">
        <f t="array" ref="M471">MAX(_xlfn.XLOOKUP($A471,TRIM(SUBSTITUTE('worker file'!$A$2:$A$406,_xlfn.UNICHAR(160)," ")),'worker file'!$M$2:$M$406,0),_xlfn.XLOOKUP($B471,TRIM('pay group &amp; schedule'!$A$2:$A$6),'pay group &amp; schedule'!$D$2:$D$6,0))</f>
        <v>46311</v>
      </c>
      <c r="N471" s="39" t="str">
        <f t="array" ref="N471">_xlfn.LET(_xlpm.t,_xlfn.XLOOKUP($A471,TRIM(SUBSTITUTE('worker file'!$A$2:$A$406,_xlfn.UNICHAR(160)," ")),'worker file'!$N$2:$N$406,""),IF(N(_xlpm.t)=0,"",_xlpm.t))</f>
        <v/>
      </c>
    </row>
    <row r="472" spans="1:14" x14ac:dyDescent="0.2">
      <c r="A472" s="35" t="s">
        <v>267</v>
      </c>
      <c r="B472" s="36" t="str">
        <f t="array" ref="B472">_xlfn.XLOOKUP($A472,TRIM(SUBSTITUTE('worker file'!$A$2:$A$406,_xlfn.UNICHAR(160)," ")),'worker file'!$L$2:$L$406,"Not found")</f>
        <v>US Semi-monthly</v>
      </c>
      <c r="C472" s="36" t="str">
        <f t="array" ref="C472">_xlfn.XLOOKUP($A472,TRIM(SUBSTITUTE('worker file'!$A$2:$A$406,_xlfn.UNICHAR(160)," ")),'worker file'!$D$2:$D$406,"Not found")</f>
        <v>WA</v>
      </c>
      <c r="D472" s="36" t="str">
        <f t="array" ref="D472">_xlfn.XLOOKUP($A472,TRIM(SUBSTITUTE('worker file'!$A$2:$A$406,_xlfn.UNICHAR(160)," ")),'worker file'!$Q$2:$Q$406,"Not found")</f>
        <v>Active</v>
      </c>
      <c r="E472" s="35" t="s">
        <v>618</v>
      </c>
      <c r="F472" t="str">
        <f t="shared" si="54"/>
        <v>401(k) Employee Deferral</v>
      </c>
      <c r="G472" t="str">
        <f t="shared" si="55"/>
        <v>Pre-tax (exempt from FIT/SIT; subject to FICA)</v>
      </c>
      <c r="H472" t="str">
        <f t="shared" si="56"/>
        <v>Percent</v>
      </c>
      <c r="I472" s="37">
        <v>0.01</v>
      </c>
      <c r="J472" s="38" t="str">
        <f t="shared" si="57"/>
        <v/>
      </c>
      <c r="K472" t="str">
        <f t="shared" si="58"/>
        <v>Gross pay</v>
      </c>
      <c r="L472" t="str">
        <f t="shared" si="59"/>
        <v>Every pay period (ongoing)</v>
      </c>
      <c r="M472" s="39">
        <f t="array" ref="M472">MAX(_xlfn.XLOOKUP($A472,TRIM(SUBSTITUTE('worker file'!$A$2:$A$406,_xlfn.UNICHAR(160)," ")),'worker file'!$M$2:$M$406,0),_xlfn.XLOOKUP($B472,TRIM('pay group &amp; schedule'!$A$2:$A$6),'pay group &amp; schedule'!$D$2:$D$6,0))</f>
        <v>46311</v>
      </c>
      <c r="N472" s="39" t="str">
        <f t="array" ref="N472">_xlfn.LET(_xlpm.t,_xlfn.XLOOKUP($A472,TRIM(SUBSTITUTE('worker file'!$A$2:$A$406,_xlfn.UNICHAR(160)," ")),'worker file'!$N$2:$N$406,""),IF(N(_xlpm.t)=0,"",_xlpm.t))</f>
        <v/>
      </c>
    </row>
    <row r="473" spans="1:14" x14ac:dyDescent="0.2">
      <c r="A473" s="35" t="s">
        <v>267</v>
      </c>
      <c r="B473" s="36" t="str">
        <f t="array" ref="B473">_xlfn.XLOOKUP($A473,TRIM(SUBSTITUTE('worker file'!$A$2:$A$406,_xlfn.UNICHAR(160)," ")),'worker file'!$L$2:$L$406,"Not found")</f>
        <v>US Semi-monthly</v>
      </c>
      <c r="C473" s="36" t="str">
        <f t="array" ref="C473">_xlfn.XLOOKUP($A473,TRIM(SUBSTITUTE('worker file'!$A$2:$A$406,_xlfn.UNICHAR(160)," ")),'worker file'!$D$2:$D$406,"Not found")</f>
        <v>WA</v>
      </c>
      <c r="D473" s="36" t="str">
        <f t="array" ref="D473">_xlfn.XLOOKUP($A473,TRIM(SUBSTITUTE('worker file'!$A$2:$A$406,_xlfn.UNICHAR(160)," ")),'worker file'!$Q$2:$Q$406,"Not found")</f>
        <v>Active</v>
      </c>
      <c r="E473" s="35" t="s">
        <v>626</v>
      </c>
      <c r="F473" t="str">
        <f t="shared" si="54"/>
        <v>Medical (Health) – Employee</v>
      </c>
      <c r="G473" t="str">
        <f t="shared" si="55"/>
        <v>Pre-tax Section 125 (exempt from FIT/SIT/FICA)</v>
      </c>
      <c r="H473" t="str">
        <f t="shared" si="56"/>
        <v>Flat</v>
      </c>
      <c r="I473" s="40" t="str">
        <f>IF($H473="Percent",_xlfn.XLOOKUP($E473,$A$5:$A$8,$F$5:$F$8,""),"")</f>
        <v/>
      </c>
      <c r="J473" s="38">
        <f t="shared" si="57"/>
        <v>200</v>
      </c>
      <c r="K473" t="str">
        <f t="shared" si="58"/>
        <v>Per pay period</v>
      </c>
      <c r="L473" t="str">
        <f t="shared" si="59"/>
        <v>Every pay period (ongoing)</v>
      </c>
      <c r="M473" s="39">
        <f t="array" ref="M473">MAX(_xlfn.XLOOKUP($A473,TRIM(SUBSTITUTE('worker file'!$A$2:$A$406,_xlfn.UNICHAR(160)," ")),'worker file'!$M$2:$M$406,0),_xlfn.XLOOKUP($B473,TRIM('pay group &amp; schedule'!$A$2:$A$6),'pay group &amp; schedule'!$D$2:$D$6,0))</f>
        <v>46311</v>
      </c>
      <c r="N473" s="39" t="str">
        <f t="array" ref="N473">_xlfn.LET(_xlpm.t,_xlfn.XLOOKUP($A473,TRIM(SUBSTITUTE('worker file'!$A$2:$A$406,_xlfn.UNICHAR(160)," ")),'worker file'!$N$2:$N$406,""),IF(N(_xlpm.t)=0,"",_xlpm.t))</f>
        <v/>
      </c>
    </row>
    <row r="474" spans="1:14" x14ac:dyDescent="0.2">
      <c r="A474" s="35" t="s">
        <v>267</v>
      </c>
      <c r="B474" s="36" t="str">
        <f t="array" ref="B474">_xlfn.XLOOKUP($A474,TRIM(SUBSTITUTE('worker file'!$A$2:$A$406,_xlfn.UNICHAR(160)," ")),'worker file'!$L$2:$L$406,"Not found")</f>
        <v>US Semi-monthly</v>
      </c>
      <c r="C474" s="36" t="str">
        <f t="array" ref="C474">_xlfn.XLOOKUP($A474,TRIM(SUBSTITUTE('worker file'!$A$2:$A$406,_xlfn.UNICHAR(160)," ")),'worker file'!$D$2:$D$406,"Not found")</f>
        <v>WA</v>
      </c>
      <c r="D474" s="36" t="str">
        <f t="array" ref="D474">_xlfn.XLOOKUP($A474,TRIM(SUBSTITUTE('worker file'!$A$2:$A$406,_xlfn.UNICHAR(160)," ")),'worker file'!$Q$2:$Q$406,"Not found")</f>
        <v>Active</v>
      </c>
      <c r="E474" s="35" t="s">
        <v>632</v>
      </c>
      <c r="F474" t="str">
        <f t="shared" si="54"/>
        <v>Dental – Employee</v>
      </c>
      <c r="G474" t="str">
        <f t="shared" si="55"/>
        <v>Pre-tax Section 125 (exempt from FIT/SIT/FICA)</v>
      </c>
      <c r="H474" t="str">
        <f t="shared" si="56"/>
        <v>Flat</v>
      </c>
      <c r="I474" s="40" t="str">
        <f>IF($H474="Percent",_xlfn.XLOOKUP($E474,$A$5:$A$8,$F$5:$F$8,""),"")</f>
        <v/>
      </c>
      <c r="J474" s="38">
        <f t="shared" si="57"/>
        <v>44</v>
      </c>
      <c r="K474" t="str">
        <f t="shared" si="58"/>
        <v>Per pay period</v>
      </c>
      <c r="L474" t="str">
        <f t="shared" si="59"/>
        <v>Every pay period (ongoing)</v>
      </c>
      <c r="M474" s="39">
        <f t="array" ref="M474">MAX(_xlfn.XLOOKUP($A474,TRIM(SUBSTITUTE('worker file'!$A$2:$A$406,_xlfn.UNICHAR(160)," ")),'worker file'!$M$2:$M$406,0),_xlfn.XLOOKUP($B474,TRIM('pay group &amp; schedule'!$A$2:$A$6),'pay group &amp; schedule'!$D$2:$D$6,0))</f>
        <v>46311</v>
      </c>
      <c r="N474" s="39" t="str">
        <f t="array" ref="N474">_xlfn.LET(_xlpm.t,_xlfn.XLOOKUP($A474,TRIM(SUBSTITUTE('worker file'!$A$2:$A$406,_xlfn.UNICHAR(160)," ")),'worker file'!$N$2:$N$406,""),IF(N(_xlpm.t)=0,"",_xlpm.t))</f>
        <v/>
      </c>
    </row>
    <row r="475" spans="1:14" x14ac:dyDescent="0.2">
      <c r="A475" s="35" t="s">
        <v>267</v>
      </c>
      <c r="B475" s="36" t="str">
        <f t="array" ref="B475">_xlfn.XLOOKUP($A475,TRIM(SUBSTITUTE('worker file'!$A$2:$A$406,_xlfn.UNICHAR(160)," ")),'worker file'!$L$2:$L$406,"Not found")</f>
        <v>US Semi-monthly</v>
      </c>
      <c r="C475" s="36" t="str">
        <f t="array" ref="C475">_xlfn.XLOOKUP($A475,TRIM(SUBSTITUTE('worker file'!$A$2:$A$406,_xlfn.UNICHAR(160)," ")),'worker file'!$D$2:$D$406,"Not found")</f>
        <v>WA</v>
      </c>
      <c r="D475" s="36" t="str">
        <f t="array" ref="D475">_xlfn.XLOOKUP($A475,TRIM(SUBSTITUTE('worker file'!$A$2:$A$406,_xlfn.UNICHAR(160)," ")),'worker file'!$Q$2:$Q$406,"Not found")</f>
        <v>Active</v>
      </c>
      <c r="E475" s="35" t="s">
        <v>634</v>
      </c>
      <c r="F475" t="str">
        <f t="shared" si="54"/>
        <v>Vision – Employee</v>
      </c>
      <c r="G475" t="str">
        <f t="shared" si="55"/>
        <v>Pre-tax Section 125 (exempt from FIT/SIT/FICA)</v>
      </c>
      <c r="H475" t="str">
        <f t="shared" si="56"/>
        <v>Flat</v>
      </c>
      <c r="I475" s="40" t="str">
        <f>IF($H475="Percent",_xlfn.XLOOKUP($E475,$A$5:$A$8,$F$5:$F$8,""),"")</f>
        <v/>
      </c>
      <c r="J475" s="38">
        <f t="shared" si="57"/>
        <v>30</v>
      </c>
      <c r="K475" t="str">
        <f t="shared" si="58"/>
        <v>Per pay period</v>
      </c>
      <c r="L475" t="str">
        <f t="shared" si="59"/>
        <v>Every pay period (ongoing)</v>
      </c>
      <c r="M475" s="39">
        <f t="array" ref="M475">MAX(_xlfn.XLOOKUP($A475,TRIM(SUBSTITUTE('worker file'!$A$2:$A$406,_xlfn.UNICHAR(160)," ")),'worker file'!$M$2:$M$406,0),_xlfn.XLOOKUP($B475,TRIM('pay group &amp; schedule'!$A$2:$A$6),'pay group &amp; schedule'!$D$2:$D$6,0))</f>
        <v>46311</v>
      </c>
      <c r="N475" s="39" t="str">
        <f t="array" ref="N475">_xlfn.LET(_xlpm.t,_xlfn.XLOOKUP($A475,TRIM(SUBSTITUTE('worker file'!$A$2:$A$406,_xlfn.UNICHAR(160)," ")),'worker file'!$N$2:$N$406,""),IF(N(_xlpm.t)=0,"",_xlpm.t))</f>
        <v/>
      </c>
    </row>
    <row r="476" spans="1:14" x14ac:dyDescent="0.2">
      <c r="A476" s="35" t="s">
        <v>268</v>
      </c>
      <c r="B476" s="36" t="str">
        <f t="array" ref="B476">_xlfn.XLOOKUP($A476,TRIM(SUBSTITUTE('worker file'!$A$2:$A$406,_xlfn.UNICHAR(160)," ")),'worker file'!$L$2:$L$406,"Not found")</f>
        <v>US Semi-monthly</v>
      </c>
      <c r="C476" s="36" t="str">
        <f t="array" ref="C476">_xlfn.XLOOKUP($A476,TRIM(SUBSTITUTE('worker file'!$A$2:$A$406,_xlfn.UNICHAR(160)," ")),'worker file'!$D$2:$D$406,"Not found")</f>
        <v>CA</v>
      </c>
      <c r="D476" s="36" t="str">
        <f t="array" ref="D476">_xlfn.XLOOKUP($A476,TRIM(SUBSTITUTE('worker file'!$A$2:$A$406,_xlfn.UNICHAR(160)," ")),'worker file'!$Q$2:$Q$406,"Not found")</f>
        <v>Active</v>
      </c>
      <c r="E476" s="35" t="s">
        <v>618</v>
      </c>
      <c r="F476" t="str">
        <f t="shared" si="54"/>
        <v>401(k) Employee Deferral</v>
      </c>
      <c r="G476" t="str">
        <f t="shared" si="55"/>
        <v>Pre-tax (exempt from FIT/SIT; subject to FICA)</v>
      </c>
      <c r="H476" t="str">
        <f t="shared" si="56"/>
        <v>Percent</v>
      </c>
      <c r="I476" s="37">
        <v>0.06</v>
      </c>
      <c r="J476" s="38" t="str">
        <f t="shared" si="57"/>
        <v/>
      </c>
      <c r="K476" t="str">
        <f t="shared" si="58"/>
        <v>Gross pay</v>
      </c>
      <c r="L476" t="str">
        <f t="shared" si="59"/>
        <v>Every pay period (ongoing)</v>
      </c>
      <c r="M476" s="39">
        <f t="array" ref="M476">MAX(_xlfn.XLOOKUP($A476,TRIM(SUBSTITUTE('worker file'!$A$2:$A$406,_xlfn.UNICHAR(160)," ")),'worker file'!$M$2:$M$406,0),_xlfn.XLOOKUP($B476,TRIM('pay group &amp; schedule'!$A$2:$A$6),'pay group &amp; schedule'!$D$2:$D$6,0))</f>
        <v>46311</v>
      </c>
      <c r="N476" s="39" t="str">
        <f t="array" ref="N476">_xlfn.LET(_xlpm.t,_xlfn.XLOOKUP($A476,TRIM(SUBSTITUTE('worker file'!$A$2:$A$406,_xlfn.UNICHAR(160)," ")),'worker file'!$N$2:$N$406,""),IF(N(_xlpm.t)=0,"",_xlpm.t))</f>
        <v/>
      </c>
    </row>
    <row r="477" spans="1:14" x14ac:dyDescent="0.2">
      <c r="A477" s="35" t="s">
        <v>268</v>
      </c>
      <c r="B477" s="36" t="str">
        <f t="array" ref="B477">_xlfn.XLOOKUP($A477,TRIM(SUBSTITUTE('worker file'!$A$2:$A$406,_xlfn.UNICHAR(160)," ")),'worker file'!$L$2:$L$406,"Not found")</f>
        <v>US Semi-monthly</v>
      </c>
      <c r="C477" s="36" t="str">
        <f t="array" ref="C477">_xlfn.XLOOKUP($A477,TRIM(SUBSTITUTE('worker file'!$A$2:$A$406,_xlfn.UNICHAR(160)," ")),'worker file'!$D$2:$D$406,"Not found")</f>
        <v>CA</v>
      </c>
      <c r="D477" s="36" t="str">
        <f t="array" ref="D477">_xlfn.XLOOKUP($A477,TRIM(SUBSTITUTE('worker file'!$A$2:$A$406,_xlfn.UNICHAR(160)," ")),'worker file'!$Q$2:$Q$406,"Not found")</f>
        <v>Active</v>
      </c>
      <c r="E477" s="35" t="s">
        <v>626</v>
      </c>
      <c r="F477" t="str">
        <f t="shared" si="54"/>
        <v>Medical (Health) – Employee</v>
      </c>
      <c r="G477" t="str">
        <f t="shared" si="55"/>
        <v>Pre-tax Section 125 (exempt from FIT/SIT/FICA)</v>
      </c>
      <c r="H477" t="str">
        <f t="shared" si="56"/>
        <v>Flat</v>
      </c>
      <c r="I477" s="40" t="str">
        <f>IF($H477="Percent",_xlfn.XLOOKUP($E477,$A$5:$A$8,$F$5:$F$8,""),"")</f>
        <v/>
      </c>
      <c r="J477" s="38">
        <f t="shared" si="57"/>
        <v>200</v>
      </c>
      <c r="K477" t="str">
        <f t="shared" si="58"/>
        <v>Per pay period</v>
      </c>
      <c r="L477" t="str">
        <f t="shared" si="59"/>
        <v>Every pay period (ongoing)</v>
      </c>
      <c r="M477" s="39">
        <f t="array" ref="M477">MAX(_xlfn.XLOOKUP($A477,TRIM(SUBSTITUTE('worker file'!$A$2:$A$406,_xlfn.UNICHAR(160)," ")),'worker file'!$M$2:$M$406,0),_xlfn.XLOOKUP($B477,TRIM('pay group &amp; schedule'!$A$2:$A$6),'pay group &amp; schedule'!$D$2:$D$6,0))</f>
        <v>46311</v>
      </c>
      <c r="N477" s="39" t="str">
        <f t="array" ref="N477">_xlfn.LET(_xlpm.t,_xlfn.XLOOKUP($A477,TRIM(SUBSTITUTE('worker file'!$A$2:$A$406,_xlfn.UNICHAR(160)," ")),'worker file'!$N$2:$N$406,""),IF(N(_xlpm.t)=0,"",_xlpm.t))</f>
        <v/>
      </c>
    </row>
    <row r="478" spans="1:14" x14ac:dyDescent="0.2">
      <c r="A478" s="35" t="s">
        <v>268</v>
      </c>
      <c r="B478" s="36" t="str">
        <f t="array" ref="B478">_xlfn.XLOOKUP($A478,TRIM(SUBSTITUTE('worker file'!$A$2:$A$406,_xlfn.UNICHAR(160)," ")),'worker file'!$L$2:$L$406,"Not found")</f>
        <v>US Semi-monthly</v>
      </c>
      <c r="C478" s="36" t="str">
        <f t="array" ref="C478">_xlfn.XLOOKUP($A478,TRIM(SUBSTITUTE('worker file'!$A$2:$A$406,_xlfn.UNICHAR(160)," ")),'worker file'!$D$2:$D$406,"Not found")</f>
        <v>CA</v>
      </c>
      <c r="D478" s="36" t="str">
        <f t="array" ref="D478">_xlfn.XLOOKUP($A478,TRIM(SUBSTITUTE('worker file'!$A$2:$A$406,_xlfn.UNICHAR(160)," ")),'worker file'!$Q$2:$Q$406,"Not found")</f>
        <v>Active</v>
      </c>
      <c r="E478" s="35" t="s">
        <v>632</v>
      </c>
      <c r="F478" t="str">
        <f t="shared" si="54"/>
        <v>Dental – Employee</v>
      </c>
      <c r="G478" t="str">
        <f t="shared" si="55"/>
        <v>Pre-tax Section 125 (exempt from FIT/SIT/FICA)</v>
      </c>
      <c r="H478" t="str">
        <f t="shared" si="56"/>
        <v>Flat</v>
      </c>
      <c r="I478" s="40" t="str">
        <f>IF($H478="Percent",_xlfn.XLOOKUP($E478,$A$5:$A$8,$F$5:$F$8,""),"")</f>
        <v/>
      </c>
      <c r="J478" s="38">
        <f t="shared" si="57"/>
        <v>44</v>
      </c>
      <c r="K478" t="str">
        <f t="shared" si="58"/>
        <v>Per pay period</v>
      </c>
      <c r="L478" t="str">
        <f t="shared" si="59"/>
        <v>Every pay period (ongoing)</v>
      </c>
      <c r="M478" s="39">
        <f t="array" ref="M478">MAX(_xlfn.XLOOKUP($A478,TRIM(SUBSTITUTE('worker file'!$A$2:$A$406,_xlfn.UNICHAR(160)," ")),'worker file'!$M$2:$M$406,0),_xlfn.XLOOKUP($B478,TRIM('pay group &amp; schedule'!$A$2:$A$6),'pay group &amp; schedule'!$D$2:$D$6,0))</f>
        <v>46311</v>
      </c>
      <c r="N478" s="39" t="str">
        <f t="array" ref="N478">_xlfn.LET(_xlpm.t,_xlfn.XLOOKUP($A478,TRIM(SUBSTITUTE('worker file'!$A$2:$A$406,_xlfn.UNICHAR(160)," ")),'worker file'!$N$2:$N$406,""),IF(N(_xlpm.t)=0,"",_xlpm.t))</f>
        <v/>
      </c>
    </row>
    <row r="479" spans="1:14" x14ac:dyDescent="0.2">
      <c r="A479" s="35" t="s">
        <v>268</v>
      </c>
      <c r="B479" s="36" t="str">
        <f t="array" ref="B479">_xlfn.XLOOKUP($A479,TRIM(SUBSTITUTE('worker file'!$A$2:$A$406,_xlfn.UNICHAR(160)," ")),'worker file'!$L$2:$L$406,"Not found")</f>
        <v>US Semi-monthly</v>
      </c>
      <c r="C479" s="36" t="str">
        <f t="array" ref="C479">_xlfn.XLOOKUP($A479,TRIM(SUBSTITUTE('worker file'!$A$2:$A$406,_xlfn.UNICHAR(160)," ")),'worker file'!$D$2:$D$406,"Not found")</f>
        <v>CA</v>
      </c>
      <c r="D479" s="36" t="str">
        <f t="array" ref="D479">_xlfn.XLOOKUP($A479,TRIM(SUBSTITUTE('worker file'!$A$2:$A$406,_xlfn.UNICHAR(160)," ")),'worker file'!$Q$2:$Q$406,"Not found")</f>
        <v>Active</v>
      </c>
      <c r="E479" s="35" t="s">
        <v>634</v>
      </c>
      <c r="F479" t="str">
        <f t="shared" si="54"/>
        <v>Vision – Employee</v>
      </c>
      <c r="G479" t="str">
        <f t="shared" si="55"/>
        <v>Pre-tax Section 125 (exempt from FIT/SIT/FICA)</v>
      </c>
      <c r="H479" t="str">
        <f t="shared" si="56"/>
        <v>Flat</v>
      </c>
      <c r="I479" s="40" t="str">
        <f>IF($H479="Percent",_xlfn.XLOOKUP($E479,$A$5:$A$8,$F$5:$F$8,""),"")</f>
        <v/>
      </c>
      <c r="J479" s="38">
        <f t="shared" si="57"/>
        <v>30</v>
      </c>
      <c r="K479" t="str">
        <f t="shared" si="58"/>
        <v>Per pay period</v>
      </c>
      <c r="L479" t="str">
        <f t="shared" si="59"/>
        <v>Every pay period (ongoing)</v>
      </c>
      <c r="M479" s="39">
        <f t="array" ref="M479">MAX(_xlfn.XLOOKUP($A479,TRIM(SUBSTITUTE('worker file'!$A$2:$A$406,_xlfn.UNICHAR(160)," ")),'worker file'!$M$2:$M$406,0),_xlfn.XLOOKUP($B479,TRIM('pay group &amp; schedule'!$A$2:$A$6),'pay group &amp; schedule'!$D$2:$D$6,0))</f>
        <v>46311</v>
      </c>
      <c r="N479" s="39" t="str">
        <f t="array" ref="N479">_xlfn.LET(_xlpm.t,_xlfn.XLOOKUP($A479,TRIM(SUBSTITUTE('worker file'!$A$2:$A$406,_xlfn.UNICHAR(160)," ")),'worker file'!$N$2:$N$406,""),IF(N(_xlpm.t)=0,"",_xlpm.t))</f>
        <v/>
      </c>
    </row>
    <row r="480" spans="1:14" x14ac:dyDescent="0.2">
      <c r="A480" s="35" t="s">
        <v>269</v>
      </c>
      <c r="B480" s="36" t="str">
        <f t="array" ref="B480">_xlfn.XLOOKUP($A480,TRIM(SUBSTITUTE('worker file'!$A$2:$A$406,_xlfn.UNICHAR(160)," ")),'worker file'!$L$2:$L$406,"Not found")</f>
        <v>US Semi-monthly</v>
      </c>
      <c r="C480" s="36" t="str">
        <f t="array" ref="C480">_xlfn.XLOOKUP($A480,TRIM(SUBSTITUTE('worker file'!$A$2:$A$406,_xlfn.UNICHAR(160)," ")),'worker file'!$D$2:$D$406,"Not found")</f>
        <v>WA</v>
      </c>
      <c r="D480" s="36" t="str">
        <f t="array" ref="D480">_xlfn.XLOOKUP($A480,TRIM(SUBSTITUTE('worker file'!$A$2:$A$406,_xlfn.UNICHAR(160)," ")),'worker file'!$Q$2:$Q$406,"Not found")</f>
        <v>Active</v>
      </c>
      <c r="E480" s="35" t="s">
        <v>618</v>
      </c>
      <c r="F480" t="str">
        <f t="shared" si="54"/>
        <v>401(k) Employee Deferral</v>
      </c>
      <c r="G480" t="str">
        <f t="shared" si="55"/>
        <v>Pre-tax (exempt from FIT/SIT; subject to FICA)</v>
      </c>
      <c r="H480" t="str">
        <f t="shared" si="56"/>
        <v>Percent</v>
      </c>
      <c r="I480" s="37">
        <v>0.03</v>
      </c>
      <c r="J480" s="38" t="str">
        <f t="shared" si="57"/>
        <v/>
      </c>
      <c r="K480" t="str">
        <f t="shared" si="58"/>
        <v>Gross pay</v>
      </c>
      <c r="L480" t="str">
        <f t="shared" si="59"/>
        <v>Every pay period (ongoing)</v>
      </c>
      <c r="M480" s="39">
        <f t="array" ref="M480">MAX(_xlfn.XLOOKUP($A480,TRIM(SUBSTITUTE('worker file'!$A$2:$A$406,_xlfn.UNICHAR(160)," ")),'worker file'!$M$2:$M$406,0),_xlfn.XLOOKUP($B480,TRIM('pay group &amp; schedule'!$A$2:$A$6),'pay group &amp; schedule'!$D$2:$D$6,0))</f>
        <v>46311</v>
      </c>
      <c r="N480" s="39" t="str">
        <f t="array" ref="N480">_xlfn.LET(_xlpm.t,_xlfn.XLOOKUP($A480,TRIM(SUBSTITUTE('worker file'!$A$2:$A$406,_xlfn.UNICHAR(160)," ")),'worker file'!$N$2:$N$406,""),IF(N(_xlpm.t)=0,"",_xlpm.t))</f>
        <v/>
      </c>
    </row>
    <row r="481" spans="1:15" x14ac:dyDescent="0.2">
      <c r="A481" s="35" t="s">
        <v>269</v>
      </c>
      <c r="B481" s="36" t="str">
        <f t="array" ref="B481">_xlfn.XLOOKUP($A481,TRIM(SUBSTITUTE('worker file'!$A$2:$A$406,_xlfn.UNICHAR(160)," ")),'worker file'!$L$2:$L$406,"Not found")</f>
        <v>US Semi-monthly</v>
      </c>
      <c r="C481" s="36" t="str">
        <f t="array" ref="C481">_xlfn.XLOOKUP($A481,TRIM(SUBSTITUTE('worker file'!$A$2:$A$406,_xlfn.UNICHAR(160)," ")),'worker file'!$D$2:$D$406,"Not found")</f>
        <v>WA</v>
      </c>
      <c r="D481" s="36" t="str">
        <f t="array" ref="D481">_xlfn.XLOOKUP($A481,TRIM(SUBSTITUTE('worker file'!$A$2:$A$406,_xlfn.UNICHAR(160)," ")),'worker file'!$Q$2:$Q$406,"Not found")</f>
        <v>Active</v>
      </c>
      <c r="E481" s="35" t="s">
        <v>626</v>
      </c>
      <c r="F481" t="str">
        <f t="shared" si="54"/>
        <v>Medical (Health) – Employee</v>
      </c>
      <c r="G481" t="str">
        <f t="shared" si="55"/>
        <v>Pre-tax Section 125 (exempt from FIT/SIT/FICA)</v>
      </c>
      <c r="H481" t="str">
        <f t="shared" si="56"/>
        <v>Flat</v>
      </c>
      <c r="I481" s="40" t="str">
        <f t="shared" ref="I481:I486" si="60">IF($H481="Percent",_xlfn.XLOOKUP($E481,$A$5:$A$8,$F$5:$F$8,""),"")</f>
        <v/>
      </c>
      <c r="J481" s="38">
        <f t="shared" si="57"/>
        <v>200</v>
      </c>
      <c r="K481" t="str">
        <f t="shared" si="58"/>
        <v>Per pay period</v>
      </c>
      <c r="L481" t="str">
        <f t="shared" si="59"/>
        <v>Every pay period (ongoing)</v>
      </c>
      <c r="M481" s="39">
        <f t="array" ref="M481">MAX(_xlfn.XLOOKUP($A481,TRIM(SUBSTITUTE('worker file'!$A$2:$A$406,_xlfn.UNICHAR(160)," ")),'worker file'!$M$2:$M$406,0),_xlfn.XLOOKUP($B481,TRIM('pay group &amp; schedule'!$A$2:$A$6),'pay group &amp; schedule'!$D$2:$D$6,0))</f>
        <v>46311</v>
      </c>
      <c r="N481" s="39" t="str">
        <f t="array" ref="N481">_xlfn.LET(_xlpm.t,_xlfn.XLOOKUP($A481,TRIM(SUBSTITUTE('worker file'!$A$2:$A$406,_xlfn.UNICHAR(160)," ")),'worker file'!$N$2:$N$406,""),IF(N(_xlpm.t)=0,"",_xlpm.t))</f>
        <v/>
      </c>
    </row>
    <row r="482" spans="1:15" x14ac:dyDescent="0.2">
      <c r="A482" s="35" t="s">
        <v>269</v>
      </c>
      <c r="B482" s="36" t="str">
        <f t="array" ref="B482">_xlfn.XLOOKUP($A482,TRIM(SUBSTITUTE('worker file'!$A$2:$A$406,_xlfn.UNICHAR(160)," ")),'worker file'!$L$2:$L$406,"Not found")</f>
        <v>US Semi-monthly</v>
      </c>
      <c r="C482" s="36" t="str">
        <f t="array" ref="C482">_xlfn.XLOOKUP($A482,TRIM(SUBSTITUTE('worker file'!$A$2:$A$406,_xlfn.UNICHAR(160)," ")),'worker file'!$D$2:$D$406,"Not found")</f>
        <v>WA</v>
      </c>
      <c r="D482" s="36" t="str">
        <f t="array" ref="D482">_xlfn.XLOOKUP($A482,TRIM(SUBSTITUTE('worker file'!$A$2:$A$406,_xlfn.UNICHAR(160)," ")),'worker file'!$Q$2:$Q$406,"Not found")</f>
        <v>Active</v>
      </c>
      <c r="E482" s="35" t="s">
        <v>632</v>
      </c>
      <c r="F482" t="str">
        <f t="shared" si="54"/>
        <v>Dental – Employee</v>
      </c>
      <c r="G482" t="str">
        <f t="shared" si="55"/>
        <v>Pre-tax Section 125 (exempt from FIT/SIT/FICA)</v>
      </c>
      <c r="H482" t="str">
        <f t="shared" si="56"/>
        <v>Flat</v>
      </c>
      <c r="I482" s="40" t="str">
        <f t="shared" si="60"/>
        <v/>
      </c>
      <c r="J482" s="38">
        <f t="shared" si="57"/>
        <v>44</v>
      </c>
      <c r="K482" t="str">
        <f t="shared" si="58"/>
        <v>Per pay period</v>
      </c>
      <c r="L482" t="str">
        <f t="shared" si="59"/>
        <v>Every pay period (ongoing)</v>
      </c>
      <c r="M482" s="39">
        <f t="array" ref="M482">MAX(_xlfn.XLOOKUP($A482,TRIM(SUBSTITUTE('worker file'!$A$2:$A$406,_xlfn.UNICHAR(160)," ")),'worker file'!$M$2:$M$406,0),_xlfn.XLOOKUP($B482,TRIM('pay group &amp; schedule'!$A$2:$A$6),'pay group &amp; schedule'!$D$2:$D$6,0))</f>
        <v>46311</v>
      </c>
      <c r="N482" s="39" t="str">
        <f t="array" ref="N482">_xlfn.LET(_xlpm.t,_xlfn.XLOOKUP($A482,TRIM(SUBSTITUTE('worker file'!$A$2:$A$406,_xlfn.UNICHAR(160)," ")),'worker file'!$N$2:$N$406,""),IF(N(_xlpm.t)=0,"",_xlpm.t))</f>
        <v/>
      </c>
    </row>
    <row r="483" spans="1:15" x14ac:dyDescent="0.2">
      <c r="A483" s="35" t="s">
        <v>269</v>
      </c>
      <c r="B483" s="36" t="str">
        <f t="array" ref="B483">_xlfn.XLOOKUP($A483,TRIM(SUBSTITUTE('worker file'!$A$2:$A$406,_xlfn.UNICHAR(160)," ")),'worker file'!$L$2:$L$406,"Not found")</f>
        <v>US Semi-monthly</v>
      </c>
      <c r="C483" s="36" t="str">
        <f t="array" ref="C483">_xlfn.XLOOKUP($A483,TRIM(SUBSTITUTE('worker file'!$A$2:$A$406,_xlfn.UNICHAR(160)," ")),'worker file'!$D$2:$D$406,"Not found")</f>
        <v>WA</v>
      </c>
      <c r="D483" s="36" t="str">
        <f t="array" ref="D483">_xlfn.XLOOKUP($A483,TRIM(SUBSTITUTE('worker file'!$A$2:$A$406,_xlfn.UNICHAR(160)," ")),'worker file'!$Q$2:$Q$406,"Not found")</f>
        <v>Active</v>
      </c>
      <c r="E483" s="35" t="s">
        <v>634</v>
      </c>
      <c r="F483" t="str">
        <f t="shared" si="54"/>
        <v>Vision – Employee</v>
      </c>
      <c r="G483" t="str">
        <f t="shared" si="55"/>
        <v>Pre-tax Section 125 (exempt from FIT/SIT/FICA)</v>
      </c>
      <c r="H483" t="str">
        <f t="shared" si="56"/>
        <v>Flat</v>
      </c>
      <c r="I483" s="40" t="str">
        <f t="shared" si="60"/>
        <v/>
      </c>
      <c r="J483" s="38">
        <f t="shared" si="57"/>
        <v>30</v>
      </c>
      <c r="K483" t="str">
        <f t="shared" si="58"/>
        <v>Per pay period</v>
      </c>
      <c r="L483" t="str">
        <f t="shared" si="59"/>
        <v>Every pay period (ongoing)</v>
      </c>
      <c r="M483" s="39">
        <f t="array" ref="M483">MAX(_xlfn.XLOOKUP($A483,TRIM(SUBSTITUTE('worker file'!$A$2:$A$406,_xlfn.UNICHAR(160)," ")),'worker file'!$M$2:$M$406,0),_xlfn.XLOOKUP($B483,TRIM('pay group &amp; schedule'!$A$2:$A$6),'pay group &amp; schedule'!$D$2:$D$6,0))</f>
        <v>46311</v>
      </c>
      <c r="N483" s="39" t="str">
        <f t="array" ref="N483">_xlfn.LET(_xlpm.t,_xlfn.XLOOKUP($A483,TRIM(SUBSTITUTE('worker file'!$A$2:$A$406,_xlfn.UNICHAR(160)," ")),'worker file'!$N$2:$N$406,""),IF(N(_xlpm.t)=0,"",_xlpm.t))</f>
        <v/>
      </c>
    </row>
    <row r="484" spans="1:15" x14ac:dyDescent="0.2">
      <c r="A484" s="35" t="s">
        <v>270</v>
      </c>
      <c r="B484" s="36" t="str">
        <f t="array" ref="B484">_xlfn.XLOOKUP($A484,TRIM(SUBSTITUTE('worker file'!$A$2:$A$406,_xlfn.UNICHAR(160)," ")),'worker file'!$L$2:$L$406,"Not found")</f>
        <v>US Biweekly</v>
      </c>
      <c r="C484" s="36" t="str">
        <f t="array" ref="C484">_xlfn.XLOOKUP($A484,TRIM(SUBSTITUTE('worker file'!$A$2:$A$406,_xlfn.UNICHAR(160)," ")),'worker file'!$D$2:$D$406,"Not found")</f>
        <v>TX</v>
      </c>
      <c r="D484" s="36" t="str">
        <f t="array" ref="D484">_xlfn.XLOOKUP($A484,TRIM(SUBSTITUTE('worker file'!$A$2:$A$406,_xlfn.UNICHAR(160)," ")),'worker file'!$Q$2:$Q$406,"Not found")</f>
        <v>Active</v>
      </c>
      <c r="E484" s="35" t="s">
        <v>626</v>
      </c>
      <c r="F484" t="str">
        <f t="shared" si="54"/>
        <v>Medical (Health) – Employee</v>
      </c>
      <c r="G484" t="str">
        <f t="shared" si="55"/>
        <v>Pre-tax Section 125 (exempt from FIT/SIT/FICA)</v>
      </c>
      <c r="H484" t="str">
        <f t="shared" si="56"/>
        <v>Flat</v>
      </c>
      <c r="I484" s="40" t="str">
        <f t="shared" si="60"/>
        <v/>
      </c>
      <c r="J484" s="38">
        <f t="shared" si="57"/>
        <v>200</v>
      </c>
      <c r="K484" t="str">
        <f t="shared" si="58"/>
        <v>Per pay period</v>
      </c>
      <c r="L484" t="str">
        <f t="shared" si="59"/>
        <v>Every pay period (ongoing)</v>
      </c>
      <c r="M484" s="39">
        <f t="array" ref="M484">MAX(_xlfn.XLOOKUP($A484,TRIM(SUBSTITUTE('worker file'!$A$2:$A$406,_xlfn.UNICHAR(160)," ")),'worker file'!$M$2:$M$406,0),_xlfn.XLOOKUP($B484,TRIM('pay group &amp; schedule'!$A$2:$A$6),'pay group &amp; schedule'!$D$2:$D$6,0))</f>
        <v>46299</v>
      </c>
      <c r="N484" s="39" t="str">
        <f t="array" ref="N484">_xlfn.LET(_xlpm.t,_xlfn.XLOOKUP($A484,TRIM(SUBSTITUTE('worker file'!$A$2:$A$406,_xlfn.UNICHAR(160)," ")),'worker file'!$N$2:$N$406,""),IF(N(_xlpm.t)=0,"",_xlpm.t))</f>
        <v/>
      </c>
    </row>
    <row r="485" spans="1:15" x14ac:dyDescent="0.2">
      <c r="A485" s="35" t="s">
        <v>270</v>
      </c>
      <c r="B485" s="36" t="str">
        <f t="array" ref="B485">_xlfn.XLOOKUP($A485,TRIM(SUBSTITUTE('worker file'!$A$2:$A$406,_xlfn.UNICHAR(160)," ")),'worker file'!$L$2:$L$406,"Not found")</f>
        <v>US Biweekly</v>
      </c>
      <c r="C485" s="36" t="str">
        <f t="array" ref="C485">_xlfn.XLOOKUP($A485,TRIM(SUBSTITUTE('worker file'!$A$2:$A$406,_xlfn.UNICHAR(160)," ")),'worker file'!$D$2:$D$406,"Not found")</f>
        <v>TX</v>
      </c>
      <c r="D485" s="36" t="str">
        <f t="array" ref="D485">_xlfn.XLOOKUP($A485,TRIM(SUBSTITUTE('worker file'!$A$2:$A$406,_xlfn.UNICHAR(160)," ")),'worker file'!$Q$2:$Q$406,"Not found")</f>
        <v>Active</v>
      </c>
      <c r="E485" s="35" t="s">
        <v>632</v>
      </c>
      <c r="F485" t="str">
        <f t="shared" si="54"/>
        <v>Dental – Employee</v>
      </c>
      <c r="G485" t="str">
        <f t="shared" si="55"/>
        <v>Pre-tax Section 125 (exempt from FIT/SIT/FICA)</v>
      </c>
      <c r="H485" t="str">
        <f t="shared" si="56"/>
        <v>Flat</v>
      </c>
      <c r="I485" s="40" t="str">
        <f t="shared" si="60"/>
        <v/>
      </c>
      <c r="J485" s="38">
        <f t="shared" si="57"/>
        <v>44</v>
      </c>
      <c r="K485" t="str">
        <f t="shared" si="58"/>
        <v>Per pay period</v>
      </c>
      <c r="L485" t="str">
        <f t="shared" si="59"/>
        <v>Every pay period (ongoing)</v>
      </c>
      <c r="M485" s="39">
        <f t="array" ref="M485">MAX(_xlfn.XLOOKUP($A485,TRIM(SUBSTITUTE('worker file'!$A$2:$A$406,_xlfn.UNICHAR(160)," ")),'worker file'!$M$2:$M$406,0),_xlfn.XLOOKUP($B485,TRIM('pay group &amp; schedule'!$A$2:$A$6),'pay group &amp; schedule'!$D$2:$D$6,0))</f>
        <v>46299</v>
      </c>
      <c r="N485" s="39" t="str">
        <f t="array" ref="N485">_xlfn.LET(_xlpm.t,_xlfn.XLOOKUP($A485,TRIM(SUBSTITUTE('worker file'!$A$2:$A$406,_xlfn.UNICHAR(160)," ")),'worker file'!$N$2:$N$406,""),IF(N(_xlpm.t)=0,"",_xlpm.t))</f>
        <v/>
      </c>
    </row>
    <row r="486" spans="1:15" x14ac:dyDescent="0.2">
      <c r="A486" s="35" t="s">
        <v>270</v>
      </c>
      <c r="B486" s="36" t="str">
        <f t="array" ref="B486">_xlfn.XLOOKUP($A486,TRIM(SUBSTITUTE('worker file'!$A$2:$A$406,_xlfn.UNICHAR(160)," ")),'worker file'!$L$2:$L$406,"Not found")</f>
        <v>US Biweekly</v>
      </c>
      <c r="C486" s="36" t="str">
        <f t="array" ref="C486">_xlfn.XLOOKUP($A486,TRIM(SUBSTITUTE('worker file'!$A$2:$A$406,_xlfn.UNICHAR(160)," ")),'worker file'!$D$2:$D$406,"Not found")</f>
        <v>TX</v>
      </c>
      <c r="D486" s="36" t="str">
        <f t="array" ref="D486">_xlfn.XLOOKUP($A486,TRIM(SUBSTITUTE('worker file'!$A$2:$A$406,_xlfn.UNICHAR(160)," ")),'worker file'!$Q$2:$Q$406,"Not found")</f>
        <v>Active</v>
      </c>
      <c r="E486" s="35" t="s">
        <v>634</v>
      </c>
      <c r="F486" t="str">
        <f t="shared" si="54"/>
        <v>Vision – Employee</v>
      </c>
      <c r="G486" t="str">
        <f t="shared" si="55"/>
        <v>Pre-tax Section 125 (exempt from FIT/SIT/FICA)</v>
      </c>
      <c r="H486" t="str">
        <f t="shared" si="56"/>
        <v>Flat</v>
      </c>
      <c r="I486" s="40" t="str">
        <f t="shared" si="60"/>
        <v/>
      </c>
      <c r="J486" s="38">
        <f t="shared" si="57"/>
        <v>30</v>
      </c>
      <c r="K486" t="str">
        <f t="shared" si="58"/>
        <v>Per pay period</v>
      </c>
      <c r="L486" t="str">
        <f t="shared" si="59"/>
        <v>Every pay period (ongoing)</v>
      </c>
      <c r="M486" s="39">
        <f t="array" ref="M486">MAX(_xlfn.XLOOKUP($A486,TRIM(SUBSTITUTE('worker file'!$A$2:$A$406,_xlfn.UNICHAR(160)," ")),'worker file'!$M$2:$M$406,0),_xlfn.XLOOKUP($B486,TRIM('pay group &amp; schedule'!$A$2:$A$6),'pay group &amp; schedule'!$D$2:$D$6,0))</f>
        <v>46299</v>
      </c>
      <c r="N486" s="39" t="str">
        <f t="array" ref="N486">_xlfn.LET(_xlpm.t,_xlfn.XLOOKUP($A486,TRIM(SUBSTITUTE('worker file'!$A$2:$A$406,_xlfn.UNICHAR(160)," ")),'worker file'!$N$2:$N$406,""),IF(N(_xlpm.t)=0,"",_xlpm.t))</f>
        <v/>
      </c>
    </row>
    <row r="487" spans="1:15" x14ac:dyDescent="0.2">
      <c r="A487" s="35" t="s">
        <v>271</v>
      </c>
      <c r="B487" s="36" t="str">
        <f t="array" ref="B487">_xlfn.XLOOKUP($A487,TRIM(SUBSTITUTE('worker file'!$A$2:$A$406,_xlfn.UNICHAR(160)," ")),'worker file'!$L$2:$L$406,"Not found")</f>
        <v>US Semi-monthly</v>
      </c>
      <c r="C487" s="36" t="str">
        <f t="array" ref="C487">_xlfn.XLOOKUP($A487,TRIM(SUBSTITUTE('worker file'!$A$2:$A$406,_xlfn.UNICHAR(160)," ")),'worker file'!$D$2:$D$406,"Not found")</f>
        <v>CA</v>
      </c>
      <c r="D487" s="36" t="str">
        <f t="array" ref="D487">_xlfn.XLOOKUP($A487,TRIM(SUBSTITUTE('worker file'!$A$2:$A$406,_xlfn.UNICHAR(160)," ")),'worker file'!$Q$2:$Q$406,"Not found")</f>
        <v>Active</v>
      </c>
      <c r="E487" s="35" t="s">
        <v>618</v>
      </c>
      <c r="F487" t="str">
        <f t="shared" si="54"/>
        <v>401(k) Employee Deferral</v>
      </c>
      <c r="G487" t="str">
        <f t="shared" si="55"/>
        <v>Pre-tax (exempt from FIT/SIT; subject to FICA)</v>
      </c>
      <c r="H487" t="str">
        <f t="shared" si="56"/>
        <v>Percent</v>
      </c>
      <c r="I487" s="37">
        <v>0.05</v>
      </c>
      <c r="J487" s="38" t="str">
        <f t="shared" si="57"/>
        <v/>
      </c>
      <c r="K487" t="str">
        <f t="shared" si="58"/>
        <v>Gross pay</v>
      </c>
      <c r="L487" t="str">
        <f t="shared" si="59"/>
        <v>Every pay period (ongoing)</v>
      </c>
      <c r="M487" s="39">
        <f t="array" ref="M487">MAX(_xlfn.XLOOKUP($A487,TRIM(SUBSTITUTE('worker file'!$A$2:$A$406,_xlfn.UNICHAR(160)," ")),'worker file'!$M$2:$M$406,0),_xlfn.XLOOKUP($B487,TRIM('pay group &amp; schedule'!$A$2:$A$6),'pay group &amp; schedule'!$D$2:$D$6,0))</f>
        <v>46311</v>
      </c>
      <c r="N487" s="39" t="str">
        <f t="array" ref="N487">_xlfn.LET(_xlpm.t,_xlfn.XLOOKUP($A487,TRIM(SUBSTITUTE('worker file'!$A$2:$A$406,_xlfn.UNICHAR(160)," ")),'worker file'!$N$2:$N$406,""),IF(N(_xlpm.t)=0,"",_xlpm.t))</f>
        <v/>
      </c>
    </row>
    <row r="488" spans="1:15" x14ac:dyDescent="0.2">
      <c r="A488" s="35" t="s">
        <v>271</v>
      </c>
      <c r="B488" s="36" t="str">
        <f t="array" ref="B488">_xlfn.XLOOKUP($A488,TRIM(SUBSTITUTE('worker file'!$A$2:$A$406,_xlfn.UNICHAR(160)," ")),'worker file'!$L$2:$L$406,"Not found")</f>
        <v>US Semi-monthly</v>
      </c>
      <c r="C488" s="36" t="str">
        <f t="array" ref="C488">_xlfn.XLOOKUP($A488,TRIM(SUBSTITUTE('worker file'!$A$2:$A$406,_xlfn.UNICHAR(160)," ")),'worker file'!$D$2:$D$406,"Not found")</f>
        <v>CA</v>
      </c>
      <c r="D488" s="36" t="str">
        <f t="array" ref="D488">_xlfn.XLOOKUP($A488,TRIM(SUBSTITUTE('worker file'!$A$2:$A$406,_xlfn.UNICHAR(160)," ")),'worker file'!$Q$2:$Q$406,"Not found")</f>
        <v>Active</v>
      </c>
      <c r="E488" s="35" t="s">
        <v>626</v>
      </c>
      <c r="F488" t="str">
        <f t="shared" si="54"/>
        <v>Medical (Health) – Employee</v>
      </c>
      <c r="G488" t="str">
        <f t="shared" si="55"/>
        <v>Pre-tax Section 125 (exempt from FIT/SIT/FICA)</v>
      </c>
      <c r="H488" t="str">
        <f t="shared" si="56"/>
        <v>Flat</v>
      </c>
      <c r="I488" s="40" t="str">
        <f>IF($H488="Percent",_xlfn.XLOOKUP($E488,$A$5:$A$8,$F$5:$F$8,""),"")</f>
        <v/>
      </c>
      <c r="J488" s="38">
        <f t="shared" si="57"/>
        <v>200</v>
      </c>
      <c r="K488" t="str">
        <f t="shared" si="58"/>
        <v>Per pay period</v>
      </c>
      <c r="L488" t="str">
        <f t="shared" si="59"/>
        <v>Every pay period (ongoing)</v>
      </c>
      <c r="M488" s="39">
        <f t="array" ref="M488">MAX(_xlfn.XLOOKUP($A488,TRIM(SUBSTITUTE('worker file'!$A$2:$A$406,_xlfn.UNICHAR(160)," ")),'worker file'!$M$2:$M$406,0),_xlfn.XLOOKUP($B488,TRIM('pay group &amp; schedule'!$A$2:$A$6),'pay group &amp; schedule'!$D$2:$D$6,0))</f>
        <v>46311</v>
      </c>
      <c r="N488" s="39" t="str">
        <f t="array" ref="N488">_xlfn.LET(_xlpm.t,_xlfn.XLOOKUP($A488,TRIM(SUBSTITUTE('worker file'!$A$2:$A$406,_xlfn.UNICHAR(160)," ")),'worker file'!$N$2:$N$406,""),IF(N(_xlpm.t)=0,"",_xlpm.t))</f>
        <v/>
      </c>
    </row>
    <row r="489" spans="1:15" x14ac:dyDescent="0.2">
      <c r="A489" s="35" t="s">
        <v>271</v>
      </c>
      <c r="B489" s="36" t="str">
        <f t="array" ref="B489">_xlfn.XLOOKUP($A489,TRIM(SUBSTITUTE('worker file'!$A$2:$A$406,_xlfn.UNICHAR(160)," ")),'worker file'!$L$2:$L$406,"Not found")</f>
        <v>US Semi-monthly</v>
      </c>
      <c r="C489" s="36" t="str">
        <f t="array" ref="C489">_xlfn.XLOOKUP($A489,TRIM(SUBSTITUTE('worker file'!$A$2:$A$406,_xlfn.UNICHAR(160)," ")),'worker file'!$D$2:$D$406,"Not found")</f>
        <v>CA</v>
      </c>
      <c r="D489" s="36" t="str">
        <f t="array" ref="D489">_xlfn.XLOOKUP($A489,TRIM(SUBSTITUTE('worker file'!$A$2:$A$406,_xlfn.UNICHAR(160)," ")),'worker file'!$Q$2:$Q$406,"Not found")</f>
        <v>Active</v>
      </c>
      <c r="E489" s="35" t="s">
        <v>632</v>
      </c>
      <c r="F489" t="str">
        <f t="shared" si="54"/>
        <v>Dental – Employee</v>
      </c>
      <c r="G489" t="str">
        <f t="shared" si="55"/>
        <v>Pre-tax Section 125 (exempt from FIT/SIT/FICA)</v>
      </c>
      <c r="H489" t="str">
        <f t="shared" si="56"/>
        <v>Flat</v>
      </c>
      <c r="I489" s="40" t="str">
        <f>IF($H489="Percent",_xlfn.XLOOKUP($E489,$A$5:$A$8,$F$5:$F$8,""),"")</f>
        <v/>
      </c>
      <c r="J489" s="38">
        <f t="shared" si="57"/>
        <v>44</v>
      </c>
      <c r="K489" t="str">
        <f t="shared" si="58"/>
        <v>Per pay period</v>
      </c>
      <c r="L489" t="str">
        <f t="shared" si="59"/>
        <v>Every pay period (ongoing)</v>
      </c>
      <c r="M489" s="39">
        <f t="array" ref="M489">MAX(_xlfn.XLOOKUP($A489,TRIM(SUBSTITUTE('worker file'!$A$2:$A$406,_xlfn.UNICHAR(160)," ")),'worker file'!$M$2:$M$406,0),_xlfn.XLOOKUP($B489,TRIM('pay group &amp; schedule'!$A$2:$A$6),'pay group &amp; schedule'!$D$2:$D$6,0))</f>
        <v>46311</v>
      </c>
      <c r="N489" s="39" t="str">
        <f t="array" ref="N489">_xlfn.LET(_xlpm.t,_xlfn.XLOOKUP($A489,TRIM(SUBSTITUTE('worker file'!$A$2:$A$406,_xlfn.UNICHAR(160)," ")),'worker file'!$N$2:$N$406,""),IF(N(_xlpm.t)=0,"",_xlpm.t))</f>
        <v/>
      </c>
    </row>
    <row r="490" spans="1:15" x14ac:dyDescent="0.2">
      <c r="A490" s="35" t="s">
        <v>271</v>
      </c>
      <c r="B490" s="36" t="str">
        <f t="array" ref="B490">_xlfn.XLOOKUP($A490,TRIM(SUBSTITUTE('worker file'!$A$2:$A$406,_xlfn.UNICHAR(160)," ")),'worker file'!$L$2:$L$406,"Not found")</f>
        <v>US Semi-monthly</v>
      </c>
      <c r="C490" s="36" t="str">
        <f t="array" ref="C490">_xlfn.XLOOKUP($A490,TRIM(SUBSTITUTE('worker file'!$A$2:$A$406,_xlfn.UNICHAR(160)," ")),'worker file'!$D$2:$D$406,"Not found")</f>
        <v>CA</v>
      </c>
      <c r="D490" s="36" t="str">
        <f t="array" ref="D490">_xlfn.XLOOKUP($A490,TRIM(SUBSTITUTE('worker file'!$A$2:$A$406,_xlfn.UNICHAR(160)," ")),'worker file'!$Q$2:$Q$406,"Not found")</f>
        <v>Active</v>
      </c>
      <c r="E490" s="35" t="s">
        <v>634</v>
      </c>
      <c r="F490" t="str">
        <f t="shared" si="54"/>
        <v>Vision – Employee</v>
      </c>
      <c r="G490" t="str">
        <f t="shared" si="55"/>
        <v>Pre-tax Section 125 (exempt from FIT/SIT/FICA)</v>
      </c>
      <c r="H490" t="str">
        <f t="shared" si="56"/>
        <v>Flat</v>
      </c>
      <c r="I490" s="40" t="str">
        <f>IF($H490="Percent",_xlfn.XLOOKUP($E490,$A$5:$A$8,$F$5:$F$8,""),"")</f>
        <v/>
      </c>
      <c r="J490" s="38">
        <f t="shared" si="57"/>
        <v>30</v>
      </c>
      <c r="K490" t="str">
        <f t="shared" si="58"/>
        <v>Per pay period</v>
      </c>
      <c r="L490" t="str">
        <f t="shared" si="59"/>
        <v>Every pay period (ongoing)</v>
      </c>
      <c r="M490" s="39">
        <f t="array" ref="M490">MAX(_xlfn.XLOOKUP($A490,TRIM(SUBSTITUTE('worker file'!$A$2:$A$406,_xlfn.UNICHAR(160)," ")),'worker file'!$M$2:$M$406,0),_xlfn.XLOOKUP($B490,TRIM('pay group &amp; schedule'!$A$2:$A$6),'pay group &amp; schedule'!$D$2:$D$6,0))</f>
        <v>46311</v>
      </c>
      <c r="N490" s="39" t="str">
        <f t="array" ref="N490">_xlfn.LET(_xlpm.t,_xlfn.XLOOKUP($A490,TRIM(SUBSTITUTE('worker file'!$A$2:$A$406,_xlfn.UNICHAR(160)," ")),'worker file'!$N$2:$N$406,""),IF(N(_xlpm.t)=0,"",_xlpm.t))</f>
        <v/>
      </c>
    </row>
    <row r="491" spans="1:15" x14ac:dyDescent="0.2">
      <c r="A491" s="35" t="s">
        <v>272</v>
      </c>
      <c r="B491" s="36" t="str">
        <f t="array" ref="B491">_xlfn.XLOOKUP($A491,TRIM(SUBSTITUTE('worker file'!$A$2:$A$406,_xlfn.UNICHAR(160)," ")),'worker file'!$L$2:$L$406,"Not found")</f>
        <v>US Semi-monthly</v>
      </c>
      <c r="C491" s="36" t="str">
        <f t="array" ref="C491">_xlfn.XLOOKUP($A491,TRIM(SUBSTITUTE('worker file'!$A$2:$A$406,_xlfn.UNICHAR(160)," ")),'worker file'!$D$2:$D$406,"Not found")</f>
        <v>CA</v>
      </c>
      <c r="D491" s="36" t="str">
        <f t="array" ref="D491">_xlfn.XLOOKUP($A491,TRIM(SUBSTITUTE('worker file'!$A$2:$A$406,_xlfn.UNICHAR(160)," ")),'worker file'!$Q$2:$Q$406,"Not found")</f>
        <v>Termination pending</v>
      </c>
      <c r="E491" s="35" t="s">
        <v>618</v>
      </c>
      <c r="F491" t="str">
        <f t="shared" si="54"/>
        <v>401(k) Employee Deferral</v>
      </c>
      <c r="G491" t="str">
        <f t="shared" si="55"/>
        <v>Pre-tax (exempt from FIT/SIT; subject to FICA)</v>
      </c>
      <c r="H491" t="str">
        <f t="shared" si="56"/>
        <v>Percent</v>
      </c>
      <c r="I491" s="37">
        <v>0.02</v>
      </c>
      <c r="J491" s="38" t="str">
        <f t="shared" si="57"/>
        <v/>
      </c>
      <c r="K491" t="str">
        <f t="shared" si="58"/>
        <v>Gross pay</v>
      </c>
      <c r="L491" t="str">
        <f t="shared" si="59"/>
        <v>Every pay period (ongoing)</v>
      </c>
      <c r="M491" s="39">
        <f t="array" ref="M491">MAX(_xlfn.XLOOKUP($A491,TRIM(SUBSTITUTE('worker file'!$A$2:$A$406,_xlfn.UNICHAR(160)," ")),'worker file'!$M$2:$M$406,0),_xlfn.XLOOKUP($B491,TRIM('pay group &amp; schedule'!$A$2:$A$6),'pay group &amp; schedule'!$D$2:$D$6,0))</f>
        <v>46311</v>
      </c>
      <c r="N491" s="39">
        <f t="array" ref="N491">_xlfn.LET(_xlpm.t,_xlfn.XLOOKUP($A491,TRIM(SUBSTITUTE('worker file'!$A$2:$A$406,_xlfn.UNICHAR(160)," ")),'worker file'!$N$2:$N$406,""),IF(N(_xlpm.t)=0,"",_xlpm.t))</f>
        <v>46339</v>
      </c>
      <c r="O491" t="s">
        <v>644</v>
      </c>
    </row>
    <row r="492" spans="1:15" x14ac:dyDescent="0.2">
      <c r="A492" s="35" t="s">
        <v>272</v>
      </c>
      <c r="B492" s="36" t="str">
        <f t="array" ref="B492">_xlfn.XLOOKUP($A492,TRIM(SUBSTITUTE('worker file'!$A$2:$A$406,_xlfn.UNICHAR(160)," ")),'worker file'!$L$2:$L$406,"Not found")</f>
        <v>US Semi-monthly</v>
      </c>
      <c r="C492" s="36" t="str">
        <f t="array" ref="C492">_xlfn.XLOOKUP($A492,TRIM(SUBSTITUTE('worker file'!$A$2:$A$406,_xlfn.UNICHAR(160)," ")),'worker file'!$D$2:$D$406,"Not found")</f>
        <v>CA</v>
      </c>
      <c r="D492" s="36" t="str">
        <f t="array" ref="D492">_xlfn.XLOOKUP($A492,TRIM(SUBSTITUTE('worker file'!$A$2:$A$406,_xlfn.UNICHAR(160)," ")),'worker file'!$Q$2:$Q$406,"Not found")</f>
        <v>Termination pending</v>
      </c>
      <c r="E492" s="35" t="s">
        <v>626</v>
      </c>
      <c r="F492" t="str">
        <f t="shared" si="54"/>
        <v>Medical (Health) – Employee</v>
      </c>
      <c r="G492" t="str">
        <f t="shared" si="55"/>
        <v>Pre-tax Section 125 (exempt from FIT/SIT/FICA)</v>
      </c>
      <c r="H492" t="str">
        <f t="shared" si="56"/>
        <v>Flat</v>
      </c>
      <c r="I492" s="40" t="str">
        <f>IF($H492="Percent",_xlfn.XLOOKUP($E492,$A$5:$A$8,$F$5:$F$8,""),"")</f>
        <v/>
      </c>
      <c r="J492" s="38">
        <f t="shared" si="57"/>
        <v>200</v>
      </c>
      <c r="K492" t="str">
        <f t="shared" si="58"/>
        <v>Per pay period</v>
      </c>
      <c r="L492" t="str">
        <f t="shared" si="59"/>
        <v>Every pay period (ongoing)</v>
      </c>
      <c r="M492" s="39">
        <f t="array" ref="M492">MAX(_xlfn.XLOOKUP($A492,TRIM(SUBSTITUTE('worker file'!$A$2:$A$406,_xlfn.UNICHAR(160)," ")),'worker file'!$M$2:$M$406,0),_xlfn.XLOOKUP($B492,TRIM('pay group &amp; schedule'!$A$2:$A$6),'pay group &amp; schedule'!$D$2:$D$6,0))</f>
        <v>46311</v>
      </c>
      <c r="N492" s="39">
        <f t="array" ref="N492">_xlfn.LET(_xlpm.t,_xlfn.XLOOKUP($A492,TRIM(SUBSTITUTE('worker file'!$A$2:$A$406,_xlfn.UNICHAR(160)," ")),'worker file'!$N$2:$N$406,""),IF(N(_xlpm.t)=0,"",_xlpm.t))</f>
        <v>46339</v>
      </c>
      <c r="O492" t="s">
        <v>644</v>
      </c>
    </row>
    <row r="493" spans="1:15" x14ac:dyDescent="0.2">
      <c r="A493" s="35" t="s">
        <v>272</v>
      </c>
      <c r="B493" s="36" t="str">
        <f t="array" ref="B493">_xlfn.XLOOKUP($A493,TRIM(SUBSTITUTE('worker file'!$A$2:$A$406,_xlfn.UNICHAR(160)," ")),'worker file'!$L$2:$L$406,"Not found")</f>
        <v>US Semi-monthly</v>
      </c>
      <c r="C493" s="36" t="str">
        <f t="array" ref="C493">_xlfn.XLOOKUP($A493,TRIM(SUBSTITUTE('worker file'!$A$2:$A$406,_xlfn.UNICHAR(160)," ")),'worker file'!$D$2:$D$406,"Not found")</f>
        <v>CA</v>
      </c>
      <c r="D493" s="36" t="str">
        <f t="array" ref="D493">_xlfn.XLOOKUP($A493,TRIM(SUBSTITUTE('worker file'!$A$2:$A$406,_xlfn.UNICHAR(160)," ")),'worker file'!$Q$2:$Q$406,"Not found")</f>
        <v>Termination pending</v>
      </c>
      <c r="E493" s="35" t="s">
        <v>632</v>
      </c>
      <c r="F493" t="str">
        <f t="shared" si="54"/>
        <v>Dental – Employee</v>
      </c>
      <c r="G493" t="str">
        <f t="shared" si="55"/>
        <v>Pre-tax Section 125 (exempt from FIT/SIT/FICA)</v>
      </c>
      <c r="H493" t="str">
        <f t="shared" si="56"/>
        <v>Flat</v>
      </c>
      <c r="I493" s="40" t="str">
        <f>IF($H493="Percent",_xlfn.XLOOKUP($E493,$A$5:$A$8,$F$5:$F$8,""),"")</f>
        <v/>
      </c>
      <c r="J493" s="38">
        <f t="shared" si="57"/>
        <v>44</v>
      </c>
      <c r="K493" t="str">
        <f t="shared" si="58"/>
        <v>Per pay period</v>
      </c>
      <c r="L493" t="str">
        <f t="shared" si="59"/>
        <v>Every pay period (ongoing)</v>
      </c>
      <c r="M493" s="39">
        <f t="array" ref="M493">MAX(_xlfn.XLOOKUP($A493,TRIM(SUBSTITUTE('worker file'!$A$2:$A$406,_xlfn.UNICHAR(160)," ")),'worker file'!$M$2:$M$406,0),_xlfn.XLOOKUP($B493,TRIM('pay group &amp; schedule'!$A$2:$A$6),'pay group &amp; schedule'!$D$2:$D$6,0))</f>
        <v>46311</v>
      </c>
      <c r="N493" s="39">
        <f t="array" ref="N493">_xlfn.LET(_xlpm.t,_xlfn.XLOOKUP($A493,TRIM(SUBSTITUTE('worker file'!$A$2:$A$406,_xlfn.UNICHAR(160)," ")),'worker file'!$N$2:$N$406,""),IF(N(_xlpm.t)=0,"",_xlpm.t))</f>
        <v>46339</v>
      </c>
      <c r="O493" t="s">
        <v>644</v>
      </c>
    </row>
    <row r="494" spans="1:15" x14ac:dyDescent="0.2">
      <c r="A494" s="35" t="s">
        <v>272</v>
      </c>
      <c r="B494" s="36" t="str">
        <f t="array" ref="B494">_xlfn.XLOOKUP($A494,TRIM(SUBSTITUTE('worker file'!$A$2:$A$406,_xlfn.UNICHAR(160)," ")),'worker file'!$L$2:$L$406,"Not found")</f>
        <v>US Semi-monthly</v>
      </c>
      <c r="C494" s="36" t="str">
        <f t="array" ref="C494">_xlfn.XLOOKUP($A494,TRIM(SUBSTITUTE('worker file'!$A$2:$A$406,_xlfn.UNICHAR(160)," ")),'worker file'!$D$2:$D$406,"Not found")</f>
        <v>CA</v>
      </c>
      <c r="D494" s="36" t="str">
        <f t="array" ref="D494">_xlfn.XLOOKUP($A494,TRIM(SUBSTITUTE('worker file'!$A$2:$A$406,_xlfn.UNICHAR(160)," ")),'worker file'!$Q$2:$Q$406,"Not found")</f>
        <v>Termination pending</v>
      </c>
      <c r="E494" s="35" t="s">
        <v>634</v>
      </c>
      <c r="F494" t="str">
        <f t="shared" si="54"/>
        <v>Vision – Employee</v>
      </c>
      <c r="G494" t="str">
        <f t="shared" si="55"/>
        <v>Pre-tax Section 125 (exempt from FIT/SIT/FICA)</v>
      </c>
      <c r="H494" t="str">
        <f t="shared" si="56"/>
        <v>Flat</v>
      </c>
      <c r="I494" s="40" t="str">
        <f>IF($H494="Percent",_xlfn.XLOOKUP($E494,$A$5:$A$8,$F$5:$F$8,""),"")</f>
        <v/>
      </c>
      <c r="J494" s="38">
        <f t="shared" si="57"/>
        <v>30</v>
      </c>
      <c r="K494" t="str">
        <f t="shared" si="58"/>
        <v>Per pay period</v>
      </c>
      <c r="L494" t="str">
        <f t="shared" si="59"/>
        <v>Every pay period (ongoing)</v>
      </c>
      <c r="M494" s="39">
        <f t="array" ref="M494">MAX(_xlfn.XLOOKUP($A494,TRIM(SUBSTITUTE('worker file'!$A$2:$A$406,_xlfn.UNICHAR(160)," ")),'worker file'!$M$2:$M$406,0),_xlfn.XLOOKUP($B494,TRIM('pay group &amp; schedule'!$A$2:$A$6),'pay group &amp; schedule'!$D$2:$D$6,0))</f>
        <v>46311</v>
      </c>
      <c r="N494" s="39">
        <f t="array" ref="N494">_xlfn.LET(_xlpm.t,_xlfn.XLOOKUP($A494,TRIM(SUBSTITUTE('worker file'!$A$2:$A$406,_xlfn.UNICHAR(160)," ")),'worker file'!$N$2:$N$406,""),IF(N(_xlpm.t)=0,"",_xlpm.t))</f>
        <v>46339</v>
      </c>
      <c r="O494" t="s">
        <v>644</v>
      </c>
    </row>
    <row r="495" spans="1:15" x14ac:dyDescent="0.2">
      <c r="A495" s="35" t="s">
        <v>273</v>
      </c>
      <c r="B495" s="36" t="str">
        <f t="array" ref="B495">_xlfn.XLOOKUP($A495,TRIM(SUBSTITUTE('worker file'!$A$2:$A$406,_xlfn.UNICHAR(160)," ")),'worker file'!$L$2:$L$406,"Not found")</f>
        <v>US Semi-monthly</v>
      </c>
      <c r="C495" s="36" t="str">
        <f t="array" ref="C495">_xlfn.XLOOKUP($A495,TRIM(SUBSTITUTE('worker file'!$A$2:$A$406,_xlfn.UNICHAR(160)," ")),'worker file'!$D$2:$D$406,"Not found")</f>
        <v>CA</v>
      </c>
      <c r="D495" s="36" t="str">
        <f t="array" ref="D495">_xlfn.XLOOKUP($A495,TRIM(SUBSTITUTE('worker file'!$A$2:$A$406,_xlfn.UNICHAR(160)," ")),'worker file'!$Q$2:$Q$406,"Not found")</f>
        <v>Termination pending</v>
      </c>
      <c r="E495" s="35" t="s">
        <v>618</v>
      </c>
      <c r="F495" t="str">
        <f t="shared" si="54"/>
        <v>401(k) Employee Deferral</v>
      </c>
      <c r="G495" t="str">
        <f t="shared" si="55"/>
        <v>Pre-tax (exempt from FIT/SIT; subject to FICA)</v>
      </c>
      <c r="H495" t="str">
        <f t="shared" si="56"/>
        <v>Percent</v>
      </c>
      <c r="I495" s="37">
        <v>7.0000000000000007E-2</v>
      </c>
      <c r="J495" s="38" t="str">
        <f t="shared" si="57"/>
        <v/>
      </c>
      <c r="K495" t="str">
        <f t="shared" si="58"/>
        <v>Gross pay</v>
      </c>
      <c r="L495" t="str">
        <f t="shared" si="59"/>
        <v>Every pay period (ongoing)</v>
      </c>
      <c r="M495" s="39">
        <f t="array" ref="M495">MAX(_xlfn.XLOOKUP($A495,TRIM(SUBSTITUTE('worker file'!$A$2:$A$406,_xlfn.UNICHAR(160)," ")),'worker file'!$M$2:$M$406,0),_xlfn.XLOOKUP($B495,TRIM('pay group &amp; schedule'!$A$2:$A$6),'pay group &amp; schedule'!$D$2:$D$6,0))</f>
        <v>46311</v>
      </c>
      <c r="N495" s="39">
        <f t="array" ref="N495">_xlfn.LET(_xlpm.t,_xlfn.XLOOKUP($A495,TRIM(SUBSTITUTE('worker file'!$A$2:$A$406,_xlfn.UNICHAR(160)," ")),'worker file'!$N$2:$N$406,""),IF(N(_xlpm.t)=0,"",_xlpm.t))</f>
        <v>46332</v>
      </c>
      <c r="O495" t="s">
        <v>644</v>
      </c>
    </row>
    <row r="496" spans="1:15" x14ac:dyDescent="0.2">
      <c r="A496" s="35" t="s">
        <v>273</v>
      </c>
      <c r="B496" s="36" t="str">
        <f t="array" ref="B496">_xlfn.XLOOKUP($A496,TRIM(SUBSTITUTE('worker file'!$A$2:$A$406,_xlfn.UNICHAR(160)," ")),'worker file'!$L$2:$L$406,"Not found")</f>
        <v>US Semi-monthly</v>
      </c>
      <c r="C496" s="36" t="str">
        <f t="array" ref="C496">_xlfn.XLOOKUP($A496,TRIM(SUBSTITUTE('worker file'!$A$2:$A$406,_xlfn.UNICHAR(160)," ")),'worker file'!$D$2:$D$406,"Not found")</f>
        <v>CA</v>
      </c>
      <c r="D496" s="36" t="str">
        <f t="array" ref="D496">_xlfn.XLOOKUP($A496,TRIM(SUBSTITUTE('worker file'!$A$2:$A$406,_xlfn.UNICHAR(160)," ")),'worker file'!$Q$2:$Q$406,"Not found")</f>
        <v>Termination pending</v>
      </c>
      <c r="E496" s="35" t="s">
        <v>626</v>
      </c>
      <c r="F496" t="str">
        <f t="shared" si="54"/>
        <v>Medical (Health) – Employee</v>
      </c>
      <c r="G496" t="str">
        <f t="shared" si="55"/>
        <v>Pre-tax Section 125 (exempt from FIT/SIT/FICA)</v>
      </c>
      <c r="H496" t="str">
        <f t="shared" si="56"/>
        <v>Flat</v>
      </c>
      <c r="I496" s="40" t="str">
        <f>IF($H496="Percent",_xlfn.XLOOKUP($E496,$A$5:$A$8,$F$5:$F$8,""),"")</f>
        <v/>
      </c>
      <c r="J496" s="38">
        <f t="shared" si="57"/>
        <v>200</v>
      </c>
      <c r="K496" t="str">
        <f t="shared" si="58"/>
        <v>Per pay period</v>
      </c>
      <c r="L496" t="str">
        <f t="shared" si="59"/>
        <v>Every pay period (ongoing)</v>
      </c>
      <c r="M496" s="39">
        <f t="array" ref="M496">MAX(_xlfn.XLOOKUP($A496,TRIM(SUBSTITUTE('worker file'!$A$2:$A$406,_xlfn.UNICHAR(160)," ")),'worker file'!$M$2:$M$406,0),_xlfn.XLOOKUP($B496,TRIM('pay group &amp; schedule'!$A$2:$A$6),'pay group &amp; schedule'!$D$2:$D$6,0))</f>
        <v>46311</v>
      </c>
      <c r="N496" s="39">
        <f t="array" ref="N496">_xlfn.LET(_xlpm.t,_xlfn.XLOOKUP($A496,TRIM(SUBSTITUTE('worker file'!$A$2:$A$406,_xlfn.UNICHAR(160)," ")),'worker file'!$N$2:$N$406,""),IF(N(_xlpm.t)=0,"",_xlpm.t))</f>
        <v>46332</v>
      </c>
      <c r="O496" t="s">
        <v>644</v>
      </c>
    </row>
    <row r="497" spans="1:15" x14ac:dyDescent="0.2">
      <c r="A497" s="35" t="s">
        <v>273</v>
      </c>
      <c r="B497" s="36" t="str">
        <f t="array" ref="B497">_xlfn.XLOOKUP($A497,TRIM(SUBSTITUTE('worker file'!$A$2:$A$406,_xlfn.UNICHAR(160)," ")),'worker file'!$L$2:$L$406,"Not found")</f>
        <v>US Semi-monthly</v>
      </c>
      <c r="C497" s="36" t="str">
        <f t="array" ref="C497">_xlfn.XLOOKUP($A497,TRIM(SUBSTITUTE('worker file'!$A$2:$A$406,_xlfn.UNICHAR(160)," ")),'worker file'!$D$2:$D$406,"Not found")</f>
        <v>CA</v>
      </c>
      <c r="D497" s="36" t="str">
        <f t="array" ref="D497">_xlfn.XLOOKUP($A497,TRIM(SUBSTITUTE('worker file'!$A$2:$A$406,_xlfn.UNICHAR(160)," ")),'worker file'!$Q$2:$Q$406,"Not found")</f>
        <v>Termination pending</v>
      </c>
      <c r="E497" s="35" t="s">
        <v>632</v>
      </c>
      <c r="F497" t="str">
        <f t="shared" si="54"/>
        <v>Dental – Employee</v>
      </c>
      <c r="G497" t="str">
        <f t="shared" si="55"/>
        <v>Pre-tax Section 125 (exempt from FIT/SIT/FICA)</v>
      </c>
      <c r="H497" t="str">
        <f t="shared" si="56"/>
        <v>Flat</v>
      </c>
      <c r="I497" s="40" t="str">
        <f>IF($H497="Percent",_xlfn.XLOOKUP($E497,$A$5:$A$8,$F$5:$F$8,""),"")</f>
        <v/>
      </c>
      <c r="J497" s="38">
        <f t="shared" si="57"/>
        <v>44</v>
      </c>
      <c r="K497" t="str">
        <f t="shared" si="58"/>
        <v>Per pay period</v>
      </c>
      <c r="L497" t="str">
        <f t="shared" si="59"/>
        <v>Every pay period (ongoing)</v>
      </c>
      <c r="M497" s="39">
        <f t="array" ref="M497">MAX(_xlfn.XLOOKUP($A497,TRIM(SUBSTITUTE('worker file'!$A$2:$A$406,_xlfn.UNICHAR(160)," ")),'worker file'!$M$2:$M$406,0),_xlfn.XLOOKUP($B497,TRIM('pay group &amp; schedule'!$A$2:$A$6),'pay group &amp; schedule'!$D$2:$D$6,0))</f>
        <v>46311</v>
      </c>
      <c r="N497" s="39">
        <f t="array" ref="N497">_xlfn.LET(_xlpm.t,_xlfn.XLOOKUP($A497,TRIM(SUBSTITUTE('worker file'!$A$2:$A$406,_xlfn.UNICHAR(160)," ")),'worker file'!$N$2:$N$406,""),IF(N(_xlpm.t)=0,"",_xlpm.t))</f>
        <v>46332</v>
      </c>
      <c r="O497" t="s">
        <v>644</v>
      </c>
    </row>
    <row r="498" spans="1:15" x14ac:dyDescent="0.2">
      <c r="A498" s="35" t="s">
        <v>273</v>
      </c>
      <c r="B498" s="36" t="str">
        <f t="array" ref="B498">_xlfn.XLOOKUP($A498,TRIM(SUBSTITUTE('worker file'!$A$2:$A$406,_xlfn.UNICHAR(160)," ")),'worker file'!$L$2:$L$406,"Not found")</f>
        <v>US Semi-monthly</v>
      </c>
      <c r="C498" s="36" t="str">
        <f t="array" ref="C498">_xlfn.XLOOKUP($A498,TRIM(SUBSTITUTE('worker file'!$A$2:$A$406,_xlfn.UNICHAR(160)," ")),'worker file'!$D$2:$D$406,"Not found")</f>
        <v>CA</v>
      </c>
      <c r="D498" s="36" t="str">
        <f t="array" ref="D498">_xlfn.XLOOKUP($A498,TRIM(SUBSTITUTE('worker file'!$A$2:$A$406,_xlfn.UNICHAR(160)," ")),'worker file'!$Q$2:$Q$406,"Not found")</f>
        <v>Termination pending</v>
      </c>
      <c r="E498" s="35" t="s">
        <v>634</v>
      </c>
      <c r="F498" t="str">
        <f t="shared" si="54"/>
        <v>Vision – Employee</v>
      </c>
      <c r="G498" t="str">
        <f t="shared" si="55"/>
        <v>Pre-tax Section 125 (exempt from FIT/SIT/FICA)</v>
      </c>
      <c r="H498" t="str">
        <f t="shared" si="56"/>
        <v>Flat</v>
      </c>
      <c r="I498" s="40" t="str">
        <f>IF($H498="Percent",_xlfn.XLOOKUP($E498,$A$5:$A$8,$F$5:$F$8,""),"")</f>
        <v/>
      </c>
      <c r="J498" s="38">
        <f t="shared" si="57"/>
        <v>30</v>
      </c>
      <c r="K498" t="str">
        <f t="shared" si="58"/>
        <v>Per pay period</v>
      </c>
      <c r="L498" t="str">
        <f t="shared" si="59"/>
        <v>Every pay period (ongoing)</v>
      </c>
      <c r="M498" s="39">
        <f t="array" ref="M498">MAX(_xlfn.XLOOKUP($A498,TRIM(SUBSTITUTE('worker file'!$A$2:$A$406,_xlfn.UNICHAR(160)," ")),'worker file'!$M$2:$M$406,0),_xlfn.XLOOKUP($B498,TRIM('pay group &amp; schedule'!$A$2:$A$6),'pay group &amp; schedule'!$D$2:$D$6,0))</f>
        <v>46311</v>
      </c>
      <c r="N498" s="39">
        <f t="array" ref="N498">_xlfn.LET(_xlpm.t,_xlfn.XLOOKUP($A498,TRIM(SUBSTITUTE('worker file'!$A$2:$A$406,_xlfn.UNICHAR(160)," ")),'worker file'!$N$2:$N$406,""),IF(N(_xlpm.t)=0,"",_xlpm.t))</f>
        <v>46332</v>
      </c>
      <c r="O498" t="s">
        <v>644</v>
      </c>
    </row>
    <row r="499" spans="1:15" x14ac:dyDescent="0.2">
      <c r="A499" s="35" t="s">
        <v>274</v>
      </c>
      <c r="B499" s="36" t="str">
        <f t="array" ref="B499">_xlfn.XLOOKUP($A499,TRIM(SUBSTITUTE('worker file'!$A$2:$A$406,_xlfn.UNICHAR(160)," ")),'worker file'!$L$2:$L$406,"Not found")</f>
        <v>US Semi-monthly</v>
      </c>
      <c r="C499" s="36" t="str">
        <f t="array" ref="C499">_xlfn.XLOOKUP($A499,TRIM(SUBSTITUTE('worker file'!$A$2:$A$406,_xlfn.UNICHAR(160)," ")),'worker file'!$D$2:$D$406,"Not found")</f>
        <v>CA</v>
      </c>
      <c r="D499" s="36" t="str">
        <f t="array" ref="D499">_xlfn.XLOOKUP($A499,TRIM(SUBSTITUTE('worker file'!$A$2:$A$406,_xlfn.UNICHAR(160)," ")),'worker file'!$Q$2:$Q$406,"Not found")</f>
        <v>Active</v>
      </c>
      <c r="E499" s="35" t="s">
        <v>618</v>
      </c>
      <c r="F499" t="str">
        <f t="shared" si="54"/>
        <v>401(k) Employee Deferral</v>
      </c>
      <c r="G499" t="str">
        <f t="shared" si="55"/>
        <v>Pre-tax (exempt from FIT/SIT; subject to FICA)</v>
      </c>
      <c r="H499" t="str">
        <f t="shared" si="56"/>
        <v>Percent</v>
      </c>
      <c r="I499" s="37">
        <v>0.04</v>
      </c>
      <c r="J499" s="38" t="str">
        <f t="shared" si="57"/>
        <v/>
      </c>
      <c r="K499" t="str">
        <f t="shared" si="58"/>
        <v>Gross pay</v>
      </c>
      <c r="L499" t="str">
        <f t="shared" si="59"/>
        <v>Every pay period (ongoing)</v>
      </c>
      <c r="M499" s="39">
        <f t="array" ref="M499">MAX(_xlfn.XLOOKUP($A499,TRIM(SUBSTITUTE('worker file'!$A$2:$A$406,_xlfn.UNICHAR(160)," ")),'worker file'!$M$2:$M$406,0),_xlfn.XLOOKUP($B499,TRIM('pay group &amp; schedule'!$A$2:$A$6),'pay group &amp; schedule'!$D$2:$D$6,0))</f>
        <v>46311</v>
      </c>
      <c r="N499" s="39" t="str">
        <f t="array" ref="N499">_xlfn.LET(_xlpm.t,_xlfn.XLOOKUP($A499,TRIM(SUBSTITUTE('worker file'!$A$2:$A$406,_xlfn.UNICHAR(160)," ")),'worker file'!$N$2:$N$406,""),IF(N(_xlpm.t)=0,"",_xlpm.t))</f>
        <v/>
      </c>
    </row>
    <row r="500" spans="1:15" x14ac:dyDescent="0.2">
      <c r="A500" s="35" t="s">
        <v>274</v>
      </c>
      <c r="B500" s="36" t="str">
        <f t="array" ref="B500">_xlfn.XLOOKUP($A500,TRIM(SUBSTITUTE('worker file'!$A$2:$A$406,_xlfn.UNICHAR(160)," ")),'worker file'!$L$2:$L$406,"Not found")</f>
        <v>US Semi-monthly</v>
      </c>
      <c r="C500" s="36" t="str">
        <f t="array" ref="C500">_xlfn.XLOOKUP($A500,TRIM(SUBSTITUTE('worker file'!$A$2:$A$406,_xlfn.UNICHAR(160)," ")),'worker file'!$D$2:$D$406,"Not found")</f>
        <v>CA</v>
      </c>
      <c r="D500" s="36" t="str">
        <f t="array" ref="D500">_xlfn.XLOOKUP($A500,TRIM(SUBSTITUTE('worker file'!$A$2:$A$406,_xlfn.UNICHAR(160)," ")),'worker file'!$Q$2:$Q$406,"Not found")</f>
        <v>Active</v>
      </c>
      <c r="E500" s="35" t="s">
        <v>626</v>
      </c>
      <c r="F500" t="str">
        <f t="shared" si="54"/>
        <v>Medical (Health) – Employee</v>
      </c>
      <c r="G500" t="str">
        <f t="shared" si="55"/>
        <v>Pre-tax Section 125 (exempt from FIT/SIT/FICA)</v>
      </c>
      <c r="H500" t="str">
        <f t="shared" si="56"/>
        <v>Flat</v>
      </c>
      <c r="I500" s="40" t="str">
        <f>IF($H500="Percent",_xlfn.XLOOKUP($E500,$A$5:$A$8,$F$5:$F$8,""),"")</f>
        <v/>
      </c>
      <c r="J500" s="38">
        <f t="shared" si="57"/>
        <v>200</v>
      </c>
      <c r="K500" t="str">
        <f t="shared" si="58"/>
        <v>Per pay period</v>
      </c>
      <c r="L500" t="str">
        <f t="shared" si="59"/>
        <v>Every pay period (ongoing)</v>
      </c>
      <c r="M500" s="39">
        <f t="array" ref="M500">MAX(_xlfn.XLOOKUP($A500,TRIM(SUBSTITUTE('worker file'!$A$2:$A$406,_xlfn.UNICHAR(160)," ")),'worker file'!$M$2:$M$406,0),_xlfn.XLOOKUP($B500,TRIM('pay group &amp; schedule'!$A$2:$A$6),'pay group &amp; schedule'!$D$2:$D$6,0))</f>
        <v>46311</v>
      </c>
      <c r="N500" s="39" t="str">
        <f t="array" ref="N500">_xlfn.LET(_xlpm.t,_xlfn.XLOOKUP($A500,TRIM(SUBSTITUTE('worker file'!$A$2:$A$406,_xlfn.UNICHAR(160)," ")),'worker file'!$N$2:$N$406,""),IF(N(_xlpm.t)=0,"",_xlpm.t))</f>
        <v/>
      </c>
    </row>
    <row r="501" spans="1:15" x14ac:dyDescent="0.2">
      <c r="A501" s="35" t="s">
        <v>274</v>
      </c>
      <c r="B501" s="36" t="str">
        <f t="array" ref="B501">_xlfn.XLOOKUP($A501,TRIM(SUBSTITUTE('worker file'!$A$2:$A$406,_xlfn.UNICHAR(160)," ")),'worker file'!$L$2:$L$406,"Not found")</f>
        <v>US Semi-monthly</v>
      </c>
      <c r="C501" s="36" t="str">
        <f t="array" ref="C501">_xlfn.XLOOKUP($A501,TRIM(SUBSTITUTE('worker file'!$A$2:$A$406,_xlfn.UNICHAR(160)," ")),'worker file'!$D$2:$D$406,"Not found")</f>
        <v>CA</v>
      </c>
      <c r="D501" s="36" t="str">
        <f t="array" ref="D501">_xlfn.XLOOKUP($A501,TRIM(SUBSTITUTE('worker file'!$A$2:$A$406,_xlfn.UNICHAR(160)," ")),'worker file'!$Q$2:$Q$406,"Not found")</f>
        <v>Active</v>
      </c>
      <c r="E501" s="35" t="s">
        <v>632</v>
      </c>
      <c r="F501" t="str">
        <f t="shared" si="54"/>
        <v>Dental – Employee</v>
      </c>
      <c r="G501" t="str">
        <f t="shared" si="55"/>
        <v>Pre-tax Section 125 (exempt from FIT/SIT/FICA)</v>
      </c>
      <c r="H501" t="str">
        <f t="shared" si="56"/>
        <v>Flat</v>
      </c>
      <c r="I501" s="40" t="str">
        <f>IF($H501="Percent",_xlfn.XLOOKUP($E501,$A$5:$A$8,$F$5:$F$8,""),"")</f>
        <v/>
      </c>
      <c r="J501" s="38">
        <f t="shared" si="57"/>
        <v>44</v>
      </c>
      <c r="K501" t="str">
        <f t="shared" si="58"/>
        <v>Per pay period</v>
      </c>
      <c r="L501" t="str">
        <f t="shared" si="59"/>
        <v>Every pay period (ongoing)</v>
      </c>
      <c r="M501" s="39">
        <f t="array" ref="M501">MAX(_xlfn.XLOOKUP($A501,TRIM(SUBSTITUTE('worker file'!$A$2:$A$406,_xlfn.UNICHAR(160)," ")),'worker file'!$M$2:$M$406,0),_xlfn.XLOOKUP($B501,TRIM('pay group &amp; schedule'!$A$2:$A$6),'pay group &amp; schedule'!$D$2:$D$6,0))</f>
        <v>46311</v>
      </c>
      <c r="N501" s="39" t="str">
        <f t="array" ref="N501">_xlfn.LET(_xlpm.t,_xlfn.XLOOKUP($A501,TRIM(SUBSTITUTE('worker file'!$A$2:$A$406,_xlfn.UNICHAR(160)," ")),'worker file'!$N$2:$N$406,""),IF(N(_xlpm.t)=0,"",_xlpm.t))</f>
        <v/>
      </c>
    </row>
    <row r="502" spans="1:15" x14ac:dyDescent="0.2">
      <c r="A502" s="35" t="s">
        <v>274</v>
      </c>
      <c r="B502" s="36" t="str">
        <f t="array" ref="B502">_xlfn.XLOOKUP($A502,TRIM(SUBSTITUTE('worker file'!$A$2:$A$406,_xlfn.UNICHAR(160)," ")),'worker file'!$L$2:$L$406,"Not found")</f>
        <v>US Semi-monthly</v>
      </c>
      <c r="C502" s="36" t="str">
        <f t="array" ref="C502">_xlfn.XLOOKUP($A502,TRIM(SUBSTITUTE('worker file'!$A$2:$A$406,_xlfn.UNICHAR(160)," ")),'worker file'!$D$2:$D$406,"Not found")</f>
        <v>CA</v>
      </c>
      <c r="D502" s="36" t="str">
        <f t="array" ref="D502">_xlfn.XLOOKUP($A502,TRIM(SUBSTITUTE('worker file'!$A$2:$A$406,_xlfn.UNICHAR(160)," ")),'worker file'!$Q$2:$Q$406,"Not found")</f>
        <v>Active</v>
      </c>
      <c r="E502" s="35" t="s">
        <v>634</v>
      </c>
      <c r="F502" t="str">
        <f t="shared" si="54"/>
        <v>Vision – Employee</v>
      </c>
      <c r="G502" t="str">
        <f t="shared" si="55"/>
        <v>Pre-tax Section 125 (exempt from FIT/SIT/FICA)</v>
      </c>
      <c r="H502" t="str">
        <f t="shared" si="56"/>
        <v>Flat</v>
      </c>
      <c r="I502" s="40" t="str">
        <f>IF($H502="Percent",_xlfn.XLOOKUP($E502,$A$5:$A$8,$F$5:$F$8,""),"")</f>
        <v/>
      </c>
      <c r="J502" s="38">
        <f t="shared" si="57"/>
        <v>30</v>
      </c>
      <c r="K502" t="str">
        <f t="shared" si="58"/>
        <v>Per pay period</v>
      </c>
      <c r="L502" t="str">
        <f t="shared" si="59"/>
        <v>Every pay period (ongoing)</v>
      </c>
      <c r="M502" s="39">
        <f t="array" ref="M502">MAX(_xlfn.XLOOKUP($A502,TRIM(SUBSTITUTE('worker file'!$A$2:$A$406,_xlfn.UNICHAR(160)," ")),'worker file'!$M$2:$M$406,0),_xlfn.XLOOKUP($B502,TRIM('pay group &amp; schedule'!$A$2:$A$6),'pay group &amp; schedule'!$D$2:$D$6,0))</f>
        <v>46311</v>
      </c>
      <c r="N502" s="39" t="str">
        <f t="array" ref="N502">_xlfn.LET(_xlpm.t,_xlfn.XLOOKUP($A502,TRIM(SUBSTITUTE('worker file'!$A$2:$A$406,_xlfn.UNICHAR(160)," ")),'worker file'!$N$2:$N$406,""),IF(N(_xlpm.t)=0,"",_xlpm.t))</f>
        <v/>
      </c>
    </row>
    <row r="503" spans="1:15" x14ac:dyDescent="0.2">
      <c r="A503" s="35" t="s">
        <v>275</v>
      </c>
      <c r="B503" s="36" t="str">
        <f t="array" ref="B503">_xlfn.XLOOKUP($A503,TRIM(SUBSTITUTE('worker file'!$A$2:$A$406,_xlfn.UNICHAR(160)," ")),'worker file'!$L$2:$L$406,"Not found")</f>
        <v>US Semi-monthly</v>
      </c>
      <c r="C503" s="36" t="str">
        <f t="array" ref="C503">_xlfn.XLOOKUP($A503,TRIM(SUBSTITUTE('worker file'!$A$2:$A$406,_xlfn.UNICHAR(160)," ")),'worker file'!$D$2:$D$406,"Not found")</f>
        <v>CA</v>
      </c>
      <c r="D503" s="36" t="str">
        <f t="array" ref="D503">_xlfn.XLOOKUP($A503,TRIM(SUBSTITUTE('worker file'!$A$2:$A$406,_xlfn.UNICHAR(160)," ")),'worker file'!$Q$2:$Q$406,"Not found")</f>
        <v>Active</v>
      </c>
      <c r="E503" s="35" t="s">
        <v>618</v>
      </c>
      <c r="F503" t="str">
        <f t="shared" si="54"/>
        <v>401(k) Employee Deferral</v>
      </c>
      <c r="G503" t="str">
        <f t="shared" si="55"/>
        <v>Pre-tax (exempt from FIT/SIT; subject to FICA)</v>
      </c>
      <c r="H503" t="str">
        <f t="shared" si="56"/>
        <v>Percent</v>
      </c>
      <c r="I503" s="37">
        <v>0.01</v>
      </c>
      <c r="J503" s="38" t="str">
        <f t="shared" si="57"/>
        <v/>
      </c>
      <c r="K503" t="str">
        <f t="shared" si="58"/>
        <v>Gross pay</v>
      </c>
      <c r="L503" t="str">
        <f t="shared" si="59"/>
        <v>Every pay period (ongoing)</v>
      </c>
      <c r="M503" s="39">
        <f t="array" ref="M503">MAX(_xlfn.XLOOKUP($A503,TRIM(SUBSTITUTE('worker file'!$A$2:$A$406,_xlfn.UNICHAR(160)," ")),'worker file'!$M$2:$M$406,0),_xlfn.XLOOKUP($B503,TRIM('pay group &amp; schedule'!$A$2:$A$6),'pay group &amp; schedule'!$D$2:$D$6,0))</f>
        <v>46311</v>
      </c>
      <c r="N503" s="39" t="str">
        <f t="array" ref="N503">_xlfn.LET(_xlpm.t,_xlfn.XLOOKUP($A503,TRIM(SUBSTITUTE('worker file'!$A$2:$A$406,_xlfn.UNICHAR(160)," ")),'worker file'!$N$2:$N$406,""),IF(N(_xlpm.t)=0,"",_xlpm.t))</f>
        <v/>
      </c>
    </row>
    <row r="504" spans="1:15" x14ac:dyDescent="0.2">
      <c r="A504" s="35" t="s">
        <v>275</v>
      </c>
      <c r="B504" s="36" t="str">
        <f t="array" ref="B504">_xlfn.XLOOKUP($A504,TRIM(SUBSTITUTE('worker file'!$A$2:$A$406,_xlfn.UNICHAR(160)," ")),'worker file'!$L$2:$L$406,"Not found")</f>
        <v>US Semi-monthly</v>
      </c>
      <c r="C504" s="36" t="str">
        <f t="array" ref="C504">_xlfn.XLOOKUP($A504,TRIM(SUBSTITUTE('worker file'!$A$2:$A$406,_xlfn.UNICHAR(160)," ")),'worker file'!$D$2:$D$406,"Not found")</f>
        <v>CA</v>
      </c>
      <c r="D504" s="36" t="str">
        <f t="array" ref="D504">_xlfn.XLOOKUP($A504,TRIM(SUBSTITUTE('worker file'!$A$2:$A$406,_xlfn.UNICHAR(160)," ")),'worker file'!$Q$2:$Q$406,"Not found")</f>
        <v>Active</v>
      </c>
      <c r="E504" s="35" t="s">
        <v>626</v>
      </c>
      <c r="F504" t="str">
        <f t="shared" si="54"/>
        <v>Medical (Health) – Employee</v>
      </c>
      <c r="G504" t="str">
        <f t="shared" si="55"/>
        <v>Pre-tax Section 125 (exempt from FIT/SIT/FICA)</v>
      </c>
      <c r="H504" t="str">
        <f t="shared" si="56"/>
        <v>Flat</v>
      </c>
      <c r="I504" s="40" t="str">
        <f>IF($H504="Percent",_xlfn.XLOOKUP($E504,$A$5:$A$8,$F$5:$F$8,""),"")</f>
        <v/>
      </c>
      <c r="J504" s="38">
        <f t="shared" si="57"/>
        <v>200</v>
      </c>
      <c r="K504" t="str">
        <f t="shared" si="58"/>
        <v>Per pay period</v>
      </c>
      <c r="L504" t="str">
        <f t="shared" si="59"/>
        <v>Every pay period (ongoing)</v>
      </c>
      <c r="M504" s="39">
        <f t="array" ref="M504">MAX(_xlfn.XLOOKUP($A504,TRIM(SUBSTITUTE('worker file'!$A$2:$A$406,_xlfn.UNICHAR(160)," ")),'worker file'!$M$2:$M$406,0),_xlfn.XLOOKUP($B504,TRIM('pay group &amp; schedule'!$A$2:$A$6),'pay group &amp; schedule'!$D$2:$D$6,0))</f>
        <v>46311</v>
      </c>
      <c r="N504" s="39" t="str">
        <f t="array" ref="N504">_xlfn.LET(_xlpm.t,_xlfn.XLOOKUP($A504,TRIM(SUBSTITUTE('worker file'!$A$2:$A$406,_xlfn.UNICHAR(160)," ")),'worker file'!$N$2:$N$406,""),IF(N(_xlpm.t)=0,"",_xlpm.t))</f>
        <v/>
      </c>
    </row>
    <row r="505" spans="1:15" x14ac:dyDescent="0.2">
      <c r="A505" s="35" t="s">
        <v>275</v>
      </c>
      <c r="B505" s="36" t="str">
        <f t="array" ref="B505">_xlfn.XLOOKUP($A505,TRIM(SUBSTITUTE('worker file'!$A$2:$A$406,_xlfn.UNICHAR(160)," ")),'worker file'!$L$2:$L$406,"Not found")</f>
        <v>US Semi-monthly</v>
      </c>
      <c r="C505" s="36" t="str">
        <f t="array" ref="C505">_xlfn.XLOOKUP($A505,TRIM(SUBSTITUTE('worker file'!$A$2:$A$406,_xlfn.UNICHAR(160)," ")),'worker file'!$D$2:$D$406,"Not found")</f>
        <v>CA</v>
      </c>
      <c r="D505" s="36" t="str">
        <f t="array" ref="D505">_xlfn.XLOOKUP($A505,TRIM(SUBSTITUTE('worker file'!$A$2:$A$406,_xlfn.UNICHAR(160)," ")),'worker file'!$Q$2:$Q$406,"Not found")</f>
        <v>Active</v>
      </c>
      <c r="E505" s="35" t="s">
        <v>632</v>
      </c>
      <c r="F505" t="str">
        <f t="shared" si="54"/>
        <v>Dental – Employee</v>
      </c>
      <c r="G505" t="str">
        <f t="shared" si="55"/>
        <v>Pre-tax Section 125 (exempt from FIT/SIT/FICA)</v>
      </c>
      <c r="H505" t="str">
        <f t="shared" si="56"/>
        <v>Flat</v>
      </c>
      <c r="I505" s="40" t="str">
        <f>IF($H505="Percent",_xlfn.XLOOKUP($E505,$A$5:$A$8,$F$5:$F$8,""),"")</f>
        <v/>
      </c>
      <c r="J505" s="38">
        <f t="shared" si="57"/>
        <v>44</v>
      </c>
      <c r="K505" t="str">
        <f t="shared" si="58"/>
        <v>Per pay period</v>
      </c>
      <c r="L505" t="str">
        <f t="shared" si="59"/>
        <v>Every pay period (ongoing)</v>
      </c>
      <c r="M505" s="39">
        <f t="array" ref="M505">MAX(_xlfn.XLOOKUP($A505,TRIM(SUBSTITUTE('worker file'!$A$2:$A$406,_xlfn.UNICHAR(160)," ")),'worker file'!$M$2:$M$406,0),_xlfn.XLOOKUP($B505,TRIM('pay group &amp; schedule'!$A$2:$A$6),'pay group &amp; schedule'!$D$2:$D$6,0))</f>
        <v>46311</v>
      </c>
      <c r="N505" s="39" t="str">
        <f t="array" ref="N505">_xlfn.LET(_xlpm.t,_xlfn.XLOOKUP($A505,TRIM(SUBSTITUTE('worker file'!$A$2:$A$406,_xlfn.UNICHAR(160)," ")),'worker file'!$N$2:$N$406,""),IF(N(_xlpm.t)=0,"",_xlpm.t))</f>
        <v/>
      </c>
    </row>
    <row r="506" spans="1:15" x14ac:dyDescent="0.2">
      <c r="A506" s="35" t="s">
        <v>275</v>
      </c>
      <c r="B506" s="36" t="str">
        <f t="array" ref="B506">_xlfn.XLOOKUP($A506,TRIM(SUBSTITUTE('worker file'!$A$2:$A$406,_xlfn.UNICHAR(160)," ")),'worker file'!$L$2:$L$406,"Not found")</f>
        <v>US Semi-monthly</v>
      </c>
      <c r="C506" s="36" t="str">
        <f t="array" ref="C506">_xlfn.XLOOKUP($A506,TRIM(SUBSTITUTE('worker file'!$A$2:$A$406,_xlfn.UNICHAR(160)," ")),'worker file'!$D$2:$D$406,"Not found")</f>
        <v>CA</v>
      </c>
      <c r="D506" s="36" t="str">
        <f t="array" ref="D506">_xlfn.XLOOKUP($A506,TRIM(SUBSTITUTE('worker file'!$A$2:$A$406,_xlfn.UNICHAR(160)," ")),'worker file'!$Q$2:$Q$406,"Not found")</f>
        <v>Active</v>
      </c>
      <c r="E506" s="35" t="s">
        <v>634</v>
      </c>
      <c r="F506" t="str">
        <f t="shared" si="54"/>
        <v>Vision – Employee</v>
      </c>
      <c r="G506" t="str">
        <f t="shared" si="55"/>
        <v>Pre-tax Section 125 (exempt from FIT/SIT/FICA)</v>
      </c>
      <c r="H506" t="str">
        <f t="shared" si="56"/>
        <v>Flat</v>
      </c>
      <c r="I506" s="40" t="str">
        <f>IF($H506="Percent",_xlfn.XLOOKUP($E506,$A$5:$A$8,$F$5:$F$8,""),"")</f>
        <v/>
      </c>
      <c r="J506" s="38">
        <f t="shared" si="57"/>
        <v>30</v>
      </c>
      <c r="K506" t="str">
        <f t="shared" si="58"/>
        <v>Per pay period</v>
      </c>
      <c r="L506" t="str">
        <f t="shared" si="59"/>
        <v>Every pay period (ongoing)</v>
      </c>
      <c r="M506" s="39">
        <f t="array" ref="M506">MAX(_xlfn.XLOOKUP($A506,TRIM(SUBSTITUTE('worker file'!$A$2:$A$406,_xlfn.UNICHAR(160)," ")),'worker file'!$M$2:$M$406,0),_xlfn.XLOOKUP($B506,TRIM('pay group &amp; schedule'!$A$2:$A$6),'pay group &amp; schedule'!$D$2:$D$6,0))</f>
        <v>46311</v>
      </c>
      <c r="N506" s="39" t="str">
        <f t="array" ref="N506">_xlfn.LET(_xlpm.t,_xlfn.XLOOKUP($A506,TRIM(SUBSTITUTE('worker file'!$A$2:$A$406,_xlfn.UNICHAR(160)," ")),'worker file'!$N$2:$N$406,""),IF(N(_xlpm.t)=0,"",_xlpm.t))</f>
        <v/>
      </c>
    </row>
    <row r="507" spans="1:15" x14ac:dyDescent="0.2">
      <c r="A507" s="35" t="s">
        <v>278</v>
      </c>
      <c r="B507" s="36" t="str">
        <f t="array" ref="B507">_xlfn.XLOOKUP($A507,TRIM(SUBSTITUTE('worker file'!$A$2:$A$406,_xlfn.UNICHAR(160)," ")),'worker file'!$L$2:$L$406,"Not found")</f>
        <v>US Semi-monthly</v>
      </c>
      <c r="C507" s="36" t="str">
        <f t="array" ref="C507">_xlfn.XLOOKUP($A507,TRIM(SUBSTITUTE('worker file'!$A$2:$A$406,_xlfn.UNICHAR(160)," ")),'worker file'!$D$2:$D$406,"Not found")</f>
        <v>CA</v>
      </c>
      <c r="D507" s="36" t="str">
        <f t="array" ref="D507">_xlfn.XLOOKUP($A507,TRIM(SUBSTITUTE('worker file'!$A$2:$A$406,_xlfn.UNICHAR(160)," ")),'worker file'!$Q$2:$Q$406,"Not found")</f>
        <v>Active</v>
      </c>
      <c r="E507" s="35" t="s">
        <v>618</v>
      </c>
      <c r="F507" t="str">
        <f t="shared" si="54"/>
        <v>401(k) Employee Deferral</v>
      </c>
      <c r="G507" t="str">
        <f t="shared" si="55"/>
        <v>Pre-tax (exempt from FIT/SIT; subject to FICA)</v>
      </c>
      <c r="H507" t="str">
        <f t="shared" si="56"/>
        <v>Percent</v>
      </c>
      <c r="I507" s="37">
        <v>0.06</v>
      </c>
      <c r="J507" s="38" t="str">
        <f t="shared" si="57"/>
        <v/>
      </c>
      <c r="K507" t="str">
        <f t="shared" si="58"/>
        <v>Gross pay</v>
      </c>
      <c r="L507" t="str">
        <f t="shared" si="59"/>
        <v>Every pay period (ongoing)</v>
      </c>
      <c r="M507" s="39">
        <f t="array" ref="M507">MAX(_xlfn.XLOOKUP($A507,TRIM(SUBSTITUTE('worker file'!$A$2:$A$406,_xlfn.UNICHAR(160)," ")),'worker file'!$M$2:$M$406,0),_xlfn.XLOOKUP($B507,TRIM('pay group &amp; schedule'!$A$2:$A$6),'pay group &amp; schedule'!$D$2:$D$6,0))</f>
        <v>46311</v>
      </c>
      <c r="N507" s="39" t="str">
        <f t="array" ref="N507">_xlfn.LET(_xlpm.t,_xlfn.XLOOKUP($A507,TRIM(SUBSTITUTE('worker file'!$A$2:$A$406,_xlfn.UNICHAR(160)," ")),'worker file'!$N$2:$N$406,""),IF(N(_xlpm.t)=0,"",_xlpm.t))</f>
        <v/>
      </c>
    </row>
    <row r="508" spans="1:15" x14ac:dyDescent="0.2">
      <c r="A508" s="35" t="s">
        <v>278</v>
      </c>
      <c r="B508" s="36" t="str">
        <f t="array" ref="B508">_xlfn.XLOOKUP($A508,TRIM(SUBSTITUTE('worker file'!$A$2:$A$406,_xlfn.UNICHAR(160)," ")),'worker file'!$L$2:$L$406,"Not found")</f>
        <v>US Semi-monthly</v>
      </c>
      <c r="C508" s="36" t="str">
        <f t="array" ref="C508">_xlfn.XLOOKUP($A508,TRIM(SUBSTITUTE('worker file'!$A$2:$A$406,_xlfn.UNICHAR(160)," ")),'worker file'!$D$2:$D$406,"Not found")</f>
        <v>CA</v>
      </c>
      <c r="D508" s="36" t="str">
        <f t="array" ref="D508">_xlfn.XLOOKUP($A508,TRIM(SUBSTITUTE('worker file'!$A$2:$A$406,_xlfn.UNICHAR(160)," ")),'worker file'!$Q$2:$Q$406,"Not found")</f>
        <v>Active</v>
      </c>
      <c r="E508" s="35" t="s">
        <v>626</v>
      </c>
      <c r="F508" t="str">
        <f t="shared" si="54"/>
        <v>Medical (Health) – Employee</v>
      </c>
      <c r="G508" t="str">
        <f t="shared" si="55"/>
        <v>Pre-tax Section 125 (exempt from FIT/SIT/FICA)</v>
      </c>
      <c r="H508" t="str">
        <f t="shared" si="56"/>
        <v>Flat</v>
      </c>
      <c r="I508" s="40" t="str">
        <f>IF($H508="Percent",_xlfn.XLOOKUP($E508,$A$5:$A$8,$F$5:$F$8,""),"")</f>
        <v/>
      </c>
      <c r="J508" s="38">
        <f t="shared" si="57"/>
        <v>200</v>
      </c>
      <c r="K508" t="str">
        <f t="shared" si="58"/>
        <v>Per pay period</v>
      </c>
      <c r="L508" t="str">
        <f t="shared" si="59"/>
        <v>Every pay period (ongoing)</v>
      </c>
      <c r="M508" s="39">
        <f t="array" ref="M508">MAX(_xlfn.XLOOKUP($A508,TRIM(SUBSTITUTE('worker file'!$A$2:$A$406,_xlfn.UNICHAR(160)," ")),'worker file'!$M$2:$M$406,0),_xlfn.XLOOKUP($B508,TRIM('pay group &amp; schedule'!$A$2:$A$6),'pay group &amp; schedule'!$D$2:$D$6,0))</f>
        <v>46311</v>
      </c>
      <c r="N508" s="39" t="str">
        <f t="array" ref="N508">_xlfn.LET(_xlpm.t,_xlfn.XLOOKUP($A508,TRIM(SUBSTITUTE('worker file'!$A$2:$A$406,_xlfn.UNICHAR(160)," ")),'worker file'!$N$2:$N$406,""),IF(N(_xlpm.t)=0,"",_xlpm.t))</f>
        <v/>
      </c>
    </row>
    <row r="509" spans="1:15" x14ac:dyDescent="0.2">
      <c r="A509" s="35" t="s">
        <v>278</v>
      </c>
      <c r="B509" s="36" t="str">
        <f t="array" ref="B509">_xlfn.XLOOKUP($A509,TRIM(SUBSTITUTE('worker file'!$A$2:$A$406,_xlfn.UNICHAR(160)," ")),'worker file'!$L$2:$L$406,"Not found")</f>
        <v>US Semi-monthly</v>
      </c>
      <c r="C509" s="36" t="str">
        <f t="array" ref="C509">_xlfn.XLOOKUP($A509,TRIM(SUBSTITUTE('worker file'!$A$2:$A$406,_xlfn.UNICHAR(160)," ")),'worker file'!$D$2:$D$406,"Not found")</f>
        <v>CA</v>
      </c>
      <c r="D509" s="36" t="str">
        <f t="array" ref="D509">_xlfn.XLOOKUP($A509,TRIM(SUBSTITUTE('worker file'!$A$2:$A$406,_xlfn.UNICHAR(160)," ")),'worker file'!$Q$2:$Q$406,"Not found")</f>
        <v>Active</v>
      </c>
      <c r="E509" s="35" t="s">
        <v>632</v>
      </c>
      <c r="F509" t="str">
        <f t="shared" si="54"/>
        <v>Dental – Employee</v>
      </c>
      <c r="G509" t="str">
        <f t="shared" si="55"/>
        <v>Pre-tax Section 125 (exempt from FIT/SIT/FICA)</v>
      </c>
      <c r="H509" t="str">
        <f t="shared" si="56"/>
        <v>Flat</v>
      </c>
      <c r="I509" s="40" t="str">
        <f>IF($H509="Percent",_xlfn.XLOOKUP($E509,$A$5:$A$8,$F$5:$F$8,""),"")</f>
        <v/>
      </c>
      <c r="J509" s="38">
        <f t="shared" si="57"/>
        <v>44</v>
      </c>
      <c r="K509" t="str">
        <f t="shared" si="58"/>
        <v>Per pay period</v>
      </c>
      <c r="L509" t="str">
        <f t="shared" si="59"/>
        <v>Every pay period (ongoing)</v>
      </c>
      <c r="M509" s="39">
        <f t="array" ref="M509">MAX(_xlfn.XLOOKUP($A509,TRIM(SUBSTITUTE('worker file'!$A$2:$A$406,_xlfn.UNICHAR(160)," ")),'worker file'!$M$2:$M$406,0),_xlfn.XLOOKUP($B509,TRIM('pay group &amp; schedule'!$A$2:$A$6),'pay group &amp; schedule'!$D$2:$D$6,0))</f>
        <v>46311</v>
      </c>
      <c r="N509" s="39" t="str">
        <f t="array" ref="N509">_xlfn.LET(_xlpm.t,_xlfn.XLOOKUP($A509,TRIM(SUBSTITUTE('worker file'!$A$2:$A$406,_xlfn.UNICHAR(160)," ")),'worker file'!$N$2:$N$406,""),IF(N(_xlpm.t)=0,"",_xlpm.t))</f>
        <v/>
      </c>
    </row>
    <row r="510" spans="1:15" x14ac:dyDescent="0.2">
      <c r="A510" s="35" t="s">
        <v>278</v>
      </c>
      <c r="B510" s="36" t="str">
        <f t="array" ref="B510">_xlfn.XLOOKUP($A510,TRIM(SUBSTITUTE('worker file'!$A$2:$A$406,_xlfn.UNICHAR(160)," ")),'worker file'!$L$2:$L$406,"Not found")</f>
        <v>US Semi-monthly</v>
      </c>
      <c r="C510" s="36" t="str">
        <f t="array" ref="C510">_xlfn.XLOOKUP($A510,TRIM(SUBSTITUTE('worker file'!$A$2:$A$406,_xlfn.UNICHAR(160)," ")),'worker file'!$D$2:$D$406,"Not found")</f>
        <v>CA</v>
      </c>
      <c r="D510" s="36" t="str">
        <f t="array" ref="D510">_xlfn.XLOOKUP($A510,TRIM(SUBSTITUTE('worker file'!$A$2:$A$406,_xlfn.UNICHAR(160)," ")),'worker file'!$Q$2:$Q$406,"Not found")</f>
        <v>Active</v>
      </c>
      <c r="E510" s="35" t="s">
        <v>634</v>
      </c>
      <c r="F510" t="str">
        <f t="shared" si="54"/>
        <v>Vision – Employee</v>
      </c>
      <c r="G510" t="str">
        <f t="shared" si="55"/>
        <v>Pre-tax Section 125 (exempt from FIT/SIT/FICA)</v>
      </c>
      <c r="H510" t="str">
        <f t="shared" si="56"/>
        <v>Flat</v>
      </c>
      <c r="I510" s="40" t="str">
        <f>IF($H510="Percent",_xlfn.XLOOKUP($E510,$A$5:$A$8,$F$5:$F$8,""),"")</f>
        <v/>
      </c>
      <c r="J510" s="38">
        <f t="shared" si="57"/>
        <v>30</v>
      </c>
      <c r="K510" t="str">
        <f t="shared" si="58"/>
        <v>Per pay period</v>
      </c>
      <c r="L510" t="str">
        <f t="shared" si="59"/>
        <v>Every pay period (ongoing)</v>
      </c>
      <c r="M510" s="39">
        <f t="array" ref="M510">MAX(_xlfn.XLOOKUP($A510,TRIM(SUBSTITUTE('worker file'!$A$2:$A$406,_xlfn.UNICHAR(160)," ")),'worker file'!$M$2:$M$406,0),_xlfn.XLOOKUP($B510,TRIM('pay group &amp; schedule'!$A$2:$A$6),'pay group &amp; schedule'!$D$2:$D$6,0))</f>
        <v>46311</v>
      </c>
      <c r="N510" s="39" t="str">
        <f t="array" ref="N510">_xlfn.LET(_xlpm.t,_xlfn.XLOOKUP($A510,TRIM(SUBSTITUTE('worker file'!$A$2:$A$406,_xlfn.UNICHAR(160)," ")),'worker file'!$N$2:$N$406,""),IF(N(_xlpm.t)=0,"",_xlpm.t))</f>
        <v/>
      </c>
    </row>
    <row r="511" spans="1:15" x14ac:dyDescent="0.2">
      <c r="A511" s="35" t="s">
        <v>279</v>
      </c>
      <c r="B511" s="36" t="str">
        <f t="array" ref="B511">_xlfn.XLOOKUP($A511,TRIM(SUBSTITUTE('worker file'!$A$2:$A$406,_xlfn.UNICHAR(160)," ")),'worker file'!$L$2:$L$406,"Not found")</f>
        <v>US Biweekly</v>
      </c>
      <c r="C511" s="36" t="str">
        <f t="array" ref="C511">_xlfn.XLOOKUP($A511,TRIM(SUBSTITUTE('worker file'!$A$2:$A$406,_xlfn.UNICHAR(160)," ")),'worker file'!$D$2:$D$406,"Not found")</f>
        <v>TX</v>
      </c>
      <c r="D511" s="36" t="str">
        <f t="array" ref="D511">_xlfn.XLOOKUP($A511,TRIM(SUBSTITUTE('worker file'!$A$2:$A$406,_xlfn.UNICHAR(160)," ")),'worker file'!$Q$2:$Q$406,"Not found")</f>
        <v>Active</v>
      </c>
      <c r="E511" s="35" t="s">
        <v>618</v>
      </c>
      <c r="F511" t="str">
        <f t="shared" si="54"/>
        <v>401(k) Employee Deferral</v>
      </c>
      <c r="G511" t="str">
        <f t="shared" si="55"/>
        <v>Pre-tax (exempt from FIT/SIT; subject to FICA)</v>
      </c>
      <c r="H511" t="str">
        <f t="shared" si="56"/>
        <v>Percent</v>
      </c>
      <c r="I511" s="37">
        <v>0.03</v>
      </c>
      <c r="J511" s="38" t="str">
        <f t="shared" si="57"/>
        <v/>
      </c>
      <c r="K511" t="str">
        <f t="shared" si="58"/>
        <v>Gross pay</v>
      </c>
      <c r="L511" t="str">
        <f t="shared" si="59"/>
        <v>Every pay period (ongoing)</v>
      </c>
      <c r="M511" s="39">
        <f t="array" ref="M511">MAX(_xlfn.XLOOKUP($A511,TRIM(SUBSTITUTE('worker file'!$A$2:$A$406,_xlfn.UNICHAR(160)," ")),'worker file'!$M$2:$M$406,0),_xlfn.XLOOKUP($B511,TRIM('pay group &amp; schedule'!$A$2:$A$6),'pay group &amp; schedule'!$D$2:$D$6,0))</f>
        <v>46299</v>
      </c>
      <c r="N511" s="39" t="str">
        <f t="array" ref="N511">_xlfn.LET(_xlpm.t,_xlfn.XLOOKUP($A511,TRIM(SUBSTITUTE('worker file'!$A$2:$A$406,_xlfn.UNICHAR(160)," ")),'worker file'!$N$2:$N$406,""),IF(N(_xlpm.t)=0,"",_xlpm.t))</f>
        <v/>
      </c>
    </row>
    <row r="512" spans="1:15" x14ac:dyDescent="0.2">
      <c r="A512" s="35" t="s">
        <v>279</v>
      </c>
      <c r="B512" s="36" t="str">
        <f t="array" ref="B512">_xlfn.XLOOKUP($A512,TRIM(SUBSTITUTE('worker file'!$A$2:$A$406,_xlfn.UNICHAR(160)," ")),'worker file'!$L$2:$L$406,"Not found")</f>
        <v>US Biweekly</v>
      </c>
      <c r="C512" s="36" t="str">
        <f t="array" ref="C512">_xlfn.XLOOKUP($A512,TRIM(SUBSTITUTE('worker file'!$A$2:$A$406,_xlfn.UNICHAR(160)," ")),'worker file'!$D$2:$D$406,"Not found")</f>
        <v>TX</v>
      </c>
      <c r="D512" s="36" t="str">
        <f t="array" ref="D512">_xlfn.XLOOKUP($A512,TRIM(SUBSTITUTE('worker file'!$A$2:$A$406,_xlfn.UNICHAR(160)," ")),'worker file'!$Q$2:$Q$406,"Not found")</f>
        <v>Active</v>
      </c>
      <c r="E512" s="35" t="s">
        <v>626</v>
      </c>
      <c r="F512" t="str">
        <f t="shared" si="54"/>
        <v>Medical (Health) – Employee</v>
      </c>
      <c r="G512" t="str">
        <f t="shared" si="55"/>
        <v>Pre-tax Section 125 (exempt from FIT/SIT/FICA)</v>
      </c>
      <c r="H512" t="str">
        <f t="shared" si="56"/>
        <v>Flat</v>
      </c>
      <c r="I512" s="40" t="str">
        <f>IF($H512="Percent",_xlfn.XLOOKUP($E512,$A$5:$A$8,$F$5:$F$8,""),"")</f>
        <v/>
      </c>
      <c r="J512" s="38">
        <f t="shared" si="57"/>
        <v>200</v>
      </c>
      <c r="K512" t="str">
        <f t="shared" si="58"/>
        <v>Per pay period</v>
      </c>
      <c r="L512" t="str">
        <f t="shared" si="59"/>
        <v>Every pay period (ongoing)</v>
      </c>
      <c r="M512" s="39">
        <f t="array" ref="M512">MAX(_xlfn.XLOOKUP($A512,TRIM(SUBSTITUTE('worker file'!$A$2:$A$406,_xlfn.UNICHAR(160)," ")),'worker file'!$M$2:$M$406,0),_xlfn.XLOOKUP($B512,TRIM('pay group &amp; schedule'!$A$2:$A$6),'pay group &amp; schedule'!$D$2:$D$6,0))</f>
        <v>46299</v>
      </c>
      <c r="N512" s="39" t="str">
        <f t="array" ref="N512">_xlfn.LET(_xlpm.t,_xlfn.XLOOKUP($A512,TRIM(SUBSTITUTE('worker file'!$A$2:$A$406,_xlfn.UNICHAR(160)," ")),'worker file'!$N$2:$N$406,""),IF(N(_xlpm.t)=0,"",_xlpm.t))</f>
        <v/>
      </c>
    </row>
    <row r="513" spans="1:15" x14ac:dyDescent="0.2">
      <c r="A513" s="35" t="s">
        <v>279</v>
      </c>
      <c r="B513" s="36" t="str">
        <f t="array" ref="B513">_xlfn.XLOOKUP($A513,TRIM(SUBSTITUTE('worker file'!$A$2:$A$406,_xlfn.UNICHAR(160)," ")),'worker file'!$L$2:$L$406,"Not found")</f>
        <v>US Biweekly</v>
      </c>
      <c r="C513" s="36" t="str">
        <f t="array" ref="C513">_xlfn.XLOOKUP($A513,TRIM(SUBSTITUTE('worker file'!$A$2:$A$406,_xlfn.UNICHAR(160)," ")),'worker file'!$D$2:$D$406,"Not found")</f>
        <v>TX</v>
      </c>
      <c r="D513" s="36" t="str">
        <f t="array" ref="D513">_xlfn.XLOOKUP($A513,TRIM(SUBSTITUTE('worker file'!$A$2:$A$406,_xlfn.UNICHAR(160)," ")),'worker file'!$Q$2:$Q$406,"Not found")</f>
        <v>Active</v>
      </c>
      <c r="E513" s="35" t="s">
        <v>632</v>
      </c>
      <c r="F513" t="str">
        <f t="shared" si="54"/>
        <v>Dental – Employee</v>
      </c>
      <c r="G513" t="str">
        <f t="shared" si="55"/>
        <v>Pre-tax Section 125 (exempt from FIT/SIT/FICA)</v>
      </c>
      <c r="H513" t="str">
        <f t="shared" si="56"/>
        <v>Flat</v>
      </c>
      <c r="I513" s="40" t="str">
        <f>IF($H513="Percent",_xlfn.XLOOKUP($E513,$A$5:$A$8,$F$5:$F$8,""),"")</f>
        <v/>
      </c>
      <c r="J513" s="38">
        <f t="shared" si="57"/>
        <v>44</v>
      </c>
      <c r="K513" t="str">
        <f t="shared" si="58"/>
        <v>Per pay period</v>
      </c>
      <c r="L513" t="str">
        <f t="shared" si="59"/>
        <v>Every pay period (ongoing)</v>
      </c>
      <c r="M513" s="39">
        <f t="array" ref="M513">MAX(_xlfn.XLOOKUP($A513,TRIM(SUBSTITUTE('worker file'!$A$2:$A$406,_xlfn.UNICHAR(160)," ")),'worker file'!$M$2:$M$406,0),_xlfn.XLOOKUP($B513,TRIM('pay group &amp; schedule'!$A$2:$A$6),'pay group &amp; schedule'!$D$2:$D$6,0))</f>
        <v>46299</v>
      </c>
      <c r="N513" s="39" t="str">
        <f t="array" ref="N513">_xlfn.LET(_xlpm.t,_xlfn.XLOOKUP($A513,TRIM(SUBSTITUTE('worker file'!$A$2:$A$406,_xlfn.UNICHAR(160)," ")),'worker file'!$N$2:$N$406,""),IF(N(_xlpm.t)=0,"",_xlpm.t))</f>
        <v/>
      </c>
    </row>
    <row r="514" spans="1:15" x14ac:dyDescent="0.2">
      <c r="A514" s="35" t="s">
        <v>279</v>
      </c>
      <c r="B514" s="36" t="str">
        <f t="array" ref="B514">_xlfn.XLOOKUP($A514,TRIM(SUBSTITUTE('worker file'!$A$2:$A$406,_xlfn.UNICHAR(160)," ")),'worker file'!$L$2:$L$406,"Not found")</f>
        <v>US Biweekly</v>
      </c>
      <c r="C514" s="36" t="str">
        <f t="array" ref="C514">_xlfn.XLOOKUP($A514,TRIM(SUBSTITUTE('worker file'!$A$2:$A$406,_xlfn.UNICHAR(160)," ")),'worker file'!$D$2:$D$406,"Not found")</f>
        <v>TX</v>
      </c>
      <c r="D514" s="36" t="str">
        <f t="array" ref="D514">_xlfn.XLOOKUP($A514,TRIM(SUBSTITUTE('worker file'!$A$2:$A$406,_xlfn.UNICHAR(160)," ")),'worker file'!$Q$2:$Q$406,"Not found")</f>
        <v>Active</v>
      </c>
      <c r="E514" s="35" t="s">
        <v>634</v>
      </c>
      <c r="F514" t="str">
        <f t="shared" si="54"/>
        <v>Vision – Employee</v>
      </c>
      <c r="G514" t="str">
        <f t="shared" si="55"/>
        <v>Pre-tax Section 125 (exempt from FIT/SIT/FICA)</v>
      </c>
      <c r="H514" t="str">
        <f t="shared" si="56"/>
        <v>Flat</v>
      </c>
      <c r="I514" s="40" t="str">
        <f>IF($H514="Percent",_xlfn.XLOOKUP($E514,$A$5:$A$8,$F$5:$F$8,""),"")</f>
        <v/>
      </c>
      <c r="J514" s="38">
        <f t="shared" si="57"/>
        <v>30</v>
      </c>
      <c r="K514" t="str">
        <f t="shared" si="58"/>
        <v>Per pay period</v>
      </c>
      <c r="L514" t="str">
        <f t="shared" si="59"/>
        <v>Every pay period (ongoing)</v>
      </c>
      <c r="M514" s="39">
        <f t="array" ref="M514">MAX(_xlfn.XLOOKUP($A514,TRIM(SUBSTITUTE('worker file'!$A$2:$A$406,_xlfn.UNICHAR(160)," ")),'worker file'!$M$2:$M$406,0),_xlfn.XLOOKUP($B514,TRIM('pay group &amp; schedule'!$A$2:$A$6),'pay group &amp; schedule'!$D$2:$D$6,0))</f>
        <v>46299</v>
      </c>
      <c r="N514" s="39" t="str">
        <f t="array" ref="N514">_xlfn.LET(_xlpm.t,_xlfn.XLOOKUP($A514,TRIM(SUBSTITUTE('worker file'!$A$2:$A$406,_xlfn.UNICHAR(160)," ")),'worker file'!$N$2:$N$406,""),IF(N(_xlpm.t)=0,"",_xlpm.t))</f>
        <v/>
      </c>
    </row>
    <row r="515" spans="1:15" x14ac:dyDescent="0.2">
      <c r="A515" s="35" t="s">
        <v>280</v>
      </c>
      <c r="B515" s="36" t="str">
        <f t="array" ref="B515">_xlfn.XLOOKUP($A515,TRIM(SUBSTITUTE('worker file'!$A$2:$A$406,_xlfn.UNICHAR(160)," ")),'worker file'!$L$2:$L$406,"Not found")</f>
        <v>US Semi-monthly</v>
      </c>
      <c r="C515" s="36" t="str">
        <f t="array" ref="C515">_xlfn.XLOOKUP($A515,TRIM(SUBSTITUTE('worker file'!$A$2:$A$406,_xlfn.UNICHAR(160)," ")),'worker file'!$D$2:$D$406,"Not found")</f>
        <v>WA</v>
      </c>
      <c r="D515" s="36" t="str">
        <f t="array" ref="D515">_xlfn.XLOOKUP($A515,TRIM(SUBSTITUTE('worker file'!$A$2:$A$406,_xlfn.UNICHAR(160)," ")),'worker file'!$Q$2:$Q$406,"Not found")</f>
        <v>Active</v>
      </c>
      <c r="E515" s="35" t="s">
        <v>618</v>
      </c>
      <c r="F515" t="str">
        <f t="shared" si="54"/>
        <v>401(k) Employee Deferral</v>
      </c>
      <c r="G515" t="str">
        <f t="shared" si="55"/>
        <v>Pre-tax (exempt from FIT/SIT; subject to FICA)</v>
      </c>
      <c r="H515" t="str">
        <f t="shared" si="56"/>
        <v>Percent</v>
      </c>
      <c r="I515" s="37">
        <v>0</v>
      </c>
      <c r="J515" s="38" t="str">
        <f t="shared" si="57"/>
        <v/>
      </c>
      <c r="K515" t="str">
        <f t="shared" si="58"/>
        <v>Gross pay</v>
      </c>
      <c r="L515" t="str">
        <f t="shared" si="59"/>
        <v>Every pay period (ongoing)</v>
      </c>
      <c r="M515" s="39">
        <f t="array" ref="M515">MAX(_xlfn.XLOOKUP($A515,TRIM(SUBSTITUTE('worker file'!$A$2:$A$406,_xlfn.UNICHAR(160)," ")),'worker file'!$M$2:$M$406,0),_xlfn.XLOOKUP($B515,TRIM('pay group &amp; schedule'!$A$2:$A$6),'pay group &amp; schedule'!$D$2:$D$6,0))</f>
        <v>46311</v>
      </c>
      <c r="N515" s="39" t="str">
        <f t="array" ref="N515">_xlfn.LET(_xlpm.t,_xlfn.XLOOKUP($A515,TRIM(SUBSTITUTE('worker file'!$A$2:$A$406,_xlfn.UNICHAR(160)," ")),'worker file'!$N$2:$N$406,""),IF(N(_xlpm.t)=0,"",_xlpm.t))</f>
        <v/>
      </c>
    </row>
    <row r="516" spans="1:15" x14ac:dyDescent="0.2">
      <c r="A516" s="35" t="s">
        <v>280</v>
      </c>
      <c r="B516" s="36" t="str">
        <f t="array" ref="B516">_xlfn.XLOOKUP($A516,TRIM(SUBSTITUTE('worker file'!$A$2:$A$406,_xlfn.UNICHAR(160)," ")),'worker file'!$L$2:$L$406,"Not found")</f>
        <v>US Semi-monthly</v>
      </c>
      <c r="C516" s="36" t="str">
        <f t="array" ref="C516">_xlfn.XLOOKUP($A516,TRIM(SUBSTITUTE('worker file'!$A$2:$A$406,_xlfn.UNICHAR(160)," ")),'worker file'!$D$2:$D$406,"Not found")</f>
        <v>WA</v>
      </c>
      <c r="D516" s="36" t="str">
        <f t="array" ref="D516">_xlfn.XLOOKUP($A516,TRIM(SUBSTITUTE('worker file'!$A$2:$A$406,_xlfn.UNICHAR(160)," ")),'worker file'!$Q$2:$Q$406,"Not found")</f>
        <v>Active</v>
      </c>
      <c r="E516" s="35" t="s">
        <v>626</v>
      </c>
      <c r="F516" t="str">
        <f t="shared" si="54"/>
        <v>Medical (Health) – Employee</v>
      </c>
      <c r="G516" t="str">
        <f t="shared" si="55"/>
        <v>Pre-tax Section 125 (exempt from FIT/SIT/FICA)</v>
      </c>
      <c r="H516" t="str">
        <f t="shared" si="56"/>
        <v>Flat</v>
      </c>
      <c r="I516" s="40" t="str">
        <f>IF($H516="Percent",_xlfn.XLOOKUP($E516,$A$5:$A$8,$F$5:$F$8,""),"")</f>
        <v/>
      </c>
      <c r="J516" s="38">
        <f t="shared" si="57"/>
        <v>200</v>
      </c>
      <c r="K516" t="str">
        <f t="shared" si="58"/>
        <v>Per pay period</v>
      </c>
      <c r="L516" t="str">
        <f t="shared" si="59"/>
        <v>Every pay period (ongoing)</v>
      </c>
      <c r="M516" s="39">
        <f t="array" ref="M516">MAX(_xlfn.XLOOKUP($A516,TRIM(SUBSTITUTE('worker file'!$A$2:$A$406,_xlfn.UNICHAR(160)," ")),'worker file'!$M$2:$M$406,0),_xlfn.XLOOKUP($B516,TRIM('pay group &amp; schedule'!$A$2:$A$6),'pay group &amp; schedule'!$D$2:$D$6,0))</f>
        <v>46311</v>
      </c>
      <c r="N516" s="39" t="str">
        <f t="array" ref="N516">_xlfn.LET(_xlpm.t,_xlfn.XLOOKUP($A516,TRIM(SUBSTITUTE('worker file'!$A$2:$A$406,_xlfn.UNICHAR(160)," ")),'worker file'!$N$2:$N$406,""),IF(N(_xlpm.t)=0,"",_xlpm.t))</f>
        <v/>
      </c>
    </row>
    <row r="517" spans="1:15" x14ac:dyDescent="0.2">
      <c r="A517" s="35" t="s">
        <v>280</v>
      </c>
      <c r="B517" s="36" t="str">
        <f t="array" ref="B517">_xlfn.XLOOKUP($A517,TRIM(SUBSTITUTE('worker file'!$A$2:$A$406,_xlfn.UNICHAR(160)," ")),'worker file'!$L$2:$L$406,"Not found")</f>
        <v>US Semi-monthly</v>
      </c>
      <c r="C517" s="36" t="str">
        <f t="array" ref="C517">_xlfn.XLOOKUP($A517,TRIM(SUBSTITUTE('worker file'!$A$2:$A$406,_xlfn.UNICHAR(160)," ")),'worker file'!$D$2:$D$406,"Not found")</f>
        <v>WA</v>
      </c>
      <c r="D517" s="36" t="str">
        <f t="array" ref="D517">_xlfn.XLOOKUP($A517,TRIM(SUBSTITUTE('worker file'!$A$2:$A$406,_xlfn.UNICHAR(160)," ")),'worker file'!$Q$2:$Q$406,"Not found")</f>
        <v>Active</v>
      </c>
      <c r="E517" s="35" t="s">
        <v>632</v>
      </c>
      <c r="F517" t="str">
        <f t="shared" si="54"/>
        <v>Dental – Employee</v>
      </c>
      <c r="G517" t="str">
        <f t="shared" si="55"/>
        <v>Pre-tax Section 125 (exempt from FIT/SIT/FICA)</v>
      </c>
      <c r="H517" t="str">
        <f t="shared" si="56"/>
        <v>Flat</v>
      </c>
      <c r="I517" s="40" t="str">
        <f>IF($H517="Percent",_xlfn.XLOOKUP($E517,$A$5:$A$8,$F$5:$F$8,""),"")</f>
        <v/>
      </c>
      <c r="J517" s="38">
        <f t="shared" si="57"/>
        <v>44</v>
      </c>
      <c r="K517" t="str">
        <f t="shared" si="58"/>
        <v>Per pay period</v>
      </c>
      <c r="L517" t="str">
        <f t="shared" si="59"/>
        <v>Every pay period (ongoing)</v>
      </c>
      <c r="M517" s="39">
        <f t="array" ref="M517">MAX(_xlfn.XLOOKUP($A517,TRIM(SUBSTITUTE('worker file'!$A$2:$A$406,_xlfn.UNICHAR(160)," ")),'worker file'!$M$2:$M$406,0),_xlfn.XLOOKUP($B517,TRIM('pay group &amp; schedule'!$A$2:$A$6),'pay group &amp; schedule'!$D$2:$D$6,0))</f>
        <v>46311</v>
      </c>
      <c r="N517" s="39" t="str">
        <f t="array" ref="N517">_xlfn.LET(_xlpm.t,_xlfn.XLOOKUP($A517,TRIM(SUBSTITUTE('worker file'!$A$2:$A$406,_xlfn.UNICHAR(160)," ")),'worker file'!$N$2:$N$406,""),IF(N(_xlpm.t)=0,"",_xlpm.t))</f>
        <v/>
      </c>
    </row>
    <row r="518" spans="1:15" x14ac:dyDescent="0.2">
      <c r="A518" s="35" t="s">
        <v>280</v>
      </c>
      <c r="B518" s="36" t="str">
        <f t="array" ref="B518">_xlfn.XLOOKUP($A518,TRIM(SUBSTITUTE('worker file'!$A$2:$A$406,_xlfn.UNICHAR(160)," ")),'worker file'!$L$2:$L$406,"Not found")</f>
        <v>US Semi-monthly</v>
      </c>
      <c r="C518" s="36" t="str">
        <f t="array" ref="C518">_xlfn.XLOOKUP($A518,TRIM(SUBSTITUTE('worker file'!$A$2:$A$406,_xlfn.UNICHAR(160)," ")),'worker file'!$D$2:$D$406,"Not found")</f>
        <v>WA</v>
      </c>
      <c r="D518" s="36" t="str">
        <f t="array" ref="D518">_xlfn.XLOOKUP($A518,TRIM(SUBSTITUTE('worker file'!$A$2:$A$406,_xlfn.UNICHAR(160)," ")),'worker file'!$Q$2:$Q$406,"Not found")</f>
        <v>Active</v>
      </c>
      <c r="E518" s="35" t="s">
        <v>634</v>
      </c>
      <c r="F518" t="str">
        <f t="shared" si="54"/>
        <v>Vision – Employee</v>
      </c>
      <c r="G518" t="str">
        <f t="shared" si="55"/>
        <v>Pre-tax Section 125 (exempt from FIT/SIT/FICA)</v>
      </c>
      <c r="H518" t="str">
        <f t="shared" si="56"/>
        <v>Flat</v>
      </c>
      <c r="I518" s="40" t="str">
        <f>IF($H518="Percent",_xlfn.XLOOKUP($E518,$A$5:$A$8,$F$5:$F$8,""),"")</f>
        <v/>
      </c>
      <c r="J518" s="38">
        <f t="shared" si="57"/>
        <v>30</v>
      </c>
      <c r="K518" t="str">
        <f t="shared" si="58"/>
        <v>Per pay period</v>
      </c>
      <c r="L518" t="str">
        <f t="shared" si="59"/>
        <v>Every pay period (ongoing)</v>
      </c>
      <c r="M518" s="39">
        <f t="array" ref="M518">MAX(_xlfn.XLOOKUP($A518,TRIM(SUBSTITUTE('worker file'!$A$2:$A$406,_xlfn.UNICHAR(160)," ")),'worker file'!$M$2:$M$406,0),_xlfn.XLOOKUP($B518,TRIM('pay group &amp; schedule'!$A$2:$A$6),'pay group &amp; schedule'!$D$2:$D$6,0))</f>
        <v>46311</v>
      </c>
      <c r="N518" s="39" t="str">
        <f t="array" ref="N518">_xlfn.LET(_xlpm.t,_xlfn.XLOOKUP($A518,TRIM(SUBSTITUTE('worker file'!$A$2:$A$406,_xlfn.UNICHAR(160)," ")),'worker file'!$N$2:$N$406,""),IF(N(_xlpm.t)=0,"",_xlpm.t))</f>
        <v/>
      </c>
    </row>
    <row r="519" spans="1:15" x14ac:dyDescent="0.2">
      <c r="A519" s="35" t="s">
        <v>283</v>
      </c>
      <c r="B519" s="36" t="str">
        <f t="array" ref="B519">_xlfn.XLOOKUP($A519,TRIM(SUBSTITUTE('worker file'!$A$2:$A$406,_xlfn.UNICHAR(160)," ")),'worker file'!$L$2:$L$406,"Not found")</f>
        <v>US Semi-monthly</v>
      </c>
      <c r="C519" s="36" t="str">
        <f t="array" ref="C519">_xlfn.XLOOKUP($A519,TRIM(SUBSTITUTE('worker file'!$A$2:$A$406,_xlfn.UNICHAR(160)," ")),'worker file'!$D$2:$D$406,"Not found")</f>
        <v>WA</v>
      </c>
      <c r="D519" s="36" t="str">
        <f t="array" ref="D519">_xlfn.XLOOKUP($A519,TRIM(SUBSTITUTE('worker file'!$A$2:$A$406,_xlfn.UNICHAR(160)," ")),'worker file'!$Q$2:$Q$406,"Not found")</f>
        <v>Active</v>
      </c>
      <c r="E519" s="35" t="s">
        <v>618</v>
      </c>
      <c r="F519" t="str">
        <f t="shared" si="54"/>
        <v>401(k) Employee Deferral</v>
      </c>
      <c r="G519" t="str">
        <f t="shared" si="55"/>
        <v>Pre-tax (exempt from FIT/SIT; subject to FICA)</v>
      </c>
      <c r="H519" t="str">
        <f t="shared" si="56"/>
        <v>Percent</v>
      </c>
      <c r="I519" s="37">
        <v>0.05</v>
      </c>
      <c r="J519" s="38" t="str">
        <f t="shared" si="57"/>
        <v/>
      </c>
      <c r="K519" t="str">
        <f t="shared" si="58"/>
        <v>Gross pay</v>
      </c>
      <c r="L519" t="str">
        <f t="shared" si="59"/>
        <v>Every pay period (ongoing)</v>
      </c>
      <c r="M519" s="39">
        <f t="array" ref="M519">MAX(_xlfn.XLOOKUP($A519,TRIM(SUBSTITUTE('worker file'!$A$2:$A$406,_xlfn.UNICHAR(160)," ")),'worker file'!$M$2:$M$406,0),_xlfn.XLOOKUP($B519,TRIM('pay group &amp; schedule'!$A$2:$A$6),'pay group &amp; schedule'!$D$2:$D$6,0))</f>
        <v>46311</v>
      </c>
      <c r="N519" s="39" t="str">
        <f t="array" ref="N519">_xlfn.LET(_xlpm.t,_xlfn.XLOOKUP($A519,TRIM(SUBSTITUTE('worker file'!$A$2:$A$406,_xlfn.UNICHAR(160)," ")),'worker file'!$N$2:$N$406,""),IF(N(_xlpm.t)=0,"",_xlpm.t))</f>
        <v/>
      </c>
    </row>
    <row r="520" spans="1:15" x14ac:dyDescent="0.2">
      <c r="A520" s="35" t="s">
        <v>283</v>
      </c>
      <c r="B520" s="36" t="str">
        <f t="array" ref="B520">_xlfn.XLOOKUP($A520,TRIM(SUBSTITUTE('worker file'!$A$2:$A$406,_xlfn.UNICHAR(160)," ")),'worker file'!$L$2:$L$406,"Not found")</f>
        <v>US Semi-monthly</v>
      </c>
      <c r="C520" s="36" t="str">
        <f t="array" ref="C520">_xlfn.XLOOKUP($A520,TRIM(SUBSTITUTE('worker file'!$A$2:$A$406,_xlfn.UNICHAR(160)," ")),'worker file'!$D$2:$D$406,"Not found")</f>
        <v>WA</v>
      </c>
      <c r="D520" s="36" t="str">
        <f t="array" ref="D520">_xlfn.XLOOKUP($A520,TRIM(SUBSTITUTE('worker file'!$A$2:$A$406,_xlfn.UNICHAR(160)," ")),'worker file'!$Q$2:$Q$406,"Not found")</f>
        <v>Active</v>
      </c>
      <c r="E520" s="35" t="s">
        <v>626</v>
      </c>
      <c r="F520" t="str">
        <f t="shared" si="54"/>
        <v>Medical (Health) – Employee</v>
      </c>
      <c r="G520" t="str">
        <f t="shared" si="55"/>
        <v>Pre-tax Section 125 (exempt from FIT/SIT/FICA)</v>
      </c>
      <c r="H520" t="str">
        <f t="shared" si="56"/>
        <v>Flat</v>
      </c>
      <c r="I520" s="40" t="str">
        <f t="shared" ref="I520:I525" si="61">IF($H520="Percent",_xlfn.XLOOKUP($E520,$A$5:$A$8,$F$5:$F$8,""),"")</f>
        <v/>
      </c>
      <c r="J520" s="38">
        <f t="shared" si="57"/>
        <v>200</v>
      </c>
      <c r="K520" t="str">
        <f t="shared" si="58"/>
        <v>Per pay period</v>
      </c>
      <c r="L520" t="str">
        <f t="shared" si="59"/>
        <v>Every pay period (ongoing)</v>
      </c>
      <c r="M520" s="39">
        <f t="array" ref="M520">MAX(_xlfn.XLOOKUP($A520,TRIM(SUBSTITUTE('worker file'!$A$2:$A$406,_xlfn.UNICHAR(160)," ")),'worker file'!$M$2:$M$406,0),_xlfn.XLOOKUP($B520,TRIM('pay group &amp; schedule'!$A$2:$A$6),'pay group &amp; schedule'!$D$2:$D$6,0))</f>
        <v>46311</v>
      </c>
      <c r="N520" s="39" t="str">
        <f t="array" ref="N520">_xlfn.LET(_xlpm.t,_xlfn.XLOOKUP($A520,TRIM(SUBSTITUTE('worker file'!$A$2:$A$406,_xlfn.UNICHAR(160)," ")),'worker file'!$N$2:$N$406,""),IF(N(_xlpm.t)=0,"",_xlpm.t))</f>
        <v/>
      </c>
    </row>
    <row r="521" spans="1:15" x14ac:dyDescent="0.2">
      <c r="A521" s="35" t="s">
        <v>283</v>
      </c>
      <c r="B521" s="36" t="str">
        <f t="array" ref="B521">_xlfn.XLOOKUP($A521,TRIM(SUBSTITUTE('worker file'!$A$2:$A$406,_xlfn.UNICHAR(160)," ")),'worker file'!$L$2:$L$406,"Not found")</f>
        <v>US Semi-monthly</v>
      </c>
      <c r="C521" s="36" t="str">
        <f t="array" ref="C521">_xlfn.XLOOKUP($A521,TRIM(SUBSTITUTE('worker file'!$A$2:$A$406,_xlfn.UNICHAR(160)," ")),'worker file'!$D$2:$D$406,"Not found")</f>
        <v>WA</v>
      </c>
      <c r="D521" s="36" t="str">
        <f t="array" ref="D521">_xlfn.XLOOKUP($A521,TRIM(SUBSTITUTE('worker file'!$A$2:$A$406,_xlfn.UNICHAR(160)," ")),'worker file'!$Q$2:$Q$406,"Not found")</f>
        <v>Active</v>
      </c>
      <c r="E521" s="35" t="s">
        <v>632</v>
      </c>
      <c r="F521" t="str">
        <f t="shared" si="54"/>
        <v>Dental – Employee</v>
      </c>
      <c r="G521" t="str">
        <f t="shared" si="55"/>
        <v>Pre-tax Section 125 (exempt from FIT/SIT/FICA)</v>
      </c>
      <c r="H521" t="str">
        <f t="shared" si="56"/>
        <v>Flat</v>
      </c>
      <c r="I521" s="40" t="str">
        <f t="shared" si="61"/>
        <v/>
      </c>
      <c r="J521" s="38">
        <f t="shared" si="57"/>
        <v>44</v>
      </c>
      <c r="K521" t="str">
        <f t="shared" si="58"/>
        <v>Per pay period</v>
      </c>
      <c r="L521" t="str">
        <f t="shared" si="59"/>
        <v>Every pay period (ongoing)</v>
      </c>
      <c r="M521" s="39">
        <f t="array" ref="M521">MAX(_xlfn.XLOOKUP($A521,TRIM(SUBSTITUTE('worker file'!$A$2:$A$406,_xlfn.UNICHAR(160)," ")),'worker file'!$M$2:$M$406,0),_xlfn.XLOOKUP($B521,TRIM('pay group &amp; schedule'!$A$2:$A$6),'pay group &amp; schedule'!$D$2:$D$6,0))</f>
        <v>46311</v>
      </c>
      <c r="N521" s="39" t="str">
        <f t="array" ref="N521">_xlfn.LET(_xlpm.t,_xlfn.XLOOKUP($A521,TRIM(SUBSTITUTE('worker file'!$A$2:$A$406,_xlfn.UNICHAR(160)," ")),'worker file'!$N$2:$N$406,""),IF(N(_xlpm.t)=0,"",_xlpm.t))</f>
        <v/>
      </c>
    </row>
    <row r="522" spans="1:15" x14ac:dyDescent="0.2">
      <c r="A522" s="35" t="s">
        <v>283</v>
      </c>
      <c r="B522" s="36" t="str">
        <f t="array" ref="B522">_xlfn.XLOOKUP($A522,TRIM(SUBSTITUTE('worker file'!$A$2:$A$406,_xlfn.UNICHAR(160)," ")),'worker file'!$L$2:$L$406,"Not found")</f>
        <v>US Semi-monthly</v>
      </c>
      <c r="C522" s="36" t="str">
        <f t="array" ref="C522">_xlfn.XLOOKUP($A522,TRIM(SUBSTITUTE('worker file'!$A$2:$A$406,_xlfn.UNICHAR(160)," ")),'worker file'!$D$2:$D$406,"Not found")</f>
        <v>WA</v>
      </c>
      <c r="D522" s="36" t="str">
        <f t="array" ref="D522">_xlfn.XLOOKUP($A522,TRIM(SUBSTITUTE('worker file'!$A$2:$A$406,_xlfn.UNICHAR(160)," ")),'worker file'!$Q$2:$Q$406,"Not found")</f>
        <v>Active</v>
      </c>
      <c r="E522" s="35" t="s">
        <v>634</v>
      </c>
      <c r="F522" t="str">
        <f t="shared" si="54"/>
        <v>Vision – Employee</v>
      </c>
      <c r="G522" t="str">
        <f t="shared" si="55"/>
        <v>Pre-tax Section 125 (exempt from FIT/SIT/FICA)</v>
      </c>
      <c r="H522" t="str">
        <f t="shared" si="56"/>
        <v>Flat</v>
      </c>
      <c r="I522" s="40" t="str">
        <f t="shared" si="61"/>
        <v/>
      </c>
      <c r="J522" s="38">
        <f t="shared" si="57"/>
        <v>30</v>
      </c>
      <c r="K522" t="str">
        <f t="shared" si="58"/>
        <v>Per pay period</v>
      </c>
      <c r="L522" t="str">
        <f t="shared" si="59"/>
        <v>Every pay period (ongoing)</v>
      </c>
      <c r="M522" s="39">
        <f t="array" ref="M522">MAX(_xlfn.XLOOKUP($A522,TRIM(SUBSTITUTE('worker file'!$A$2:$A$406,_xlfn.UNICHAR(160)," ")),'worker file'!$M$2:$M$406,0),_xlfn.XLOOKUP($B522,TRIM('pay group &amp; schedule'!$A$2:$A$6),'pay group &amp; schedule'!$D$2:$D$6,0))</f>
        <v>46311</v>
      </c>
      <c r="N522" s="39" t="str">
        <f t="array" ref="N522">_xlfn.LET(_xlpm.t,_xlfn.XLOOKUP($A522,TRIM(SUBSTITUTE('worker file'!$A$2:$A$406,_xlfn.UNICHAR(160)," ")),'worker file'!$N$2:$N$406,""),IF(N(_xlpm.t)=0,"",_xlpm.t))</f>
        <v/>
      </c>
    </row>
    <row r="523" spans="1:15" x14ac:dyDescent="0.2">
      <c r="A523" s="35" t="s">
        <v>285</v>
      </c>
      <c r="B523" s="36" t="str">
        <f t="array" ref="B523">_xlfn.XLOOKUP($A523,TRIM(SUBSTITUTE('worker file'!$A$2:$A$406,_xlfn.UNICHAR(160)," ")),'worker file'!$L$2:$L$406,"Not found")</f>
        <v>US Semi-monthly</v>
      </c>
      <c r="C523" s="36" t="str">
        <f t="array" ref="C523">_xlfn.XLOOKUP($A523,TRIM(SUBSTITUTE('worker file'!$A$2:$A$406,_xlfn.UNICHAR(160)," ")),'worker file'!$D$2:$D$406,"Not found")</f>
        <v>NY</v>
      </c>
      <c r="D523" s="36" t="str">
        <f t="array" ref="D523">_xlfn.XLOOKUP($A523,TRIM(SUBSTITUTE('worker file'!$A$2:$A$406,_xlfn.UNICHAR(160)," ")),'worker file'!$Q$2:$Q$406,"Not found")</f>
        <v>Active</v>
      </c>
      <c r="E523" s="35" t="s">
        <v>626</v>
      </c>
      <c r="F523" t="str">
        <f t="shared" si="54"/>
        <v>Medical (Health) – Employee</v>
      </c>
      <c r="G523" t="str">
        <f t="shared" si="55"/>
        <v>Pre-tax Section 125 (exempt from FIT/SIT/FICA)</v>
      </c>
      <c r="H523" t="str">
        <f t="shared" si="56"/>
        <v>Flat</v>
      </c>
      <c r="I523" s="40" t="str">
        <f t="shared" si="61"/>
        <v/>
      </c>
      <c r="J523" s="38">
        <f t="shared" si="57"/>
        <v>200</v>
      </c>
      <c r="K523" t="str">
        <f t="shared" si="58"/>
        <v>Per pay period</v>
      </c>
      <c r="L523" t="str">
        <f t="shared" si="59"/>
        <v>Every pay period (ongoing)</v>
      </c>
      <c r="M523" s="39">
        <f t="array" ref="M523">MAX(_xlfn.XLOOKUP($A523,TRIM(SUBSTITUTE('worker file'!$A$2:$A$406,_xlfn.UNICHAR(160)," ")),'worker file'!$M$2:$M$406,0),_xlfn.XLOOKUP($B523,TRIM('pay group &amp; schedule'!$A$2:$A$6),'pay group &amp; schedule'!$D$2:$D$6,0))</f>
        <v>46311</v>
      </c>
      <c r="N523" s="39" t="str">
        <f t="array" ref="N523">_xlfn.LET(_xlpm.t,_xlfn.XLOOKUP($A523,TRIM(SUBSTITUTE('worker file'!$A$2:$A$406,_xlfn.UNICHAR(160)," ")),'worker file'!$N$2:$N$406,""),IF(N(_xlpm.t)=0,"",_xlpm.t))</f>
        <v/>
      </c>
    </row>
    <row r="524" spans="1:15" x14ac:dyDescent="0.2">
      <c r="A524" s="35" t="s">
        <v>285</v>
      </c>
      <c r="B524" s="36" t="str">
        <f t="array" ref="B524">_xlfn.XLOOKUP($A524,TRIM(SUBSTITUTE('worker file'!$A$2:$A$406,_xlfn.UNICHAR(160)," ")),'worker file'!$L$2:$L$406,"Not found")</f>
        <v>US Semi-monthly</v>
      </c>
      <c r="C524" s="36" t="str">
        <f t="array" ref="C524">_xlfn.XLOOKUP($A524,TRIM(SUBSTITUTE('worker file'!$A$2:$A$406,_xlfn.UNICHAR(160)," ")),'worker file'!$D$2:$D$406,"Not found")</f>
        <v>NY</v>
      </c>
      <c r="D524" s="36" t="str">
        <f t="array" ref="D524">_xlfn.XLOOKUP($A524,TRIM(SUBSTITUTE('worker file'!$A$2:$A$406,_xlfn.UNICHAR(160)," ")),'worker file'!$Q$2:$Q$406,"Not found")</f>
        <v>Active</v>
      </c>
      <c r="E524" s="35" t="s">
        <v>632</v>
      </c>
      <c r="F524" t="str">
        <f t="shared" ref="F524:F587" si="62">_xlfn.XLOOKUP($E524,$A$5:$A$8,$B$5:$B$8,"")</f>
        <v>Dental – Employee</v>
      </c>
      <c r="G524" t="str">
        <f t="shared" ref="G524:G587" si="63">_xlfn.XLOOKUP($E524,$A$5:$A$8,$D$5:$D$8,"")</f>
        <v>Pre-tax Section 125 (exempt from FIT/SIT/FICA)</v>
      </c>
      <c r="H524" t="str">
        <f t="shared" ref="H524:H587" si="64">_xlfn.XLOOKUP($E524,$A$5:$A$8,$E$5:$E$8,"")</f>
        <v>Flat</v>
      </c>
      <c r="I524" s="40" t="str">
        <f t="shared" si="61"/>
        <v/>
      </c>
      <c r="J524" s="38">
        <f t="shared" ref="J524:J587" si="65">IF($H524="Flat",_xlfn.XLOOKUP($E524,$A$5:$A$8,$F$5:$F$8,""),"")</f>
        <v>44</v>
      </c>
      <c r="K524" t="str">
        <f t="shared" ref="K524:K587" si="66">_xlfn.XLOOKUP($E524,$A$5:$A$8,$G$5:$G$8,"")</f>
        <v>Per pay period</v>
      </c>
      <c r="L524" t="str">
        <f t="shared" ref="L524:L587" si="67">_xlfn.XLOOKUP($E524,$A$5:$A$8,$H$5:$H$8,"")</f>
        <v>Every pay period (ongoing)</v>
      </c>
      <c r="M524" s="39">
        <f t="array" ref="M524">MAX(_xlfn.XLOOKUP($A524,TRIM(SUBSTITUTE('worker file'!$A$2:$A$406,_xlfn.UNICHAR(160)," ")),'worker file'!$M$2:$M$406,0),_xlfn.XLOOKUP($B524,TRIM('pay group &amp; schedule'!$A$2:$A$6),'pay group &amp; schedule'!$D$2:$D$6,0))</f>
        <v>46311</v>
      </c>
      <c r="N524" s="39" t="str">
        <f t="array" ref="N524">_xlfn.LET(_xlpm.t,_xlfn.XLOOKUP($A524,TRIM(SUBSTITUTE('worker file'!$A$2:$A$406,_xlfn.UNICHAR(160)," ")),'worker file'!$N$2:$N$406,""),IF(N(_xlpm.t)=0,"",_xlpm.t))</f>
        <v/>
      </c>
    </row>
    <row r="525" spans="1:15" x14ac:dyDescent="0.2">
      <c r="A525" s="35" t="s">
        <v>285</v>
      </c>
      <c r="B525" s="36" t="str">
        <f t="array" ref="B525">_xlfn.XLOOKUP($A525,TRIM(SUBSTITUTE('worker file'!$A$2:$A$406,_xlfn.UNICHAR(160)," ")),'worker file'!$L$2:$L$406,"Not found")</f>
        <v>US Semi-monthly</v>
      </c>
      <c r="C525" s="36" t="str">
        <f t="array" ref="C525">_xlfn.XLOOKUP($A525,TRIM(SUBSTITUTE('worker file'!$A$2:$A$406,_xlfn.UNICHAR(160)," ")),'worker file'!$D$2:$D$406,"Not found")</f>
        <v>NY</v>
      </c>
      <c r="D525" s="36" t="str">
        <f t="array" ref="D525">_xlfn.XLOOKUP($A525,TRIM(SUBSTITUTE('worker file'!$A$2:$A$406,_xlfn.UNICHAR(160)," ")),'worker file'!$Q$2:$Q$406,"Not found")</f>
        <v>Active</v>
      </c>
      <c r="E525" s="35" t="s">
        <v>634</v>
      </c>
      <c r="F525" t="str">
        <f t="shared" si="62"/>
        <v>Vision – Employee</v>
      </c>
      <c r="G525" t="str">
        <f t="shared" si="63"/>
        <v>Pre-tax Section 125 (exempt from FIT/SIT/FICA)</v>
      </c>
      <c r="H525" t="str">
        <f t="shared" si="64"/>
        <v>Flat</v>
      </c>
      <c r="I525" s="40" t="str">
        <f t="shared" si="61"/>
        <v/>
      </c>
      <c r="J525" s="38">
        <f t="shared" si="65"/>
        <v>30</v>
      </c>
      <c r="K525" t="str">
        <f t="shared" si="66"/>
        <v>Per pay period</v>
      </c>
      <c r="L525" t="str">
        <f t="shared" si="67"/>
        <v>Every pay period (ongoing)</v>
      </c>
      <c r="M525" s="39">
        <f t="array" ref="M525">MAX(_xlfn.XLOOKUP($A525,TRIM(SUBSTITUTE('worker file'!$A$2:$A$406,_xlfn.UNICHAR(160)," ")),'worker file'!$M$2:$M$406,0),_xlfn.XLOOKUP($B525,TRIM('pay group &amp; schedule'!$A$2:$A$6),'pay group &amp; schedule'!$D$2:$D$6,0))</f>
        <v>46311</v>
      </c>
      <c r="N525" s="39" t="str">
        <f t="array" ref="N525">_xlfn.LET(_xlpm.t,_xlfn.XLOOKUP($A525,TRIM(SUBSTITUTE('worker file'!$A$2:$A$406,_xlfn.UNICHAR(160)," ")),'worker file'!$N$2:$N$406,""),IF(N(_xlpm.t)=0,"",_xlpm.t))</f>
        <v/>
      </c>
    </row>
    <row r="526" spans="1:15" x14ac:dyDescent="0.2">
      <c r="A526" s="35" t="s">
        <v>286</v>
      </c>
      <c r="B526" s="36" t="str">
        <f t="array" ref="B526">_xlfn.XLOOKUP($A526,TRIM(SUBSTITUTE('worker file'!$A$2:$A$406,_xlfn.UNICHAR(160)," ")),'worker file'!$L$2:$L$406,"Not found")</f>
        <v>US Semi-monthly</v>
      </c>
      <c r="C526" s="36" t="str">
        <f t="array" ref="C526">_xlfn.XLOOKUP($A526,TRIM(SUBSTITUTE('worker file'!$A$2:$A$406,_xlfn.UNICHAR(160)," ")),'worker file'!$D$2:$D$406,"Not found")</f>
        <v>CA</v>
      </c>
      <c r="D526" s="36" t="str">
        <f t="array" ref="D526">_xlfn.XLOOKUP($A526,TRIM(SUBSTITUTE('worker file'!$A$2:$A$406,_xlfn.UNICHAR(160)," ")),'worker file'!$Q$2:$Q$406,"Not found")</f>
        <v>On Leave(paid)</v>
      </c>
      <c r="E526" s="35" t="s">
        <v>618</v>
      </c>
      <c r="F526" t="str">
        <f t="shared" si="62"/>
        <v>401(k) Employee Deferral</v>
      </c>
      <c r="G526" t="str">
        <f t="shared" si="63"/>
        <v>Pre-tax (exempt from FIT/SIT; subject to FICA)</v>
      </c>
      <c r="H526" t="str">
        <f t="shared" si="64"/>
        <v>Percent</v>
      </c>
      <c r="I526" s="37">
        <v>7.0000000000000007E-2</v>
      </c>
      <c r="J526" s="38" t="str">
        <f t="shared" si="65"/>
        <v/>
      </c>
      <c r="K526" t="str">
        <f t="shared" si="66"/>
        <v>Gross pay</v>
      </c>
      <c r="L526" t="str">
        <f t="shared" si="67"/>
        <v>Every pay period (ongoing)</v>
      </c>
      <c r="M526" s="39">
        <f t="array" ref="M526">MAX(_xlfn.XLOOKUP($A526,TRIM(SUBSTITUTE('worker file'!$A$2:$A$406,_xlfn.UNICHAR(160)," ")),'worker file'!$M$2:$M$406,0),_xlfn.XLOOKUP($B526,TRIM('pay group &amp; schedule'!$A$2:$A$6),'pay group &amp; schedule'!$D$2:$D$6,0))</f>
        <v>46311</v>
      </c>
      <c r="N526" s="39" t="str">
        <f t="array" ref="N526">_xlfn.LET(_xlpm.t,_xlfn.XLOOKUP($A526,TRIM(SUBSTITUTE('worker file'!$A$2:$A$406,_xlfn.UNICHAR(160)," ")),'worker file'!$N$2:$N$406,""),IF(N(_xlpm.t)=0,"",_xlpm.t))</f>
        <v/>
      </c>
      <c r="O526" t="s">
        <v>648</v>
      </c>
    </row>
    <row r="527" spans="1:15" x14ac:dyDescent="0.2">
      <c r="A527" s="35" t="s">
        <v>286</v>
      </c>
      <c r="B527" s="36" t="str">
        <f t="array" ref="B527">_xlfn.XLOOKUP($A527,TRIM(SUBSTITUTE('worker file'!$A$2:$A$406,_xlfn.UNICHAR(160)," ")),'worker file'!$L$2:$L$406,"Not found")</f>
        <v>US Semi-monthly</v>
      </c>
      <c r="C527" s="36" t="str">
        <f t="array" ref="C527">_xlfn.XLOOKUP($A527,TRIM(SUBSTITUTE('worker file'!$A$2:$A$406,_xlfn.UNICHAR(160)," ")),'worker file'!$D$2:$D$406,"Not found")</f>
        <v>CA</v>
      </c>
      <c r="D527" s="36" t="str">
        <f t="array" ref="D527">_xlfn.XLOOKUP($A527,TRIM(SUBSTITUTE('worker file'!$A$2:$A$406,_xlfn.UNICHAR(160)," ")),'worker file'!$Q$2:$Q$406,"Not found")</f>
        <v>On Leave(paid)</v>
      </c>
      <c r="E527" s="35" t="s">
        <v>626</v>
      </c>
      <c r="F527" t="str">
        <f t="shared" si="62"/>
        <v>Medical (Health) – Employee</v>
      </c>
      <c r="G527" t="str">
        <f t="shared" si="63"/>
        <v>Pre-tax Section 125 (exempt from FIT/SIT/FICA)</v>
      </c>
      <c r="H527" t="str">
        <f t="shared" si="64"/>
        <v>Flat</v>
      </c>
      <c r="I527" s="40" t="str">
        <f>IF($H527="Percent",_xlfn.XLOOKUP($E527,$A$5:$A$8,$F$5:$F$8,""),"")</f>
        <v/>
      </c>
      <c r="J527" s="38">
        <f t="shared" si="65"/>
        <v>200</v>
      </c>
      <c r="K527" t="str">
        <f t="shared" si="66"/>
        <v>Per pay period</v>
      </c>
      <c r="L527" t="str">
        <f t="shared" si="67"/>
        <v>Every pay period (ongoing)</v>
      </c>
      <c r="M527" s="39">
        <f t="array" ref="M527">MAX(_xlfn.XLOOKUP($A527,TRIM(SUBSTITUTE('worker file'!$A$2:$A$406,_xlfn.UNICHAR(160)," ")),'worker file'!$M$2:$M$406,0),_xlfn.XLOOKUP($B527,TRIM('pay group &amp; schedule'!$A$2:$A$6),'pay group &amp; schedule'!$D$2:$D$6,0))</f>
        <v>46311</v>
      </c>
      <c r="N527" s="39" t="str">
        <f t="array" ref="N527">_xlfn.LET(_xlpm.t,_xlfn.XLOOKUP($A527,TRIM(SUBSTITUTE('worker file'!$A$2:$A$406,_xlfn.UNICHAR(160)," ")),'worker file'!$N$2:$N$406,""),IF(N(_xlpm.t)=0,"",_xlpm.t))</f>
        <v/>
      </c>
      <c r="O527" t="s">
        <v>648</v>
      </c>
    </row>
    <row r="528" spans="1:15" x14ac:dyDescent="0.2">
      <c r="A528" s="35" t="s">
        <v>286</v>
      </c>
      <c r="B528" s="36" t="str">
        <f t="array" ref="B528">_xlfn.XLOOKUP($A528,TRIM(SUBSTITUTE('worker file'!$A$2:$A$406,_xlfn.UNICHAR(160)," ")),'worker file'!$L$2:$L$406,"Not found")</f>
        <v>US Semi-monthly</v>
      </c>
      <c r="C528" s="36" t="str">
        <f t="array" ref="C528">_xlfn.XLOOKUP($A528,TRIM(SUBSTITUTE('worker file'!$A$2:$A$406,_xlfn.UNICHAR(160)," ")),'worker file'!$D$2:$D$406,"Not found")</f>
        <v>CA</v>
      </c>
      <c r="D528" s="36" t="str">
        <f t="array" ref="D528">_xlfn.XLOOKUP($A528,TRIM(SUBSTITUTE('worker file'!$A$2:$A$406,_xlfn.UNICHAR(160)," ")),'worker file'!$Q$2:$Q$406,"Not found")</f>
        <v>On Leave(paid)</v>
      </c>
      <c r="E528" s="35" t="s">
        <v>632</v>
      </c>
      <c r="F528" t="str">
        <f t="shared" si="62"/>
        <v>Dental – Employee</v>
      </c>
      <c r="G528" t="str">
        <f t="shared" si="63"/>
        <v>Pre-tax Section 125 (exempt from FIT/SIT/FICA)</v>
      </c>
      <c r="H528" t="str">
        <f t="shared" si="64"/>
        <v>Flat</v>
      </c>
      <c r="I528" s="40" t="str">
        <f>IF($H528="Percent",_xlfn.XLOOKUP($E528,$A$5:$A$8,$F$5:$F$8,""),"")</f>
        <v/>
      </c>
      <c r="J528" s="38">
        <f t="shared" si="65"/>
        <v>44</v>
      </c>
      <c r="K528" t="str">
        <f t="shared" si="66"/>
        <v>Per pay period</v>
      </c>
      <c r="L528" t="str">
        <f t="shared" si="67"/>
        <v>Every pay period (ongoing)</v>
      </c>
      <c r="M528" s="39">
        <f t="array" ref="M528">MAX(_xlfn.XLOOKUP($A528,TRIM(SUBSTITUTE('worker file'!$A$2:$A$406,_xlfn.UNICHAR(160)," ")),'worker file'!$M$2:$M$406,0),_xlfn.XLOOKUP($B528,TRIM('pay group &amp; schedule'!$A$2:$A$6),'pay group &amp; schedule'!$D$2:$D$6,0))</f>
        <v>46311</v>
      </c>
      <c r="N528" s="39" t="str">
        <f t="array" ref="N528">_xlfn.LET(_xlpm.t,_xlfn.XLOOKUP($A528,TRIM(SUBSTITUTE('worker file'!$A$2:$A$406,_xlfn.UNICHAR(160)," ")),'worker file'!$N$2:$N$406,""),IF(N(_xlpm.t)=0,"",_xlpm.t))</f>
        <v/>
      </c>
      <c r="O528" t="s">
        <v>648</v>
      </c>
    </row>
    <row r="529" spans="1:15" x14ac:dyDescent="0.2">
      <c r="A529" s="35" t="s">
        <v>286</v>
      </c>
      <c r="B529" s="36" t="str">
        <f t="array" ref="B529">_xlfn.XLOOKUP($A529,TRIM(SUBSTITUTE('worker file'!$A$2:$A$406,_xlfn.UNICHAR(160)," ")),'worker file'!$L$2:$L$406,"Not found")</f>
        <v>US Semi-monthly</v>
      </c>
      <c r="C529" s="36" t="str">
        <f t="array" ref="C529">_xlfn.XLOOKUP($A529,TRIM(SUBSTITUTE('worker file'!$A$2:$A$406,_xlfn.UNICHAR(160)," ")),'worker file'!$D$2:$D$406,"Not found")</f>
        <v>CA</v>
      </c>
      <c r="D529" s="36" t="str">
        <f t="array" ref="D529">_xlfn.XLOOKUP($A529,TRIM(SUBSTITUTE('worker file'!$A$2:$A$406,_xlfn.UNICHAR(160)," ")),'worker file'!$Q$2:$Q$406,"Not found")</f>
        <v>On Leave(paid)</v>
      </c>
      <c r="E529" s="35" t="s">
        <v>634</v>
      </c>
      <c r="F529" t="str">
        <f t="shared" si="62"/>
        <v>Vision – Employee</v>
      </c>
      <c r="G529" t="str">
        <f t="shared" si="63"/>
        <v>Pre-tax Section 125 (exempt from FIT/SIT/FICA)</v>
      </c>
      <c r="H529" t="str">
        <f t="shared" si="64"/>
        <v>Flat</v>
      </c>
      <c r="I529" s="40" t="str">
        <f>IF($H529="Percent",_xlfn.XLOOKUP($E529,$A$5:$A$8,$F$5:$F$8,""),"")</f>
        <v/>
      </c>
      <c r="J529" s="38">
        <f t="shared" si="65"/>
        <v>30</v>
      </c>
      <c r="K529" t="str">
        <f t="shared" si="66"/>
        <v>Per pay period</v>
      </c>
      <c r="L529" t="str">
        <f t="shared" si="67"/>
        <v>Every pay period (ongoing)</v>
      </c>
      <c r="M529" s="39">
        <f t="array" ref="M529">MAX(_xlfn.XLOOKUP($A529,TRIM(SUBSTITUTE('worker file'!$A$2:$A$406,_xlfn.UNICHAR(160)," ")),'worker file'!$M$2:$M$406,0),_xlfn.XLOOKUP($B529,TRIM('pay group &amp; schedule'!$A$2:$A$6),'pay group &amp; schedule'!$D$2:$D$6,0))</f>
        <v>46311</v>
      </c>
      <c r="N529" s="39" t="str">
        <f t="array" ref="N529">_xlfn.LET(_xlpm.t,_xlfn.XLOOKUP($A529,TRIM(SUBSTITUTE('worker file'!$A$2:$A$406,_xlfn.UNICHAR(160)," ")),'worker file'!$N$2:$N$406,""),IF(N(_xlpm.t)=0,"",_xlpm.t))</f>
        <v/>
      </c>
      <c r="O529" t="s">
        <v>648</v>
      </c>
    </row>
    <row r="530" spans="1:15" x14ac:dyDescent="0.2">
      <c r="A530" s="35" t="s">
        <v>288</v>
      </c>
      <c r="B530" s="36" t="str">
        <f t="array" ref="B530">_xlfn.XLOOKUP($A530,TRIM(SUBSTITUTE('worker file'!$A$2:$A$406,_xlfn.UNICHAR(160)," ")),'worker file'!$L$2:$L$406,"Not found")</f>
        <v>US Semi-monthly</v>
      </c>
      <c r="C530" s="36" t="str">
        <f t="array" ref="C530">_xlfn.XLOOKUP($A530,TRIM(SUBSTITUTE('worker file'!$A$2:$A$406,_xlfn.UNICHAR(160)," ")),'worker file'!$D$2:$D$406,"Not found")</f>
        <v>WA</v>
      </c>
      <c r="D530" s="36" t="str">
        <f t="array" ref="D530">_xlfn.XLOOKUP($A530,TRIM(SUBSTITUTE('worker file'!$A$2:$A$406,_xlfn.UNICHAR(160)," ")),'worker file'!$Q$2:$Q$406,"Not found")</f>
        <v>Active</v>
      </c>
      <c r="E530" s="35" t="s">
        <v>618</v>
      </c>
      <c r="F530" t="str">
        <f t="shared" si="62"/>
        <v>401(k) Employee Deferral</v>
      </c>
      <c r="G530" t="str">
        <f t="shared" si="63"/>
        <v>Pre-tax (exempt from FIT/SIT; subject to FICA)</v>
      </c>
      <c r="H530" t="str">
        <f t="shared" si="64"/>
        <v>Percent</v>
      </c>
      <c r="I530" s="37">
        <v>0.04</v>
      </c>
      <c r="J530" s="38" t="str">
        <f t="shared" si="65"/>
        <v/>
      </c>
      <c r="K530" t="str">
        <f t="shared" si="66"/>
        <v>Gross pay</v>
      </c>
      <c r="L530" t="str">
        <f t="shared" si="67"/>
        <v>Every pay period (ongoing)</v>
      </c>
      <c r="M530" s="39">
        <f t="array" ref="M530">MAX(_xlfn.XLOOKUP($A530,TRIM(SUBSTITUTE('worker file'!$A$2:$A$406,_xlfn.UNICHAR(160)," ")),'worker file'!$M$2:$M$406,0),_xlfn.XLOOKUP($B530,TRIM('pay group &amp; schedule'!$A$2:$A$6),'pay group &amp; schedule'!$D$2:$D$6,0))</f>
        <v>46311</v>
      </c>
      <c r="N530" s="39" t="str">
        <f t="array" ref="N530">_xlfn.LET(_xlpm.t,_xlfn.XLOOKUP($A530,TRIM(SUBSTITUTE('worker file'!$A$2:$A$406,_xlfn.UNICHAR(160)," ")),'worker file'!$N$2:$N$406,""),IF(N(_xlpm.t)=0,"",_xlpm.t))</f>
        <v/>
      </c>
    </row>
    <row r="531" spans="1:15" x14ac:dyDescent="0.2">
      <c r="A531" s="35" t="s">
        <v>288</v>
      </c>
      <c r="B531" s="36" t="str">
        <f t="array" ref="B531">_xlfn.XLOOKUP($A531,TRIM(SUBSTITUTE('worker file'!$A$2:$A$406,_xlfn.UNICHAR(160)," ")),'worker file'!$L$2:$L$406,"Not found")</f>
        <v>US Semi-monthly</v>
      </c>
      <c r="C531" s="36" t="str">
        <f t="array" ref="C531">_xlfn.XLOOKUP($A531,TRIM(SUBSTITUTE('worker file'!$A$2:$A$406,_xlfn.UNICHAR(160)," ")),'worker file'!$D$2:$D$406,"Not found")</f>
        <v>WA</v>
      </c>
      <c r="D531" s="36" t="str">
        <f t="array" ref="D531">_xlfn.XLOOKUP($A531,TRIM(SUBSTITUTE('worker file'!$A$2:$A$406,_xlfn.UNICHAR(160)," ")),'worker file'!$Q$2:$Q$406,"Not found")</f>
        <v>Active</v>
      </c>
      <c r="E531" s="35" t="s">
        <v>626</v>
      </c>
      <c r="F531" t="str">
        <f t="shared" si="62"/>
        <v>Medical (Health) – Employee</v>
      </c>
      <c r="G531" t="str">
        <f t="shared" si="63"/>
        <v>Pre-tax Section 125 (exempt from FIT/SIT/FICA)</v>
      </c>
      <c r="H531" t="str">
        <f t="shared" si="64"/>
        <v>Flat</v>
      </c>
      <c r="I531" s="40" t="str">
        <f>IF($H531="Percent",_xlfn.XLOOKUP($E531,$A$5:$A$8,$F$5:$F$8,""),"")</f>
        <v/>
      </c>
      <c r="J531" s="38">
        <f t="shared" si="65"/>
        <v>200</v>
      </c>
      <c r="K531" t="str">
        <f t="shared" si="66"/>
        <v>Per pay period</v>
      </c>
      <c r="L531" t="str">
        <f t="shared" si="67"/>
        <v>Every pay period (ongoing)</v>
      </c>
      <c r="M531" s="39">
        <f t="array" ref="M531">MAX(_xlfn.XLOOKUP($A531,TRIM(SUBSTITUTE('worker file'!$A$2:$A$406,_xlfn.UNICHAR(160)," ")),'worker file'!$M$2:$M$406,0),_xlfn.XLOOKUP($B531,TRIM('pay group &amp; schedule'!$A$2:$A$6),'pay group &amp; schedule'!$D$2:$D$6,0))</f>
        <v>46311</v>
      </c>
      <c r="N531" s="39" t="str">
        <f t="array" ref="N531">_xlfn.LET(_xlpm.t,_xlfn.XLOOKUP($A531,TRIM(SUBSTITUTE('worker file'!$A$2:$A$406,_xlfn.UNICHAR(160)," ")),'worker file'!$N$2:$N$406,""),IF(N(_xlpm.t)=0,"",_xlpm.t))</f>
        <v/>
      </c>
    </row>
    <row r="532" spans="1:15" x14ac:dyDescent="0.2">
      <c r="A532" s="35" t="s">
        <v>288</v>
      </c>
      <c r="B532" s="36" t="str">
        <f t="array" ref="B532">_xlfn.XLOOKUP($A532,TRIM(SUBSTITUTE('worker file'!$A$2:$A$406,_xlfn.UNICHAR(160)," ")),'worker file'!$L$2:$L$406,"Not found")</f>
        <v>US Semi-monthly</v>
      </c>
      <c r="C532" s="36" t="str">
        <f t="array" ref="C532">_xlfn.XLOOKUP($A532,TRIM(SUBSTITUTE('worker file'!$A$2:$A$406,_xlfn.UNICHAR(160)," ")),'worker file'!$D$2:$D$406,"Not found")</f>
        <v>WA</v>
      </c>
      <c r="D532" s="36" t="str">
        <f t="array" ref="D532">_xlfn.XLOOKUP($A532,TRIM(SUBSTITUTE('worker file'!$A$2:$A$406,_xlfn.UNICHAR(160)," ")),'worker file'!$Q$2:$Q$406,"Not found")</f>
        <v>Active</v>
      </c>
      <c r="E532" s="35" t="s">
        <v>632</v>
      </c>
      <c r="F532" t="str">
        <f t="shared" si="62"/>
        <v>Dental – Employee</v>
      </c>
      <c r="G532" t="str">
        <f t="shared" si="63"/>
        <v>Pre-tax Section 125 (exempt from FIT/SIT/FICA)</v>
      </c>
      <c r="H532" t="str">
        <f t="shared" si="64"/>
        <v>Flat</v>
      </c>
      <c r="I532" s="40" t="str">
        <f>IF($H532="Percent",_xlfn.XLOOKUP($E532,$A$5:$A$8,$F$5:$F$8,""),"")</f>
        <v/>
      </c>
      <c r="J532" s="38">
        <f t="shared" si="65"/>
        <v>44</v>
      </c>
      <c r="K532" t="str">
        <f t="shared" si="66"/>
        <v>Per pay period</v>
      </c>
      <c r="L532" t="str">
        <f t="shared" si="67"/>
        <v>Every pay period (ongoing)</v>
      </c>
      <c r="M532" s="39">
        <f t="array" ref="M532">MAX(_xlfn.XLOOKUP($A532,TRIM(SUBSTITUTE('worker file'!$A$2:$A$406,_xlfn.UNICHAR(160)," ")),'worker file'!$M$2:$M$406,0),_xlfn.XLOOKUP($B532,TRIM('pay group &amp; schedule'!$A$2:$A$6),'pay group &amp; schedule'!$D$2:$D$6,0))</f>
        <v>46311</v>
      </c>
      <c r="N532" s="39" t="str">
        <f t="array" ref="N532">_xlfn.LET(_xlpm.t,_xlfn.XLOOKUP($A532,TRIM(SUBSTITUTE('worker file'!$A$2:$A$406,_xlfn.UNICHAR(160)," ")),'worker file'!$N$2:$N$406,""),IF(N(_xlpm.t)=0,"",_xlpm.t))</f>
        <v/>
      </c>
    </row>
    <row r="533" spans="1:15" x14ac:dyDescent="0.2">
      <c r="A533" s="35" t="s">
        <v>288</v>
      </c>
      <c r="B533" s="36" t="str">
        <f t="array" ref="B533">_xlfn.XLOOKUP($A533,TRIM(SUBSTITUTE('worker file'!$A$2:$A$406,_xlfn.UNICHAR(160)," ")),'worker file'!$L$2:$L$406,"Not found")</f>
        <v>US Semi-monthly</v>
      </c>
      <c r="C533" s="36" t="str">
        <f t="array" ref="C533">_xlfn.XLOOKUP($A533,TRIM(SUBSTITUTE('worker file'!$A$2:$A$406,_xlfn.UNICHAR(160)," ")),'worker file'!$D$2:$D$406,"Not found")</f>
        <v>WA</v>
      </c>
      <c r="D533" s="36" t="str">
        <f t="array" ref="D533">_xlfn.XLOOKUP($A533,TRIM(SUBSTITUTE('worker file'!$A$2:$A$406,_xlfn.UNICHAR(160)," ")),'worker file'!$Q$2:$Q$406,"Not found")</f>
        <v>Active</v>
      </c>
      <c r="E533" s="35" t="s">
        <v>634</v>
      </c>
      <c r="F533" t="str">
        <f t="shared" si="62"/>
        <v>Vision – Employee</v>
      </c>
      <c r="G533" t="str">
        <f t="shared" si="63"/>
        <v>Pre-tax Section 125 (exempt from FIT/SIT/FICA)</v>
      </c>
      <c r="H533" t="str">
        <f t="shared" si="64"/>
        <v>Flat</v>
      </c>
      <c r="I533" s="40" t="str">
        <f>IF($H533="Percent",_xlfn.XLOOKUP($E533,$A$5:$A$8,$F$5:$F$8,""),"")</f>
        <v/>
      </c>
      <c r="J533" s="38">
        <f t="shared" si="65"/>
        <v>30</v>
      </c>
      <c r="K533" t="str">
        <f t="shared" si="66"/>
        <v>Per pay period</v>
      </c>
      <c r="L533" t="str">
        <f t="shared" si="67"/>
        <v>Every pay period (ongoing)</v>
      </c>
      <c r="M533" s="39">
        <f t="array" ref="M533">MAX(_xlfn.XLOOKUP($A533,TRIM(SUBSTITUTE('worker file'!$A$2:$A$406,_xlfn.UNICHAR(160)," ")),'worker file'!$M$2:$M$406,0),_xlfn.XLOOKUP($B533,TRIM('pay group &amp; schedule'!$A$2:$A$6),'pay group &amp; schedule'!$D$2:$D$6,0))</f>
        <v>46311</v>
      </c>
      <c r="N533" s="39" t="str">
        <f t="array" ref="N533">_xlfn.LET(_xlpm.t,_xlfn.XLOOKUP($A533,TRIM(SUBSTITUTE('worker file'!$A$2:$A$406,_xlfn.UNICHAR(160)," ")),'worker file'!$N$2:$N$406,""),IF(N(_xlpm.t)=0,"",_xlpm.t))</f>
        <v/>
      </c>
    </row>
    <row r="534" spans="1:15" x14ac:dyDescent="0.2">
      <c r="A534" s="35" t="s">
        <v>289</v>
      </c>
      <c r="B534" s="36" t="str">
        <f t="array" ref="B534">_xlfn.XLOOKUP($A534,TRIM(SUBSTITUTE('worker file'!$A$2:$A$406,_xlfn.UNICHAR(160)," ")),'worker file'!$L$2:$L$406,"Not found")</f>
        <v>US Semi-monthly</v>
      </c>
      <c r="C534" s="36" t="str">
        <f t="array" ref="C534">_xlfn.XLOOKUP($A534,TRIM(SUBSTITUTE('worker file'!$A$2:$A$406,_xlfn.UNICHAR(160)," ")),'worker file'!$D$2:$D$406,"Not found")</f>
        <v>CA</v>
      </c>
      <c r="D534" s="36" t="str">
        <f t="array" ref="D534">_xlfn.XLOOKUP($A534,TRIM(SUBSTITUTE('worker file'!$A$2:$A$406,_xlfn.UNICHAR(160)," ")),'worker file'!$Q$2:$Q$406,"Not found")</f>
        <v>Active</v>
      </c>
      <c r="E534" s="35" t="s">
        <v>618</v>
      </c>
      <c r="F534" t="str">
        <f t="shared" si="62"/>
        <v>401(k) Employee Deferral</v>
      </c>
      <c r="G534" t="str">
        <f t="shared" si="63"/>
        <v>Pre-tax (exempt from FIT/SIT; subject to FICA)</v>
      </c>
      <c r="H534" t="str">
        <f t="shared" si="64"/>
        <v>Percent</v>
      </c>
      <c r="I534" s="37">
        <v>0.01</v>
      </c>
      <c r="J534" s="38" t="str">
        <f t="shared" si="65"/>
        <v/>
      </c>
      <c r="K534" t="str">
        <f t="shared" si="66"/>
        <v>Gross pay</v>
      </c>
      <c r="L534" t="str">
        <f t="shared" si="67"/>
        <v>Every pay period (ongoing)</v>
      </c>
      <c r="M534" s="39">
        <f t="array" ref="M534">MAX(_xlfn.XLOOKUP($A534,TRIM(SUBSTITUTE('worker file'!$A$2:$A$406,_xlfn.UNICHAR(160)," ")),'worker file'!$M$2:$M$406,0),_xlfn.XLOOKUP($B534,TRIM('pay group &amp; schedule'!$A$2:$A$6),'pay group &amp; schedule'!$D$2:$D$6,0))</f>
        <v>46311</v>
      </c>
      <c r="N534" s="39" t="str">
        <f t="array" ref="N534">_xlfn.LET(_xlpm.t,_xlfn.XLOOKUP($A534,TRIM(SUBSTITUTE('worker file'!$A$2:$A$406,_xlfn.UNICHAR(160)," ")),'worker file'!$N$2:$N$406,""),IF(N(_xlpm.t)=0,"",_xlpm.t))</f>
        <v/>
      </c>
    </row>
    <row r="535" spans="1:15" x14ac:dyDescent="0.2">
      <c r="A535" s="35" t="s">
        <v>289</v>
      </c>
      <c r="B535" s="36" t="str">
        <f t="array" ref="B535">_xlfn.XLOOKUP($A535,TRIM(SUBSTITUTE('worker file'!$A$2:$A$406,_xlfn.UNICHAR(160)," ")),'worker file'!$L$2:$L$406,"Not found")</f>
        <v>US Semi-monthly</v>
      </c>
      <c r="C535" s="36" t="str">
        <f t="array" ref="C535">_xlfn.XLOOKUP($A535,TRIM(SUBSTITUTE('worker file'!$A$2:$A$406,_xlfn.UNICHAR(160)," ")),'worker file'!$D$2:$D$406,"Not found")</f>
        <v>CA</v>
      </c>
      <c r="D535" s="36" t="str">
        <f t="array" ref="D535">_xlfn.XLOOKUP($A535,TRIM(SUBSTITUTE('worker file'!$A$2:$A$406,_xlfn.UNICHAR(160)," ")),'worker file'!$Q$2:$Q$406,"Not found")</f>
        <v>Active</v>
      </c>
      <c r="E535" s="35" t="s">
        <v>626</v>
      </c>
      <c r="F535" t="str">
        <f t="shared" si="62"/>
        <v>Medical (Health) – Employee</v>
      </c>
      <c r="G535" t="str">
        <f t="shared" si="63"/>
        <v>Pre-tax Section 125 (exempt from FIT/SIT/FICA)</v>
      </c>
      <c r="H535" t="str">
        <f t="shared" si="64"/>
        <v>Flat</v>
      </c>
      <c r="I535" s="40" t="str">
        <f>IF($H535="Percent",_xlfn.XLOOKUP($E535,$A$5:$A$8,$F$5:$F$8,""),"")</f>
        <v/>
      </c>
      <c r="J535" s="38">
        <f t="shared" si="65"/>
        <v>200</v>
      </c>
      <c r="K535" t="str">
        <f t="shared" si="66"/>
        <v>Per pay period</v>
      </c>
      <c r="L535" t="str">
        <f t="shared" si="67"/>
        <v>Every pay period (ongoing)</v>
      </c>
      <c r="M535" s="39">
        <f t="array" ref="M535">MAX(_xlfn.XLOOKUP($A535,TRIM(SUBSTITUTE('worker file'!$A$2:$A$406,_xlfn.UNICHAR(160)," ")),'worker file'!$M$2:$M$406,0),_xlfn.XLOOKUP($B535,TRIM('pay group &amp; schedule'!$A$2:$A$6),'pay group &amp; schedule'!$D$2:$D$6,0))</f>
        <v>46311</v>
      </c>
      <c r="N535" s="39" t="str">
        <f t="array" ref="N535">_xlfn.LET(_xlpm.t,_xlfn.XLOOKUP($A535,TRIM(SUBSTITUTE('worker file'!$A$2:$A$406,_xlfn.UNICHAR(160)," ")),'worker file'!$N$2:$N$406,""),IF(N(_xlpm.t)=0,"",_xlpm.t))</f>
        <v/>
      </c>
    </row>
    <row r="536" spans="1:15" x14ac:dyDescent="0.2">
      <c r="A536" s="35" t="s">
        <v>289</v>
      </c>
      <c r="B536" s="36" t="str">
        <f t="array" ref="B536">_xlfn.XLOOKUP($A536,TRIM(SUBSTITUTE('worker file'!$A$2:$A$406,_xlfn.UNICHAR(160)," ")),'worker file'!$L$2:$L$406,"Not found")</f>
        <v>US Semi-monthly</v>
      </c>
      <c r="C536" s="36" t="str">
        <f t="array" ref="C536">_xlfn.XLOOKUP($A536,TRIM(SUBSTITUTE('worker file'!$A$2:$A$406,_xlfn.UNICHAR(160)," ")),'worker file'!$D$2:$D$406,"Not found")</f>
        <v>CA</v>
      </c>
      <c r="D536" s="36" t="str">
        <f t="array" ref="D536">_xlfn.XLOOKUP($A536,TRIM(SUBSTITUTE('worker file'!$A$2:$A$406,_xlfn.UNICHAR(160)," ")),'worker file'!$Q$2:$Q$406,"Not found")</f>
        <v>Active</v>
      </c>
      <c r="E536" s="35" t="s">
        <v>632</v>
      </c>
      <c r="F536" t="str">
        <f t="shared" si="62"/>
        <v>Dental – Employee</v>
      </c>
      <c r="G536" t="str">
        <f t="shared" si="63"/>
        <v>Pre-tax Section 125 (exempt from FIT/SIT/FICA)</v>
      </c>
      <c r="H536" t="str">
        <f t="shared" si="64"/>
        <v>Flat</v>
      </c>
      <c r="I536" s="40" t="str">
        <f>IF($H536="Percent",_xlfn.XLOOKUP($E536,$A$5:$A$8,$F$5:$F$8,""),"")</f>
        <v/>
      </c>
      <c r="J536" s="38">
        <f t="shared" si="65"/>
        <v>44</v>
      </c>
      <c r="K536" t="str">
        <f t="shared" si="66"/>
        <v>Per pay period</v>
      </c>
      <c r="L536" t="str">
        <f t="shared" si="67"/>
        <v>Every pay period (ongoing)</v>
      </c>
      <c r="M536" s="39">
        <f t="array" ref="M536">MAX(_xlfn.XLOOKUP($A536,TRIM(SUBSTITUTE('worker file'!$A$2:$A$406,_xlfn.UNICHAR(160)," ")),'worker file'!$M$2:$M$406,0),_xlfn.XLOOKUP($B536,TRIM('pay group &amp; schedule'!$A$2:$A$6),'pay group &amp; schedule'!$D$2:$D$6,0))</f>
        <v>46311</v>
      </c>
      <c r="N536" s="39" t="str">
        <f t="array" ref="N536">_xlfn.LET(_xlpm.t,_xlfn.XLOOKUP($A536,TRIM(SUBSTITUTE('worker file'!$A$2:$A$406,_xlfn.UNICHAR(160)," ")),'worker file'!$N$2:$N$406,""),IF(N(_xlpm.t)=0,"",_xlpm.t))</f>
        <v/>
      </c>
    </row>
    <row r="537" spans="1:15" x14ac:dyDescent="0.2">
      <c r="A537" s="35" t="s">
        <v>289</v>
      </c>
      <c r="B537" s="36" t="str">
        <f t="array" ref="B537">_xlfn.XLOOKUP($A537,TRIM(SUBSTITUTE('worker file'!$A$2:$A$406,_xlfn.UNICHAR(160)," ")),'worker file'!$L$2:$L$406,"Not found")</f>
        <v>US Semi-monthly</v>
      </c>
      <c r="C537" s="36" t="str">
        <f t="array" ref="C537">_xlfn.XLOOKUP($A537,TRIM(SUBSTITUTE('worker file'!$A$2:$A$406,_xlfn.UNICHAR(160)," ")),'worker file'!$D$2:$D$406,"Not found")</f>
        <v>CA</v>
      </c>
      <c r="D537" s="36" t="str">
        <f t="array" ref="D537">_xlfn.XLOOKUP($A537,TRIM(SUBSTITUTE('worker file'!$A$2:$A$406,_xlfn.UNICHAR(160)," ")),'worker file'!$Q$2:$Q$406,"Not found")</f>
        <v>Active</v>
      </c>
      <c r="E537" s="35" t="s">
        <v>634</v>
      </c>
      <c r="F537" t="str">
        <f t="shared" si="62"/>
        <v>Vision – Employee</v>
      </c>
      <c r="G537" t="str">
        <f t="shared" si="63"/>
        <v>Pre-tax Section 125 (exempt from FIT/SIT/FICA)</v>
      </c>
      <c r="H537" t="str">
        <f t="shared" si="64"/>
        <v>Flat</v>
      </c>
      <c r="I537" s="40" t="str">
        <f>IF($H537="Percent",_xlfn.XLOOKUP($E537,$A$5:$A$8,$F$5:$F$8,""),"")</f>
        <v/>
      </c>
      <c r="J537" s="38">
        <f t="shared" si="65"/>
        <v>30</v>
      </c>
      <c r="K537" t="str">
        <f t="shared" si="66"/>
        <v>Per pay period</v>
      </c>
      <c r="L537" t="str">
        <f t="shared" si="67"/>
        <v>Every pay period (ongoing)</v>
      </c>
      <c r="M537" s="39">
        <f t="array" ref="M537">MAX(_xlfn.XLOOKUP($A537,TRIM(SUBSTITUTE('worker file'!$A$2:$A$406,_xlfn.UNICHAR(160)," ")),'worker file'!$M$2:$M$406,0),_xlfn.XLOOKUP($B537,TRIM('pay group &amp; schedule'!$A$2:$A$6),'pay group &amp; schedule'!$D$2:$D$6,0))</f>
        <v>46311</v>
      </c>
      <c r="N537" s="39" t="str">
        <f t="array" ref="N537">_xlfn.LET(_xlpm.t,_xlfn.XLOOKUP($A537,TRIM(SUBSTITUTE('worker file'!$A$2:$A$406,_xlfn.UNICHAR(160)," ")),'worker file'!$N$2:$N$406,""),IF(N(_xlpm.t)=0,"",_xlpm.t))</f>
        <v/>
      </c>
    </row>
    <row r="538" spans="1:15" x14ac:dyDescent="0.2">
      <c r="A538" s="35" t="s">
        <v>290</v>
      </c>
      <c r="B538" s="36" t="str">
        <f t="array" ref="B538">_xlfn.XLOOKUP($A538,TRIM(SUBSTITUTE('worker file'!$A$2:$A$406,_xlfn.UNICHAR(160)," ")),'worker file'!$L$2:$L$406,"Not found")</f>
        <v>US Semi-monthly</v>
      </c>
      <c r="C538" s="36" t="str">
        <f t="array" ref="C538">_xlfn.XLOOKUP($A538,TRIM(SUBSTITUTE('worker file'!$A$2:$A$406,_xlfn.UNICHAR(160)," ")),'worker file'!$D$2:$D$406,"Not found")</f>
        <v>CA</v>
      </c>
      <c r="D538" s="36" t="str">
        <f t="array" ref="D538">_xlfn.XLOOKUP($A538,TRIM(SUBSTITUTE('worker file'!$A$2:$A$406,_xlfn.UNICHAR(160)," ")),'worker file'!$Q$2:$Q$406,"Not found")</f>
        <v>Active</v>
      </c>
      <c r="E538" s="35" t="s">
        <v>618</v>
      </c>
      <c r="F538" t="str">
        <f t="shared" si="62"/>
        <v>401(k) Employee Deferral</v>
      </c>
      <c r="G538" t="str">
        <f t="shared" si="63"/>
        <v>Pre-tax (exempt from FIT/SIT; subject to FICA)</v>
      </c>
      <c r="H538" t="str">
        <f t="shared" si="64"/>
        <v>Percent</v>
      </c>
      <c r="I538" s="37">
        <v>0.06</v>
      </c>
      <c r="J538" s="38" t="str">
        <f t="shared" si="65"/>
        <v/>
      </c>
      <c r="K538" t="str">
        <f t="shared" si="66"/>
        <v>Gross pay</v>
      </c>
      <c r="L538" t="str">
        <f t="shared" si="67"/>
        <v>Every pay period (ongoing)</v>
      </c>
      <c r="M538" s="39">
        <f t="array" ref="M538">MAX(_xlfn.XLOOKUP($A538,TRIM(SUBSTITUTE('worker file'!$A$2:$A$406,_xlfn.UNICHAR(160)," ")),'worker file'!$M$2:$M$406,0),_xlfn.XLOOKUP($B538,TRIM('pay group &amp; schedule'!$A$2:$A$6),'pay group &amp; schedule'!$D$2:$D$6,0))</f>
        <v>46311</v>
      </c>
      <c r="N538" s="39" t="str">
        <f t="array" ref="N538">_xlfn.LET(_xlpm.t,_xlfn.XLOOKUP($A538,TRIM(SUBSTITUTE('worker file'!$A$2:$A$406,_xlfn.UNICHAR(160)," ")),'worker file'!$N$2:$N$406,""),IF(N(_xlpm.t)=0,"",_xlpm.t))</f>
        <v/>
      </c>
    </row>
    <row r="539" spans="1:15" x14ac:dyDescent="0.2">
      <c r="A539" s="35" t="s">
        <v>290</v>
      </c>
      <c r="B539" s="36" t="str">
        <f t="array" ref="B539">_xlfn.XLOOKUP($A539,TRIM(SUBSTITUTE('worker file'!$A$2:$A$406,_xlfn.UNICHAR(160)," ")),'worker file'!$L$2:$L$406,"Not found")</f>
        <v>US Semi-monthly</v>
      </c>
      <c r="C539" s="36" t="str">
        <f t="array" ref="C539">_xlfn.XLOOKUP($A539,TRIM(SUBSTITUTE('worker file'!$A$2:$A$406,_xlfn.UNICHAR(160)," ")),'worker file'!$D$2:$D$406,"Not found")</f>
        <v>CA</v>
      </c>
      <c r="D539" s="36" t="str">
        <f t="array" ref="D539">_xlfn.XLOOKUP($A539,TRIM(SUBSTITUTE('worker file'!$A$2:$A$406,_xlfn.UNICHAR(160)," ")),'worker file'!$Q$2:$Q$406,"Not found")</f>
        <v>Active</v>
      </c>
      <c r="E539" s="35" t="s">
        <v>626</v>
      </c>
      <c r="F539" t="str">
        <f t="shared" si="62"/>
        <v>Medical (Health) – Employee</v>
      </c>
      <c r="G539" t="str">
        <f t="shared" si="63"/>
        <v>Pre-tax Section 125 (exempt from FIT/SIT/FICA)</v>
      </c>
      <c r="H539" t="str">
        <f t="shared" si="64"/>
        <v>Flat</v>
      </c>
      <c r="I539" s="40" t="str">
        <f>IF($H539="Percent",_xlfn.XLOOKUP($E539,$A$5:$A$8,$F$5:$F$8,""),"")</f>
        <v/>
      </c>
      <c r="J539" s="38">
        <f t="shared" si="65"/>
        <v>200</v>
      </c>
      <c r="K539" t="str">
        <f t="shared" si="66"/>
        <v>Per pay period</v>
      </c>
      <c r="L539" t="str">
        <f t="shared" si="67"/>
        <v>Every pay period (ongoing)</v>
      </c>
      <c r="M539" s="39">
        <f t="array" ref="M539">MAX(_xlfn.XLOOKUP($A539,TRIM(SUBSTITUTE('worker file'!$A$2:$A$406,_xlfn.UNICHAR(160)," ")),'worker file'!$M$2:$M$406,0),_xlfn.XLOOKUP($B539,TRIM('pay group &amp; schedule'!$A$2:$A$6),'pay group &amp; schedule'!$D$2:$D$6,0))</f>
        <v>46311</v>
      </c>
      <c r="N539" s="39" t="str">
        <f t="array" ref="N539">_xlfn.LET(_xlpm.t,_xlfn.XLOOKUP($A539,TRIM(SUBSTITUTE('worker file'!$A$2:$A$406,_xlfn.UNICHAR(160)," ")),'worker file'!$N$2:$N$406,""),IF(N(_xlpm.t)=0,"",_xlpm.t))</f>
        <v/>
      </c>
    </row>
    <row r="540" spans="1:15" x14ac:dyDescent="0.2">
      <c r="A540" s="35" t="s">
        <v>290</v>
      </c>
      <c r="B540" s="36" t="str">
        <f t="array" ref="B540">_xlfn.XLOOKUP($A540,TRIM(SUBSTITUTE('worker file'!$A$2:$A$406,_xlfn.UNICHAR(160)," ")),'worker file'!$L$2:$L$406,"Not found")</f>
        <v>US Semi-monthly</v>
      </c>
      <c r="C540" s="36" t="str">
        <f t="array" ref="C540">_xlfn.XLOOKUP($A540,TRIM(SUBSTITUTE('worker file'!$A$2:$A$406,_xlfn.UNICHAR(160)," ")),'worker file'!$D$2:$D$406,"Not found")</f>
        <v>CA</v>
      </c>
      <c r="D540" s="36" t="str">
        <f t="array" ref="D540">_xlfn.XLOOKUP($A540,TRIM(SUBSTITUTE('worker file'!$A$2:$A$406,_xlfn.UNICHAR(160)," ")),'worker file'!$Q$2:$Q$406,"Not found")</f>
        <v>Active</v>
      </c>
      <c r="E540" s="35" t="s">
        <v>632</v>
      </c>
      <c r="F540" t="str">
        <f t="shared" si="62"/>
        <v>Dental – Employee</v>
      </c>
      <c r="G540" t="str">
        <f t="shared" si="63"/>
        <v>Pre-tax Section 125 (exempt from FIT/SIT/FICA)</v>
      </c>
      <c r="H540" t="str">
        <f t="shared" si="64"/>
        <v>Flat</v>
      </c>
      <c r="I540" s="40" t="str">
        <f>IF($H540="Percent",_xlfn.XLOOKUP($E540,$A$5:$A$8,$F$5:$F$8,""),"")</f>
        <v/>
      </c>
      <c r="J540" s="38">
        <f t="shared" si="65"/>
        <v>44</v>
      </c>
      <c r="K540" t="str">
        <f t="shared" si="66"/>
        <v>Per pay period</v>
      </c>
      <c r="L540" t="str">
        <f t="shared" si="67"/>
        <v>Every pay period (ongoing)</v>
      </c>
      <c r="M540" s="39">
        <f t="array" ref="M540">MAX(_xlfn.XLOOKUP($A540,TRIM(SUBSTITUTE('worker file'!$A$2:$A$406,_xlfn.UNICHAR(160)," ")),'worker file'!$M$2:$M$406,0),_xlfn.XLOOKUP($B540,TRIM('pay group &amp; schedule'!$A$2:$A$6),'pay group &amp; schedule'!$D$2:$D$6,0))</f>
        <v>46311</v>
      </c>
      <c r="N540" s="39" t="str">
        <f t="array" ref="N540">_xlfn.LET(_xlpm.t,_xlfn.XLOOKUP($A540,TRIM(SUBSTITUTE('worker file'!$A$2:$A$406,_xlfn.UNICHAR(160)," ")),'worker file'!$N$2:$N$406,""),IF(N(_xlpm.t)=0,"",_xlpm.t))</f>
        <v/>
      </c>
    </row>
    <row r="541" spans="1:15" x14ac:dyDescent="0.2">
      <c r="A541" s="35" t="s">
        <v>290</v>
      </c>
      <c r="B541" s="36" t="str">
        <f t="array" ref="B541">_xlfn.XLOOKUP($A541,TRIM(SUBSTITUTE('worker file'!$A$2:$A$406,_xlfn.UNICHAR(160)," ")),'worker file'!$L$2:$L$406,"Not found")</f>
        <v>US Semi-monthly</v>
      </c>
      <c r="C541" s="36" t="str">
        <f t="array" ref="C541">_xlfn.XLOOKUP($A541,TRIM(SUBSTITUTE('worker file'!$A$2:$A$406,_xlfn.UNICHAR(160)," ")),'worker file'!$D$2:$D$406,"Not found")</f>
        <v>CA</v>
      </c>
      <c r="D541" s="36" t="str">
        <f t="array" ref="D541">_xlfn.XLOOKUP($A541,TRIM(SUBSTITUTE('worker file'!$A$2:$A$406,_xlfn.UNICHAR(160)," ")),'worker file'!$Q$2:$Q$406,"Not found")</f>
        <v>Active</v>
      </c>
      <c r="E541" s="35" t="s">
        <v>634</v>
      </c>
      <c r="F541" t="str">
        <f t="shared" si="62"/>
        <v>Vision – Employee</v>
      </c>
      <c r="G541" t="str">
        <f t="shared" si="63"/>
        <v>Pre-tax Section 125 (exempt from FIT/SIT/FICA)</v>
      </c>
      <c r="H541" t="str">
        <f t="shared" si="64"/>
        <v>Flat</v>
      </c>
      <c r="I541" s="40" t="str">
        <f>IF($H541="Percent",_xlfn.XLOOKUP($E541,$A$5:$A$8,$F$5:$F$8,""),"")</f>
        <v/>
      </c>
      <c r="J541" s="38">
        <f t="shared" si="65"/>
        <v>30</v>
      </c>
      <c r="K541" t="str">
        <f t="shared" si="66"/>
        <v>Per pay period</v>
      </c>
      <c r="L541" t="str">
        <f t="shared" si="67"/>
        <v>Every pay period (ongoing)</v>
      </c>
      <c r="M541" s="39">
        <f t="array" ref="M541">MAX(_xlfn.XLOOKUP($A541,TRIM(SUBSTITUTE('worker file'!$A$2:$A$406,_xlfn.UNICHAR(160)," ")),'worker file'!$M$2:$M$406,0),_xlfn.XLOOKUP($B541,TRIM('pay group &amp; schedule'!$A$2:$A$6),'pay group &amp; schedule'!$D$2:$D$6,0))</f>
        <v>46311</v>
      </c>
      <c r="N541" s="39" t="str">
        <f t="array" ref="N541">_xlfn.LET(_xlpm.t,_xlfn.XLOOKUP($A541,TRIM(SUBSTITUTE('worker file'!$A$2:$A$406,_xlfn.UNICHAR(160)," ")),'worker file'!$N$2:$N$406,""),IF(N(_xlpm.t)=0,"",_xlpm.t))</f>
        <v/>
      </c>
    </row>
    <row r="542" spans="1:15" x14ac:dyDescent="0.2">
      <c r="A542" s="35" t="s">
        <v>291</v>
      </c>
      <c r="B542" s="36" t="str">
        <f t="array" ref="B542">_xlfn.XLOOKUP($A542,TRIM(SUBSTITUTE('worker file'!$A$2:$A$406,_xlfn.UNICHAR(160)," ")),'worker file'!$L$2:$L$406,"Not found")</f>
        <v>US Semi-monthly</v>
      </c>
      <c r="C542" s="36" t="str">
        <f t="array" ref="C542">_xlfn.XLOOKUP($A542,TRIM(SUBSTITUTE('worker file'!$A$2:$A$406,_xlfn.UNICHAR(160)," ")),'worker file'!$D$2:$D$406,"Not found")</f>
        <v>CA</v>
      </c>
      <c r="D542" s="36" t="str">
        <f t="array" ref="D542">_xlfn.XLOOKUP($A542,TRIM(SUBSTITUTE('worker file'!$A$2:$A$406,_xlfn.UNICHAR(160)," ")),'worker file'!$Q$2:$Q$406,"Not found")</f>
        <v>Active</v>
      </c>
      <c r="E542" s="35" t="s">
        <v>618</v>
      </c>
      <c r="F542" t="str">
        <f t="shared" si="62"/>
        <v>401(k) Employee Deferral</v>
      </c>
      <c r="G542" t="str">
        <f t="shared" si="63"/>
        <v>Pre-tax (exempt from FIT/SIT; subject to FICA)</v>
      </c>
      <c r="H542" t="str">
        <f t="shared" si="64"/>
        <v>Percent</v>
      </c>
      <c r="I542" s="37">
        <v>0.03</v>
      </c>
      <c r="J542" s="38" t="str">
        <f t="shared" si="65"/>
        <v/>
      </c>
      <c r="K542" t="str">
        <f t="shared" si="66"/>
        <v>Gross pay</v>
      </c>
      <c r="L542" t="str">
        <f t="shared" si="67"/>
        <v>Every pay period (ongoing)</v>
      </c>
      <c r="M542" s="39">
        <f t="array" ref="M542">MAX(_xlfn.XLOOKUP($A542,TRIM(SUBSTITUTE('worker file'!$A$2:$A$406,_xlfn.UNICHAR(160)," ")),'worker file'!$M$2:$M$406,0),_xlfn.XLOOKUP($B542,TRIM('pay group &amp; schedule'!$A$2:$A$6),'pay group &amp; schedule'!$D$2:$D$6,0))</f>
        <v>46311</v>
      </c>
      <c r="N542" s="39" t="str">
        <f t="array" ref="N542">_xlfn.LET(_xlpm.t,_xlfn.XLOOKUP($A542,TRIM(SUBSTITUTE('worker file'!$A$2:$A$406,_xlfn.UNICHAR(160)," ")),'worker file'!$N$2:$N$406,""),IF(N(_xlpm.t)=0,"",_xlpm.t))</f>
        <v/>
      </c>
    </row>
    <row r="543" spans="1:15" x14ac:dyDescent="0.2">
      <c r="A543" s="35" t="s">
        <v>291</v>
      </c>
      <c r="B543" s="36" t="str">
        <f t="array" ref="B543">_xlfn.XLOOKUP($A543,TRIM(SUBSTITUTE('worker file'!$A$2:$A$406,_xlfn.UNICHAR(160)," ")),'worker file'!$L$2:$L$406,"Not found")</f>
        <v>US Semi-monthly</v>
      </c>
      <c r="C543" s="36" t="str">
        <f t="array" ref="C543">_xlfn.XLOOKUP($A543,TRIM(SUBSTITUTE('worker file'!$A$2:$A$406,_xlfn.UNICHAR(160)," ")),'worker file'!$D$2:$D$406,"Not found")</f>
        <v>CA</v>
      </c>
      <c r="D543" s="36" t="str">
        <f t="array" ref="D543">_xlfn.XLOOKUP($A543,TRIM(SUBSTITUTE('worker file'!$A$2:$A$406,_xlfn.UNICHAR(160)," ")),'worker file'!$Q$2:$Q$406,"Not found")</f>
        <v>Active</v>
      </c>
      <c r="E543" s="35" t="s">
        <v>626</v>
      </c>
      <c r="F543" t="str">
        <f t="shared" si="62"/>
        <v>Medical (Health) – Employee</v>
      </c>
      <c r="G543" t="str">
        <f t="shared" si="63"/>
        <v>Pre-tax Section 125 (exempt from FIT/SIT/FICA)</v>
      </c>
      <c r="H543" t="str">
        <f t="shared" si="64"/>
        <v>Flat</v>
      </c>
      <c r="I543" s="40" t="str">
        <f>IF($H543="Percent",_xlfn.XLOOKUP($E543,$A$5:$A$8,$F$5:$F$8,""),"")</f>
        <v/>
      </c>
      <c r="J543" s="38">
        <f t="shared" si="65"/>
        <v>200</v>
      </c>
      <c r="K543" t="str">
        <f t="shared" si="66"/>
        <v>Per pay period</v>
      </c>
      <c r="L543" t="str">
        <f t="shared" si="67"/>
        <v>Every pay period (ongoing)</v>
      </c>
      <c r="M543" s="39">
        <f t="array" ref="M543">MAX(_xlfn.XLOOKUP($A543,TRIM(SUBSTITUTE('worker file'!$A$2:$A$406,_xlfn.UNICHAR(160)," ")),'worker file'!$M$2:$M$406,0),_xlfn.XLOOKUP($B543,TRIM('pay group &amp; schedule'!$A$2:$A$6),'pay group &amp; schedule'!$D$2:$D$6,0))</f>
        <v>46311</v>
      </c>
      <c r="N543" s="39" t="str">
        <f t="array" ref="N543">_xlfn.LET(_xlpm.t,_xlfn.XLOOKUP($A543,TRIM(SUBSTITUTE('worker file'!$A$2:$A$406,_xlfn.UNICHAR(160)," ")),'worker file'!$N$2:$N$406,""),IF(N(_xlpm.t)=0,"",_xlpm.t))</f>
        <v/>
      </c>
    </row>
    <row r="544" spans="1:15" x14ac:dyDescent="0.2">
      <c r="A544" s="35" t="s">
        <v>291</v>
      </c>
      <c r="B544" s="36" t="str">
        <f t="array" ref="B544">_xlfn.XLOOKUP($A544,TRIM(SUBSTITUTE('worker file'!$A$2:$A$406,_xlfn.UNICHAR(160)," ")),'worker file'!$L$2:$L$406,"Not found")</f>
        <v>US Semi-monthly</v>
      </c>
      <c r="C544" s="36" t="str">
        <f t="array" ref="C544">_xlfn.XLOOKUP($A544,TRIM(SUBSTITUTE('worker file'!$A$2:$A$406,_xlfn.UNICHAR(160)," ")),'worker file'!$D$2:$D$406,"Not found")</f>
        <v>CA</v>
      </c>
      <c r="D544" s="36" t="str">
        <f t="array" ref="D544">_xlfn.XLOOKUP($A544,TRIM(SUBSTITUTE('worker file'!$A$2:$A$406,_xlfn.UNICHAR(160)," ")),'worker file'!$Q$2:$Q$406,"Not found")</f>
        <v>Active</v>
      </c>
      <c r="E544" s="35" t="s">
        <v>632</v>
      </c>
      <c r="F544" t="str">
        <f t="shared" si="62"/>
        <v>Dental – Employee</v>
      </c>
      <c r="G544" t="str">
        <f t="shared" si="63"/>
        <v>Pre-tax Section 125 (exempt from FIT/SIT/FICA)</v>
      </c>
      <c r="H544" t="str">
        <f t="shared" si="64"/>
        <v>Flat</v>
      </c>
      <c r="I544" s="40" t="str">
        <f>IF($H544="Percent",_xlfn.XLOOKUP($E544,$A$5:$A$8,$F$5:$F$8,""),"")</f>
        <v/>
      </c>
      <c r="J544" s="38">
        <f t="shared" si="65"/>
        <v>44</v>
      </c>
      <c r="K544" t="str">
        <f t="shared" si="66"/>
        <v>Per pay period</v>
      </c>
      <c r="L544" t="str">
        <f t="shared" si="67"/>
        <v>Every pay period (ongoing)</v>
      </c>
      <c r="M544" s="39">
        <f t="array" ref="M544">MAX(_xlfn.XLOOKUP($A544,TRIM(SUBSTITUTE('worker file'!$A$2:$A$406,_xlfn.UNICHAR(160)," ")),'worker file'!$M$2:$M$406,0),_xlfn.XLOOKUP($B544,TRIM('pay group &amp; schedule'!$A$2:$A$6),'pay group &amp; schedule'!$D$2:$D$6,0))</f>
        <v>46311</v>
      </c>
      <c r="N544" s="39" t="str">
        <f t="array" ref="N544">_xlfn.LET(_xlpm.t,_xlfn.XLOOKUP($A544,TRIM(SUBSTITUTE('worker file'!$A$2:$A$406,_xlfn.UNICHAR(160)," ")),'worker file'!$N$2:$N$406,""),IF(N(_xlpm.t)=0,"",_xlpm.t))</f>
        <v/>
      </c>
    </row>
    <row r="545" spans="1:14" x14ac:dyDescent="0.2">
      <c r="A545" s="35" t="s">
        <v>291</v>
      </c>
      <c r="B545" s="36" t="str">
        <f t="array" ref="B545">_xlfn.XLOOKUP($A545,TRIM(SUBSTITUTE('worker file'!$A$2:$A$406,_xlfn.UNICHAR(160)," ")),'worker file'!$L$2:$L$406,"Not found")</f>
        <v>US Semi-monthly</v>
      </c>
      <c r="C545" s="36" t="str">
        <f t="array" ref="C545">_xlfn.XLOOKUP($A545,TRIM(SUBSTITUTE('worker file'!$A$2:$A$406,_xlfn.UNICHAR(160)," ")),'worker file'!$D$2:$D$406,"Not found")</f>
        <v>CA</v>
      </c>
      <c r="D545" s="36" t="str">
        <f t="array" ref="D545">_xlfn.XLOOKUP($A545,TRIM(SUBSTITUTE('worker file'!$A$2:$A$406,_xlfn.UNICHAR(160)," ")),'worker file'!$Q$2:$Q$406,"Not found")</f>
        <v>Active</v>
      </c>
      <c r="E545" s="35" t="s">
        <v>634</v>
      </c>
      <c r="F545" t="str">
        <f t="shared" si="62"/>
        <v>Vision – Employee</v>
      </c>
      <c r="G545" t="str">
        <f t="shared" si="63"/>
        <v>Pre-tax Section 125 (exempt from FIT/SIT/FICA)</v>
      </c>
      <c r="H545" t="str">
        <f t="shared" si="64"/>
        <v>Flat</v>
      </c>
      <c r="I545" s="40" t="str">
        <f>IF($H545="Percent",_xlfn.XLOOKUP($E545,$A$5:$A$8,$F$5:$F$8,""),"")</f>
        <v/>
      </c>
      <c r="J545" s="38">
        <f t="shared" si="65"/>
        <v>30</v>
      </c>
      <c r="K545" t="str">
        <f t="shared" si="66"/>
        <v>Per pay period</v>
      </c>
      <c r="L545" t="str">
        <f t="shared" si="67"/>
        <v>Every pay period (ongoing)</v>
      </c>
      <c r="M545" s="39">
        <f t="array" ref="M545">MAX(_xlfn.XLOOKUP($A545,TRIM(SUBSTITUTE('worker file'!$A$2:$A$406,_xlfn.UNICHAR(160)," ")),'worker file'!$M$2:$M$406,0),_xlfn.XLOOKUP($B545,TRIM('pay group &amp; schedule'!$A$2:$A$6),'pay group &amp; schedule'!$D$2:$D$6,0))</f>
        <v>46311</v>
      </c>
      <c r="N545" s="39" t="str">
        <f t="array" ref="N545">_xlfn.LET(_xlpm.t,_xlfn.XLOOKUP($A545,TRIM(SUBSTITUTE('worker file'!$A$2:$A$406,_xlfn.UNICHAR(160)," ")),'worker file'!$N$2:$N$406,""),IF(N(_xlpm.t)=0,"",_xlpm.t))</f>
        <v/>
      </c>
    </row>
    <row r="546" spans="1:14" x14ac:dyDescent="0.2">
      <c r="A546" s="35" t="s">
        <v>292</v>
      </c>
      <c r="B546" s="36" t="str">
        <f t="array" ref="B546">_xlfn.XLOOKUP($A546,TRIM(SUBSTITUTE('worker file'!$A$2:$A$406,_xlfn.UNICHAR(160)," ")),'worker file'!$L$2:$L$406,"Not found")</f>
        <v>US Semi-monthly</v>
      </c>
      <c r="C546" s="36" t="str">
        <f t="array" ref="C546">_xlfn.XLOOKUP($A546,TRIM(SUBSTITUTE('worker file'!$A$2:$A$406,_xlfn.UNICHAR(160)," ")),'worker file'!$D$2:$D$406,"Not found")</f>
        <v>WA</v>
      </c>
      <c r="D546" s="36" t="str">
        <f t="array" ref="D546">_xlfn.XLOOKUP($A546,TRIM(SUBSTITUTE('worker file'!$A$2:$A$406,_xlfn.UNICHAR(160)," ")),'worker file'!$Q$2:$Q$406,"Not found")</f>
        <v>Active</v>
      </c>
      <c r="E546" s="35" t="s">
        <v>618</v>
      </c>
      <c r="F546" t="str">
        <f t="shared" si="62"/>
        <v>401(k) Employee Deferral</v>
      </c>
      <c r="G546" t="str">
        <f t="shared" si="63"/>
        <v>Pre-tax (exempt from FIT/SIT; subject to FICA)</v>
      </c>
      <c r="H546" t="str">
        <f t="shared" si="64"/>
        <v>Percent</v>
      </c>
      <c r="I546" s="37">
        <v>0</v>
      </c>
      <c r="J546" s="38" t="str">
        <f t="shared" si="65"/>
        <v/>
      </c>
      <c r="K546" t="str">
        <f t="shared" si="66"/>
        <v>Gross pay</v>
      </c>
      <c r="L546" t="str">
        <f t="shared" si="67"/>
        <v>Every pay period (ongoing)</v>
      </c>
      <c r="M546" s="39">
        <f t="array" ref="M546">MAX(_xlfn.XLOOKUP($A546,TRIM(SUBSTITUTE('worker file'!$A$2:$A$406,_xlfn.UNICHAR(160)," ")),'worker file'!$M$2:$M$406,0),_xlfn.XLOOKUP($B546,TRIM('pay group &amp; schedule'!$A$2:$A$6),'pay group &amp; schedule'!$D$2:$D$6,0))</f>
        <v>46311</v>
      </c>
      <c r="N546" s="39" t="str">
        <f t="array" ref="N546">_xlfn.LET(_xlpm.t,_xlfn.XLOOKUP($A546,TRIM(SUBSTITUTE('worker file'!$A$2:$A$406,_xlfn.UNICHAR(160)," ")),'worker file'!$N$2:$N$406,""),IF(N(_xlpm.t)=0,"",_xlpm.t))</f>
        <v/>
      </c>
    </row>
    <row r="547" spans="1:14" x14ac:dyDescent="0.2">
      <c r="A547" s="35" t="s">
        <v>292</v>
      </c>
      <c r="B547" s="36" t="str">
        <f t="array" ref="B547">_xlfn.XLOOKUP($A547,TRIM(SUBSTITUTE('worker file'!$A$2:$A$406,_xlfn.UNICHAR(160)," ")),'worker file'!$L$2:$L$406,"Not found")</f>
        <v>US Semi-monthly</v>
      </c>
      <c r="C547" s="36" t="str">
        <f t="array" ref="C547">_xlfn.XLOOKUP($A547,TRIM(SUBSTITUTE('worker file'!$A$2:$A$406,_xlfn.UNICHAR(160)," ")),'worker file'!$D$2:$D$406,"Not found")</f>
        <v>WA</v>
      </c>
      <c r="D547" s="36" t="str">
        <f t="array" ref="D547">_xlfn.XLOOKUP($A547,TRIM(SUBSTITUTE('worker file'!$A$2:$A$406,_xlfn.UNICHAR(160)," ")),'worker file'!$Q$2:$Q$406,"Not found")</f>
        <v>Active</v>
      </c>
      <c r="E547" s="35" t="s">
        <v>626</v>
      </c>
      <c r="F547" t="str">
        <f t="shared" si="62"/>
        <v>Medical (Health) – Employee</v>
      </c>
      <c r="G547" t="str">
        <f t="shared" si="63"/>
        <v>Pre-tax Section 125 (exempt from FIT/SIT/FICA)</v>
      </c>
      <c r="H547" t="str">
        <f t="shared" si="64"/>
        <v>Flat</v>
      </c>
      <c r="I547" s="40" t="str">
        <f>IF($H547="Percent",_xlfn.XLOOKUP($E547,$A$5:$A$8,$F$5:$F$8,""),"")</f>
        <v/>
      </c>
      <c r="J547" s="38">
        <f t="shared" si="65"/>
        <v>200</v>
      </c>
      <c r="K547" t="str">
        <f t="shared" si="66"/>
        <v>Per pay period</v>
      </c>
      <c r="L547" t="str">
        <f t="shared" si="67"/>
        <v>Every pay period (ongoing)</v>
      </c>
      <c r="M547" s="39">
        <f t="array" ref="M547">MAX(_xlfn.XLOOKUP($A547,TRIM(SUBSTITUTE('worker file'!$A$2:$A$406,_xlfn.UNICHAR(160)," ")),'worker file'!$M$2:$M$406,0),_xlfn.XLOOKUP($B547,TRIM('pay group &amp; schedule'!$A$2:$A$6),'pay group &amp; schedule'!$D$2:$D$6,0))</f>
        <v>46311</v>
      </c>
      <c r="N547" s="39" t="str">
        <f t="array" ref="N547">_xlfn.LET(_xlpm.t,_xlfn.XLOOKUP($A547,TRIM(SUBSTITUTE('worker file'!$A$2:$A$406,_xlfn.UNICHAR(160)," ")),'worker file'!$N$2:$N$406,""),IF(N(_xlpm.t)=0,"",_xlpm.t))</f>
        <v/>
      </c>
    </row>
    <row r="548" spans="1:14" x14ac:dyDescent="0.2">
      <c r="A548" s="35" t="s">
        <v>292</v>
      </c>
      <c r="B548" s="36" t="str">
        <f t="array" ref="B548">_xlfn.XLOOKUP($A548,TRIM(SUBSTITUTE('worker file'!$A$2:$A$406,_xlfn.UNICHAR(160)," ")),'worker file'!$L$2:$L$406,"Not found")</f>
        <v>US Semi-monthly</v>
      </c>
      <c r="C548" s="36" t="str">
        <f t="array" ref="C548">_xlfn.XLOOKUP($A548,TRIM(SUBSTITUTE('worker file'!$A$2:$A$406,_xlfn.UNICHAR(160)," ")),'worker file'!$D$2:$D$406,"Not found")</f>
        <v>WA</v>
      </c>
      <c r="D548" s="36" t="str">
        <f t="array" ref="D548">_xlfn.XLOOKUP($A548,TRIM(SUBSTITUTE('worker file'!$A$2:$A$406,_xlfn.UNICHAR(160)," ")),'worker file'!$Q$2:$Q$406,"Not found")</f>
        <v>Active</v>
      </c>
      <c r="E548" s="35" t="s">
        <v>632</v>
      </c>
      <c r="F548" t="str">
        <f t="shared" si="62"/>
        <v>Dental – Employee</v>
      </c>
      <c r="G548" t="str">
        <f t="shared" si="63"/>
        <v>Pre-tax Section 125 (exempt from FIT/SIT/FICA)</v>
      </c>
      <c r="H548" t="str">
        <f t="shared" si="64"/>
        <v>Flat</v>
      </c>
      <c r="I548" s="40" t="str">
        <f>IF($H548="Percent",_xlfn.XLOOKUP($E548,$A$5:$A$8,$F$5:$F$8,""),"")</f>
        <v/>
      </c>
      <c r="J548" s="38">
        <f t="shared" si="65"/>
        <v>44</v>
      </c>
      <c r="K548" t="str">
        <f t="shared" si="66"/>
        <v>Per pay period</v>
      </c>
      <c r="L548" t="str">
        <f t="shared" si="67"/>
        <v>Every pay period (ongoing)</v>
      </c>
      <c r="M548" s="39">
        <f t="array" ref="M548">MAX(_xlfn.XLOOKUP($A548,TRIM(SUBSTITUTE('worker file'!$A$2:$A$406,_xlfn.UNICHAR(160)," ")),'worker file'!$M$2:$M$406,0),_xlfn.XLOOKUP($B548,TRIM('pay group &amp; schedule'!$A$2:$A$6),'pay group &amp; schedule'!$D$2:$D$6,0))</f>
        <v>46311</v>
      </c>
      <c r="N548" s="39" t="str">
        <f t="array" ref="N548">_xlfn.LET(_xlpm.t,_xlfn.XLOOKUP($A548,TRIM(SUBSTITUTE('worker file'!$A$2:$A$406,_xlfn.UNICHAR(160)," ")),'worker file'!$N$2:$N$406,""),IF(N(_xlpm.t)=0,"",_xlpm.t))</f>
        <v/>
      </c>
    </row>
    <row r="549" spans="1:14" x14ac:dyDescent="0.2">
      <c r="A549" s="35" t="s">
        <v>292</v>
      </c>
      <c r="B549" s="36" t="str">
        <f t="array" ref="B549">_xlfn.XLOOKUP($A549,TRIM(SUBSTITUTE('worker file'!$A$2:$A$406,_xlfn.UNICHAR(160)," ")),'worker file'!$L$2:$L$406,"Not found")</f>
        <v>US Semi-monthly</v>
      </c>
      <c r="C549" s="36" t="str">
        <f t="array" ref="C549">_xlfn.XLOOKUP($A549,TRIM(SUBSTITUTE('worker file'!$A$2:$A$406,_xlfn.UNICHAR(160)," ")),'worker file'!$D$2:$D$406,"Not found")</f>
        <v>WA</v>
      </c>
      <c r="D549" s="36" t="str">
        <f t="array" ref="D549">_xlfn.XLOOKUP($A549,TRIM(SUBSTITUTE('worker file'!$A$2:$A$406,_xlfn.UNICHAR(160)," ")),'worker file'!$Q$2:$Q$406,"Not found")</f>
        <v>Active</v>
      </c>
      <c r="E549" s="35" t="s">
        <v>634</v>
      </c>
      <c r="F549" t="str">
        <f t="shared" si="62"/>
        <v>Vision – Employee</v>
      </c>
      <c r="G549" t="str">
        <f t="shared" si="63"/>
        <v>Pre-tax Section 125 (exempt from FIT/SIT/FICA)</v>
      </c>
      <c r="H549" t="str">
        <f t="shared" si="64"/>
        <v>Flat</v>
      </c>
      <c r="I549" s="40" t="str">
        <f>IF($H549="Percent",_xlfn.XLOOKUP($E549,$A$5:$A$8,$F$5:$F$8,""),"")</f>
        <v/>
      </c>
      <c r="J549" s="38">
        <f t="shared" si="65"/>
        <v>30</v>
      </c>
      <c r="K549" t="str">
        <f t="shared" si="66"/>
        <v>Per pay period</v>
      </c>
      <c r="L549" t="str">
        <f t="shared" si="67"/>
        <v>Every pay period (ongoing)</v>
      </c>
      <c r="M549" s="39">
        <f t="array" ref="M549">MAX(_xlfn.XLOOKUP($A549,TRIM(SUBSTITUTE('worker file'!$A$2:$A$406,_xlfn.UNICHAR(160)," ")),'worker file'!$M$2:$M$406,0),_xlfn.XLOOKUP($B549,TRIM('pay group &amp; schedule'!$A$2:$A$6),'pay group &amp; schedule'!$D$2:$D$6,0))</f>
        <v>46311</v>
      </c>
      <c r="N549" s="39" t="str">
        <f t="array" ref="N549">_xlfn.LET(_xlpm.t,_xlfn.XLOOKUP($A549,TRIM(SUBSTITUTE('worker file'!$A$2:$A$406,_xlfn.UNICHAR(160)," ")),'worker file'!$N$2:$N$406,""),IF(N(_xlpm.t)=0,"",_xlpm.t))</f>
        <v/>
      </c>
    </row>
    <row r="550" spans="1:14" x14ac:dyDescent="0.2">
      <c r="A550" s="35" t="s">
        <v>294</v>
      </c>
      <c r="B550" s="36" t="str">
        <f t="array" ref="B550">_xlfn.XLOOKUP($A550,TRIM(SUBSTITUTE('worker file'!$A$2:$A$406,_xlfn.UNICHAR(160)," ")),'worker file'!$L$2:$L$406,"Not found")</f>
        <v>US Semi-monthly</v>
      </c>
      <c r="C550" s="36" t="str">
        <f t="array" ref="C550">_xlfn.XLOOKUP($A550,TRIM(SUBSTITUTE('worker file'!$A$2:$A$406,_xlfn.UNICHAR(160)," ")),'worker file'!$D$2:$D$406,"Not found")</f>
        <v>CA</v>
      </c>
      <c r="D550" s="36" t="str">
        <f t="array" ref="D550">_xlfn.XLOOKUP($A550,TRIM(SUBSTITUTE('worker file'!$A$2:$A$406,_xlfn.UNICHAR(160)," ")),'worker file'!$Q$2:$Q$406,"Not found")</f>
        <v>Active</v>
      </c>
      <c r="E550" s="35" t="s">
        <v>618</v>
      </c>
      <c r="F550" t="str">
        <f t="shared" si="62"/>
        <v>401(k) Employee Deferral</v>
      </c>
      <c r="G550" t="str">
        <f t="shared" si="63"/>
        <v>Pre-tax (exempt from FIT/SIT; subject to FICA)</v>
      </c>
      <c r="H550" t="str">
        <f t="shared" si="64"/>
        <v>Percent</v>
      </c>
      <c r="I550" s="37">
        <v>0.05</v>
      </c>
      <c r="J550" s="38" t="str">
        <f t="shared" si="65"/>
        <v/>
      </c>
      <c r="K550" t="str">
        <f t="shared" si="66"/>
        <v>Gross pay</v>
      </c>
      <c r="L550" t="str">
        <f t="shared" si="67"/>
        <v>Every pay period (ongoing)</v>
      </c>
      <c r="M550" s="39">
        <f t="array" ref="M550">MAX(_xlfn.XLOOKUP($A550,TRIM(SUBSTITUTE('worker file'!$A$2:$A$406,_xlfn.UNICHAR(160)," ")),'worker file'!$M$2:$M$406,0),_xlfn.XLOOKUP($B550,TRIM('pay group &amp; schedule'!$A$2:$A$6),'pay group &amp; schedule'!$D$2:$D$6,0))</f>
        <v>46311</v>
      </c>
      <c r="N550" s="39" t="str">
        <f t="array" ref="N550">_xlfn.LET(_xlpm.t,_xlfn.XLOOKUP($A550,TRIM(SUBSTITUTE('worker file'!$A$2:$A$406,_xlfn.UNICHAR(160)," ")),'worker file'!$N$2:$N$406,""),IF(N(_xlpm.t)=0,"",_xlpm.t))</f>
        <v/>
      </c>
    </row>
    <row r="551" spans="1:14" x14ac:dyDescent="0.2">
      <c r="A551" s="35" t="s">
        <v>294</v>
      </c>
      <c r="B551" s="36" t="str">
        <f t="array" ref="B551">_xlfn.XLOOKUP($A551,TRIM(SUBSTITUTE('worker file'!$A$2:$A$406,_xlfn.UNICHAR(160)," ")),'worker file'!$L$2:$L$406,"Not found")</f>
        <v>US Semi-monthly</v>
      </c>
      <c r="C551" s="36" t="str">
        <f t="array" ref="C551">_xlfn.XLOOKUP($A551,TRIM(SUBSTITUTE('worker file'!$A$2:$A$406,_xlfn.UNICHAR(160)," ")),'worker file'!$D$2:$D$406,"Not found")</f>
        <v>CA</v>
      </c>
      <c r="D551" s="36" t="str">
        <f t="array" ref="D551">_xlfn.XLOOKUP($A551,TRIM(SUBSTITUTE('worker file'!$A$2:$A$406,_xlfn.UNICHAR(160)," ")),'worker file'!$Q$2:$Q$406,"Not found")</f>
        <v>Active</v>
      </c>
      <c r="E551" s="35" t="s">
        <v>626</v>
      </c>
      <c r="F551" t="str">
        <f t="shared" si="62"/>
        <v>Medical (Health) – Employee</v>
      </c>
      <c r="G551" t="str">
        <f t="shared" si="63"/>
        <v>Pre-tax Section 125 (exempt from FIT/SIT/FICA)</v>
      </c>
      <c r="H551" t="str">
        <f t="shared" si="64"/>
        <v>Flat</v>
      </c>
      <c r="I551" s="40" t="str">
        <f>IF($H551="Percent",_xlfn.XLOOKUP($E551,$A$5:$A$8,$F$5:$F$8,""),"")</f>
        <v/>
      </c>
      <c r="J551" s="38">
        <f t="shared" si="65"/>
        <v>200</v>
      </c>
      <c r="K551" t="str">
        <f t="shared" si="66"/>
        <v>Per pay period</v>
      </c>
      <c r="L551" t="str">
        <f t="shared" si="67"/>
        <v>Every pay period (ongoing)</v>
      </c>
      <c r="M551" s="39">
        <f t="array" ref="M551">MAX(_xlfn.XLOOKUP($A551,TRIM(SUBSTITUTE('worker file'!$A$2:$A$406,_xlfn.UNICHAR(160)," ")),'worker file'!$M$2:$M$406,0),_xlfn.XLOOKUP($B551,TRIM('pay group &amp; schedule'!$A$2:$A$6),'pay group &amp; schedule'!$D$2:$D$6,0))</f>
        <v>46311</v>
      </c>
      <c r="N551" s="39" t="str">
        <f t="array" ref="N551">_xlfn.LET(_xlpm.t,_xlfn.XLOOKUP($A551,TRIM(SUBSTITUTE('worker file'!$A$2:$A$406,_xlfn.UNICHAR(160)," ")),'worker file'!$N$2:$N$406,""),IF(N(_xlpm.t)=0,"",_xlpm.t))</f>
        <v/>
      </c>
    </row>
    <row r="552" spans="1:14" x14ac:dyDescent="0.2">
      <c r="A552" s="35" t="s">
        <v>294</v>
      </c>
      <c r="B552" s="36" t="str">
        <f t="array" ref="B552">_xlfn.XLOOKUP($A552,TRIM(SUBSTITUTE('worker file'!$A$2:$A$406,_xlfn.UNICHAR(160)," ")),'worker file'!$L$2:$L$406,"Not found")</f>
        <v>US Semi-monthly</v>
      </c>
      <c r="C552" s="36" t="str">
        <f t="array" ref="C552">_xlfn.XLOOKUP($A552,TRIM(SUBSTITUTE('worker file'!$A$2:$A$406,_xlfn.UNICHAR(160)," ")),'worker file'!$D$2:$D$406,"Not found")</f>
        <v>CA</v>
      </c>
      <c r="D552" s="36" t="str">
        <f t="array" ref="D552">_xlfn.XLOOKUP($A552,TRIM(SUBSTITUTE('worker file'!$A$2:$A$406,_xlfn.UNICHAR(160)," ")),'worker file'!$Q$2:$Q$406,"Not found")</f>
        <v>Active</v>
      </c>
      <c r="E552" s="35" t="s">
        <v>632</v>
      </c>
      <c r="F552" t="str">
        <f t="shared" si="62"/>
        <v>Dental – Employee</v>
      </c>
      <c r="G552" t="str">
        <f t="shared" si="63"/>
        <v>Pre-tax Section 125 (exempt from FIT/SIT/FICA)</v>
      </c>
      <c r="H552" t="str">
        <f t="shared" si="64"/>
        <v>Flat</v>
      </c>
      <c r="I552" s="40" t="str">
        <f>IF($H552="Percent",_xlfn.XLOOKUP($E552,$A$5:$A$8,$F$5:$F$8,""),"")</f>
        <v/>
      </c>
      <c r="J552" s="38">
        <f t="shared" si="65"/>
        <v>44</v>
      </c>
      <c r="K552" t="str">
        <f t="shared" si="66"/>
        <v>Per pay period</v>
      </c>
      <c r="L552" t="str">
        <f t="shared" si="67"/>
        <v>Every pay period (ongoing)</v>
      </c>
      <c r="M552" s="39">
        <f t="array" ref="M552">MAX(_xlfn.XLOOKUP($A552,TRIM(SUBSTITUTE('worker file'!$A$2:$A$406,_xlfn.UNICHAR(160)," ")),'worker file'!$M$2:$M$406,0),_xlfn.XLOOKUP($B552,TRIM('pay group &amp; schedule'!$A$2:$A$6),'pay group &amp; schedule'!$D$2:$D$6,0))</f>
        <v>46311</v>
      </c>
      <c r="N552" s="39" t="str">
        <f t="array" ref="N552">_xlfn.LET(_xlpm.t,_xlfn.XLOOKUP($A552,TRIM(SUBSTITUTE('worker file'!$A$2:$A$406,_xlfn.UNICHAR(160)," ")),'worker file'!$N$2:$N$406,""),IF(N(_xlpm.t)=0,"",_xlpm.t))</f>
        <v/>
      </c>
    </row>
    <row r="553" spans="1:14" x14ac:dyDescent="0.2">
      <c r="A553" s="35" t="s">
        <v>294</v>
      </c>
      <c r="B553" s="36" t="str">
        <f t="array" ref="B553">_xlfn.XLOOKUP($A553,TRIM(SUBSTITUTE('worker file'!$A$2:$A$406,_xlfn.UNICHAR(160)," ")),'worker file'!$L$2:$L$406,"Not found")</f>
        <v>US Semi-monthly</v>
      </c>
      <c r="C553" s="36" t="str">
        <f t="array" ref="C553">_xlfn.XLOOKUP($A553,TRIM(SUBSTITUTE('worker file'!$A$2:$A$406,_xlfn.UNICHAR(160)," ")),'worker file'!$D$2:$D$406,"Not found")</f>
        <v>CA</v>
      </c>
      <c r="D553" s="36" t="str">
        <f t="array" ref="D553">_xlfn.XLOOKUP($A553,TRIM(SUBSTITUTE('worker file'!$A$2:$A$406,_xlfn.UNICHAR(160)," ")),'worker file'!$Q$2:$Q$406,"Not found")</f>
        <v>Active</v>
      </c>
      <c r="E553" s="35" t="s">
        <v>634</v>
      </c>
      <c r="F553" t="str">
        <f t="shared" si="62"/>
        <v>Vision – Employee</v>
      </c>
      <c r="G553" t="str">
        <f t="shared" si="63"/>
        <v>Pre-tax Section 125 (exempt from FIT/SIT/FICA)</v>
      </c>
      <c r="H553" t="str">
        <f t="shared" si="64"/>
        <v>Flat</v>
      </c>
      <c r="I553" s="40" t="str">
        <f>IF($H553="Percent",_xlfn.XLOOKUP($E553,$A$5:$A$8,$F$5:$F$8,""),"")</f>
        <v/>
      </c>
      <c r="J553" s="38">
        <f t="shared" si="65"/>
        <v>30</v>
      </c>
      <c r="K553" t="str">
        <f t="shared" si="66"/>
        <v>Per pay period</v>
      </c>
      <c r="L553" t="str">
        <f t="shared" si="67"/>
        <v>Every pay period (ongoing)</v>
      </c>
      <c r="M553" s="39">
        <f t="array" ref="M553">MAX(_xlfn.XLOOKUP($A553,TRIM(SUBSTITUTE('worker file'!$A$2:$A$406,_xlfn.UNICHAR(160)," ")),'worker file'!$M$2:$M$406,0),_xlfn.XLOOKUP($B553,TRIM('pay group &amp; schedule'!$A$2:$A$6),'pay group &amp; schedule'!$D$2:$D$6,0))</f>
        <v>46311</v>
      </c>
      <c r="N553" s="39" t="str">
        <f t="array" ref="N553">_xlfn.LET(_xlpm.t,_xlfn.XLOOKUP($A553,TRIM(SUBSTITUTE('worker file'!$A$2:$A$406,_xlfn.UNICHAR(160)," ")),'worker file'!$N$2:$N$406,""),IF(N(_xlpm.t)=0,"",_xlpm.t))</f>
        <v/>
      </c>
    </row>
    <row r="554" spans="1:14" x14ac:dyDescent="0.2">
      <c r="A554" s="35" t="s">
        <v>295</v>
      </c>
      <c r="B554" s="36" t="str">
        <f t="array" ref="B554">_xlfn.XLOOKUP($A554,TRIM(SUBSTITUTE('worker file'!$A$2:$A$406,_xlfn.UNICHAR(160)," ")),'worker file'!$L$2:$L$406,"Not found")</f>
        <v>US Semi-monthly</v>
      </c>
      <c r="C554" s="36" t="str">
        <f t="array" ref="C554">_xlfn.XLOOKUP($A554,TRIM(SUBSTITUTE('worker file'!$A$2:$A$406,_xlfn.UNICHAR(160)," ")),'worker file'!$D$2:$D$406,"Not found")</f>
        <v>GA</v>
      </c>
      <c r="D554" s="36" t="str">
        <f t="array" ref="D554">_xlfn.XLOOKUP($A554,TRIM(SUBSTITUTE('worker file'!$A$2:$A$406,_xlfn.UNICHAR(160)," ")),'worker file'!$Q$2:$Q$406,"Not found")</f>
        <v>Active</v>
      </c>
      <c r="E554" s="35" t="s">
        <v>618</v>
      </c>
      <c r="F554" t="str">
        <f t="shared" si="62"/>
        <v>401(k) Employee Deferral</v>
      </c>
      <c r="G554" t="str">
        <f t="shared" si="63"/>
        <v>Pre-tax (exempt from FIT/SIT; subject to FICA)</v>
      </c>
      <c r="H554" t="str">
        <f t="shared" si="64"/>
        <v>Percent</v>
      </c>
      <c r="I554" s="37">
        <v>0.02</v>
      </c>
      <c r="J554" s="38" t="str">
        <f t="shared" si="65"/>
        <v/>
      </c>
      <c r="K554" t="str">
        <f t="shared" si="66"/>
        <v>Gross pay</v>
      </c>
      <c r="L554" t="str">
        <f t="shared" si="67"/>
        <v>Every pay period (ongoing)</v>
      </c>
      <c r="M554" s="39">
        <f t="array" ref="M554">MAX(_xlfn.XLOOKUP($A554,TRIM(SUBSTITUTE('worker file'!$A$2:$A$406,_xlfn.UNICHAR(160)," ")),'worker file'!$M$2:$M$406,0),_xlfn.XLOOKUP($B554,TRIM('pay group &amp; schedule'!$A$2:$A$6),'pay group &amp; schedule'!$D$2:$D$6,0))</f>
        <v>46311</v>
      </c>
      <c r="N554" s="39" t="str">
        <f t="array" ref="N554">_xlfn.LET(_xlpm.t,_xlfn.XLOOKUP($A554,TRIM(SUBSTITUTE('worker file'!$A$2:$A$406,_xlfn.UNICHAR(160)," ")),'worker file'!$N$2:$N$406,""),IF(N(_xlpm.t)=0,"",_xlpm.t))</f>
        <v/>
      </c>
    </row>
    <row r="555" spans="1:14" x14ac:dyDescent="0.2">
      <c r="A555" s="35" t="s">
        <v>295</v>
      </c>
      <c r="B555" s="36" t="str">
        <f t="array" ref="B555">_xlfn.XLOOKUP($A555,TRIM(SUBSTITUTE('worker file'!$A$2:$A$406,_xlfn.UNICHAR(160)," ")),'worker file'!$L$2:$L$406,"Not found")</f>
        <v>US Semi-monthly</v>
      </c>
      <c r="C555" s="36" t="str">
        <f t="array" ref="C555">_xlfn.XLOOKUP($A555,TRIM(SUBSTITUTE('worker file'!$A$2:$A$406,_xlfn.UNICHAR(160)," ")),'worker file'!$D$2:$D$406,"Not found")</f>
        <v>GA</v>
      </c>
      <c r="D555" s="36" t="str">
        <f t="array" ref="D555">_xlfn.XLOOKUP($A555,TRIM(SUBSTITUTE('worker file'!$A$2:$A$406,_xlfn.UNICHAR(160)," ")),'worker file'!$Q$2:$Q$406,"Not found")</f>
        <v>Active</v>
      </c>
      <c r="E555" s="35" t="s">
        <v>626</v>
      </c>
      <c r="F555" t="str">
        <f t="shared" si="62"/>
        <v>Medical (Health) – Employee</v>
      </c>
      <c r="G555" t="str">
        <f t="shared" si="63"/>
        <v>Pre-tax Section 125 (exempt from FIT/SIT/FICA)</v>
      </c>
      <c r="H555" t="str">
        <f t="shared" si="64"/>
        <v>Flat</v>
      </c>
      <c r="I555" s="40" t="str">
        <f>IF($H555="Percent",_xlfn.XLOOKUP($E555,$A$5:$A$8,$F$5:$F$8,""),"")</f>
        <v/>
      </c>
      <c r="J555" s="38">
        <f t="shared" si="65"/>
        <v>200</v>
      </c>
      <c r="K555" t="str">
        <f t="shared" si="66"/>
        <v>Per pay period</v>
      </c>
      <c r="L555" t="str">
        <f t="shared" si="67"/>
        <v>Every pay period (ongoing)</v>
      </c>
      <c r="M555" s="39">
        <f t="array" ref="M555">MAX(_xlfn.XLOOKUP($A555,TRIM(SUBSTITUTE('worker file'!$A$2:$A$406,_xlfn.UNICHAR(160)," ")),'worker file'!$M$2:$M$406,0),_xlfn.XLOOKUP($B555,TRIM('pay group &amp; schedule'!$A$2:$A$6),'pay group &amp; schedule'!$D$2:$D$6,0))</f>
        <v>46311</v>
      </c>
      <c r="N555" s="39" t="str">
        <f t="array" ref="N555">_xlfn.LET(_xlpm.t,_xlfn.XLOOKUP($A555,TRIM(SUBSTITUTE('worker file'!$A$2:$A$406,_xlfn.UNICHAR(160)," ")),'worker file'!$N$2:$N$406,""),IF(N(_xlpm.t)=0,"",_xlpm.t))</f>
        <v/>
      </c>
    </row>
    <row r="556" spans="1:14" x14ac:dyDescent="0.2">
      <c r="A556" s="35" t="s">
        <v>295</v>
      </c>
      <c r="B556" s="36" t="str">
        <f t="array" ref="B556">_xlfn.XLOOKUP($A556,TRIM(SUBSTITUTE('worker file'!$A$2:$A$406,_xlfn.UNICHAR(160)," ")),'worker file'!$L$2:$L$406,"Not found")</f>
        <v>US Semi-monthly</v>
      </c>
      <c r="C556" s="36" t="str">
        <f t="array" ref="C556">_xlfn.XLOOKUP($A556,TRIM(SUBSTITUTE('worker file'!$A$2:$A$406,_xlfn.UNICHAR(160)," ")),'worker file'!$D$2:$D$406,"Not found")</f>
        <v>GA</v>
      </c>
      <c r="D556" s="36" t="str">
        <f t="array" ref="D556">_xlfn.XLOOKUP($A556,TRIM(SUBSTITUTE('worker file'!$A$2:$A$406,_xlfn.UNICHAR(160)," ")),'worker file'!$Q$2:$Q$406,"Not found")</f>
        <v>Active</v>
      </c>
      <c r="E556" s="35" t="s">
        <v>632</v>
      </c>
      <c r="F556" t="str">
        <f t="shared" si="62"/>
        <v>Dental – Employee</v>
      </c>
      <c r="G556" t="str">
        <f t="shared" si="63"/>
        <v>Pre-tax Section 125 (exempt from FIT/SIT/FICA)</v>
      </c>
      <c r="H556" t="str">
        <f t="shared" si="64"/>
        <v>Flat</v>
      </c>
      <c r="I556" s="40" t="str">
        <f>IF($H556="Percent",_xlfn.XLOOKUP($E556,$A$5:$A$8,$F$5:$F$8,""),"")</f>
        <v/>
      </c>
      <c r="J556" s="38">
        <f t="shared" si="65"/>
        <v>44</v>
      </c>
      <c r="K556" t="str">
        <f t="shared" si="66"/>
        <v>Per pay period</v>
      </c>
      <c r="L556" t="str">
        <f t="shared" si="67"/>
        <v>Every pay period (ongoing)</v>
      </c>
      <c r="M556" s="39">
        <f t="array" ref="M556">MAX(_xlfn.XLOOKUP($A556,TRIM(SUBSTITUTE('worker file'!$A$2:$A$406,_xlfn.UNICHAR(160)," ")),'worker file'!$M$2:$M$406,0),_xlfn.XLOOKUP($B556,TRIM('pay group &amp; schedule'!$A$2:$A$6),'pay group &amp; schedule'!$D$2:$D$6,0))</f>
        <v>46311</v>
      </c>
      <c r="N556" s="39" t="str">
        <f t="array" ref="N556">_xlfn.LET(_xlpm.t,_xlfn.XLOOKUP($A556,TRIM(SUBSTITUTE('worker file'!$A$2:$A$406,_xlfn.UNICHAR(160)," ")),'worker file'!$N$2:$N$406,""),IF(N(_xlpm.t)=0,"",_xlpm.t))</f>
        <v/>
      </c>
    </row>
    <row r="557" spans="1:14" x14ac:dyDescent="0.2">
      <c r="A557" s="35" t="s">
        <v>295</v>
      </c>
      <c r="B557" s="36" t="str">
        <f t="array" ref="B557">_xlfn.XLOOKUP($A557,TRIM(SUBSTITUTE('worker file'!$A$2:$A$406,_xlfn.UNICHAR(160)," ")),'worker file'!$L$2:$L$406,"Not found")</f>
        <v>US Semi-monthly</v>
      </c>
      <c r="C557" s="36" t="str">
        <f t="array" ref="C557">_xlfn.XLOOKUP($A557,TRIM(SUBSTITUTE('worker file'!$A$2:$A$406,_xlfn.UNICHAR(160)," ")),'worker file'!$D$2:$D$406,"Not found")</f>
        <v>GA</v>
      </c>
      <c r="D557" s="36" t="str">
        <f t="array" ref="D557">_xlfn.XLOOKUP($A557,TRIM(SUBSTITUTE('worker file'!$A$2:$A$406,_xlfn.UNICHAR(160)," ")),'worker file'!$Q$2:$Q$406,"Not found")</f>
        <v>Active</v>
      </c>
      <c r="E557" s="35" t="s">
        <v>634</v>
      </c>
      <c r="F557" t="str">
        <f t="shared" si="62"/>
        <v>Vision – Employee</v>
      </c>
      <c r="G557" t="str">
        <f t="shared" si="63"/>
        <v>Pre-tax Section 125 (exempt from FIT/SIT/FICA)</v>
      </c>
      <c r="H557" t="str">
        <f t="shared" si="64"/>
        <v>Flat</v>
      </c>
      <c r="I557" s="40" t="str">
        <f>IF($H557="Percent",_xlfn.XLOOKUP($E557,$A$5:$A$8,$F$5:$F$8,""),"")</f>
        <v/>
      </c>
      <c r="J557" s="38">
        <f t="shared" si="65"/>
        <v>30</v>
      </c>
      <c r="K557" t="str">
        <f t="shared" si="66"/>
        <v>Per pay period</v>
      </c>
      <c r="L557" t="str">
        <f t="shared" si="67"/>
        <v>Every pay period (ongoing)</v>
      </c>
      <c r="M557" s="39">
        <f t="array" ref="M557">MAX(_xlfn.XLOOKUP($A557,TRIM(SUBSTITUTE('worker file'!$A$2:$A$406,_xlfn.UNICHAR(160)," ")),'worker file'!$M$2:$M$406,0),_xlfn.XLOOKUP($B557,TRIM('pay group &amp; schedule'!$A$2:$A$6),'pay group &amp; schedule'!$D$2:$D$6,0))</f>
        <v>46311</v>
      </c>
      <c r="N557" s="39" t="str">
        <f t="array" ref="N557">_xlfn.LET(_xlpm.t,_xlfn.XLOOKUP($A557,TRIM(SUBSTITUTE('worker file'!$A$2:$A$406,_xlfn.UNICHAR(160)," ")),'worker file'!$N$2:$N$406,""),IF(N(_xlpm.t)=0,"",_xlpm.t))</f>
        <v/>
      </c>
    </row>
    <row r="558" spans="1:14" x14ac:dyDescent="0.2">
      <c r="A558" s="35" t="s">
        <v>296</v>
      </c>
      <c r="B558" s="36" t="str">
        <f t="array" ref="B558">_xlfn.XLOOKUP($A558,TRIM(SUBSTITUTE('worker file'!$A$2:$A$406,_xlfn.UNICHAR(160)," ")),'worker file'!$L$2:$L$406,"Not found")</f>
        <v>US Semi-monthly</v>
      </c>
      <c r="C558" s="36" t="str">
        <f t="array" ref="C558">_xlfn.XLOOKUP($A558,TRIM(SUBSTITUTE('worker file'!$A$2:$A$406,_xlfn.UNICHAR(160)," ")),'worker file'!$D$2:$D$406,"Not found")</f>
        <v>CA</v>
      </c>
      <c r="D558" s="36" t="str">
        <f t="array" ref="D558">_xlfn.XLOOKUP($A558,TRIM(SUBSTITUTE('worker file'!$A$2:$A$406,_xlfn.UNICHAR(160)," ")),'worker file'!$Q$2:$Q$406,"Not found")</f>
        <v>Active</v>
      </c>
      <c r="E558" s="35" t="s">
        <v>618</v>
      </c>
      <c r="F558" t="str">
        <f t="shared" si="62"/>
        <v>401(k) Employee Deferral</v>
      </c>
      <c r="G558" t="str">
        <f t="shared" si="63"/>
        <v>Pre-tax (exempt from FIT/SIT; subject to FICA)</v>
      </c>
      <c r="H558" t="str">
        <f t="shared" si="64"/>
        <v>Percent</v>
      </c>
      <c r="I558" s="37">
        <v>7.0000000000000007E-2</v>
      </c>
      <c r="J558" s="38" t="str">
        <f t="shared" si="65"/>
        <v/>
      </c>
      <c r="K558" t="str">
        <f t="shared" si="66"/>
        <v>Gross pay</v>
      </c>
      <c r="L558" t="str">
        <f t="shared" si="67"/>
        <v>Every pay period (ongoing)</v>
      </c>
      <c r="M558" s="39">
        <f t="array" ref="M558">MAX(_xlfn.XLOOKUP($A558,TRIM(SUBSTITUTE('worker file'!$A$2:$A$406,_xlfn.UNICHAR(160)," ")),'worker file'!$M$2:$M$406,0),_xlfn.XLOOKUP($B558,TRIM('pay group &amp; schedule'!$A$2:$A$6),'pay group &amp; schedule'!$D$2:$D$6,0))</f>
        <v>46311</v>
      </c>
      <c r="N558" s="39" t="str">
        <f t="array" ref="N558">_xlfn.LET(_xlpm.t,_xlfn.XLOOKUP($A558,TRIM(SUBSTITUTE('worker file'!$A$2:$A$406,_xlfn.UNICHAR(160)," ")),'worker file'!$N$2:$N$406,""),IF(N(_xlpm.t)=0,"",_xlpm.t))</f>
        <v/>
      </c>
    </row>
    <row r="559" spans="1:14" x14ac:dyDescent="0.2">
      <c r="A559" s="35" t="s">
        <v>296</v>
      </c>
      <c r="B559" s="36" t="str">
        <f t="array" ref="B559">_xlfn.XLOOKUP($A559,TRIM(SUBSTITUTE('worker file'!$A$2:$A$406,_xlfn.UNICHAR(160)," ")),'worker file'!$L$2:$L$406,"Not found")</f>
        <v>US Semi-monthly</v>
      </c>
      <c r="C559" s="36" t="str">
        <f t="array" ref="C559">_xlfn.XLOOKUP($A559,TRIM(SUBSTITUTE('worker file'!$A$2:$A$406,_xlfn.UNICHAR(160)," ")),'worker file'!$D$2:$D$406,"Not found")</f>
        <v>CA</v>
      </c>
      <c r="D559" s="36" t="str">
        <f t="array" ref="D559">_xlfn.XLOOKUP($A559,TRIM(SUBSTITUTE('worker file'!$A$2:$A$406,_xlfn.UNICHAR(160)," ")),'worker file'!$Q$2:$Q$406,"Not found")</f>
        <v>Active</v>
      </c>
      <c r="E559" s="35" t="s">
        <v>626</v>
      </c>
      <c r="F559" t="str">
        <f t="shared" si="62"/>
        <v>Medical (Health) – Employee</v>
      </c>
      <c r="G559" t="str">
        <f t="shared" si="63"/>
        <v>Pre-tax Section 125 (exempt from FIT/SIT/FICA)</v>
      </c>
      <c r="H559" t="str">
        <f t="shared" si="64"/>
        <v>Flat</v>
      </c>
      <c r="I559" s="40" t="str">
        <f t="shared" ref="I559:I564" si="68">IF($H559="Percent",_xlfn.XLOOKUP($E559,$A$5:$A$8,$F$5:$F$8,""),"")</f>
        <v/>
      </c>
      <c r="J559" s="38">
        <f t="shared" si="65"/>
        <v>200</v>
      </c>
      <c r="K559" t="str">
        <f t="shared" si="66"/>
        <v>Per pay period</v>
      </c>
      <c r="L559" t="str">
        <f t="shared" si="67"/>
        <v>Every pay period (ongoing)</v>
      </c>
      <c r="M559" s="39">
        <f t="array" ref="M559">MAX(_xlfn.XLOOKUP($A559,TRIM(SUBSTITUTE('worker file'!$A$2:$A$406,_xlfn.UNICHAR(160)," ")),'worker file'!$M$2:$M$406,0),_xlfn.XLOOKUP($B559,TRIM('pay group &amp; schedule'!$A$2:$A$6),'pay group &amp; schedule'!$D$2:$D$6,0))</f>
        <v>46311</v>
      </c>
      <c r="N559" s="39" t="str">
        <f t="array" ref="N559">_xlfn.LET(_xlpm.t,_xlfn.XLOOKUP($A559,TRIM(SUBSTITUTE('worker file'!$A$2:$A$406,_xlfn.UNICHAR(160)," ")),'worker file'!$N$2:$N$406,""),IF(N(_xlpm.t)=0,"",_xlpm.t))</f>
        <v/>
      </c>
    </row>
    <row r="560" spans="1:14" x14ac:dyDescent="0.2">
      <c r="A560" s="35" t="s">
        <v>296</v>
      </c>
      <c r="B560" s="36" t="str">
        <f t="array" ref="B560">_xlfn.XLOOKUP($A560,TRIM(SUBSTITUTE('worker file'!$A$2:$A$406,_xlfn.UNICHAR(160)," ")),'worker file'!$L$2:$L$406,"Not found")</f>
        <v>US Semi-monthly</v>
      </c>
      <c r="C560" s="36" t="str">
        <f t="array" ref="C560">_xlfn.XLOOKUP($A560,TRIM(SUBSTITUTE('worker file'!$A$2:$A$406,_xlfn.UNICHAR(160)," ")),'worker file'!$D$2:$D$406,"Not found")</f>
        <v>CA</v>
      </c>
      <c r="D560" s="36" t="str">
        <f t="array" ref="D560">_xlfn.XLOOKUP($A560,TRIM(SUBSTITUTE('worker file'!$A$2:$A$406,_xlfn.UNICHAR(160)," ")),'worker file'!$Q$2:$Q$406,"Not found")</f>
        <v>Active</v>
      </c>
      <c r="E560" s="35" t="s">
        <v>632</v>
      </c>
      <c r="F560" t="str">
        <f t="shared" si="62"/>
        <v>Dental – Employee</v>
      </c>
      <c r="G560" t="str">
        <f t="shared" si="63"/>
        <v>Pre-tax Section 125 (exempt from FIT/SIT/FICA)</v>
      </c>
      <c r="H560" t="str">
        <f t="shared" si="64"/>
        <v>Flat</v>
      </c>
      <c r="I560" s="40" t="str">
        <f t="shared" si="68"/>
        <v/>
      </c>
      <c r="J560" s="38">
        <f t="shared" si="65"/>
        <v>44</v>
      </c>
      <c r="K560" t="str">
        <f t="shared" si="66"/>
        <v>Per pay period</v>
      </c>
      <c r="L560" t="str">
        <f t="shared" si="67"/>
        <v>Every pay period (ongoing)</v>
      </c>
      <c r="M560" s="39">
        <f t="array" ref="M560">MAX(_xlfn.XLOOKUP($A560,TRIM(SUBSTITUTE('worker file'!$A$2:$A$406,_xlfn.UNICHAR(160)," ")),'worker file'!$M$2:$M$406,0),_xlfn.XLOOKUP($B560,TRIM('pay group &amp; schedule'!$A$2:$A$6),'pay group &amp; schedule'!$D$2:$D$6,0))</f>
        <v>46311</v>
      </c>
      <c r="N560" s="39" t="str">
        <f t="array" ref="N560">_xlfn.LET(_xlpm.t,_xlfn.XLOOKUP($A560,TRIM(SUBSTITUTE('worker file'!$A$2:$A$406,_xlfn.UNICHAR(160)," ")),'worker file'!$N$2:$N$406,""),IF(N(_xlpm.t)=0,"",_xlpm.t))</f>
        <v/>
      </c>
    </row>
    <row r="561" spans="1:14" x14ac:dyDescent="0.2">
      <c r="A561" s="35" t="s">
        <v>296</v>
      </c>
      <c r="B561" s="36" t="str">
        <f t="array" ref="B561">_xlfn.XLOOKUP($A561,TRIM(SUBSTITUTE('worker file'!$A$2:$A$406,_xlfn.UNICHAR(160)," ")),'worker file'!$L$2:$L$406,"Not found")</f>
        <v>US Semi-monthly</v>
      </c>
      <c r="C561" s="36" t="str">
        <f t="array" ref="C561">_xlfn.XLOOKUP($A561,TRIM(SUBSTITUTE('worker file'!$A$2:$A$406,_xlfn.UNICHAR(160)," ")),'worker file'!$D$2:$D$406,"Not found")</f>
        <v>CA</v>
      </c>
      <c r="D561" s="36" t="str">
        <f t="array" ref="D561">_xlfn.XLOOKUP($A561,TRIM(SUBSTITUTE('worker file'!$A$2:$A$406,_xlfn.UNICHAR(160)," ")),'worker file'!$Q$2:$Q$406,"Not found")</f>
        <v>Active</v>
      </c>
      <c r="E561" s="35" t="s">
        <v>634</v>
      </c>
      <c r="F561" t="str">
        <f t="shared" si="62"/>
        <v>Vision – Employee</v>
      </c>
      <c r="G561" t="str">
        <f t="shared" si="63"/>
        <v>Pre-tax Section 125 (exempt from FIT/SIT/FICA)</v>
      </c>
      <c r="H561" t="str">
        <f t="shared" si="64"/>
        <v>Flat</v>
      </c>
      <c r="I561" s="40" t="str">
        <f t="shared" si="68"/>
        <v/>
      </c>
      <c r="J561" s="38">
        <f t="shared" si="65"/>
        <v>30</v>
      </c>
      <c r="K561" t="str">
        <f t="shared" si="66"/>
        <v>Per pay period</v>
      </c>
      <c r="L561" t="str">
        <f t="shared" si="67"/>
        <v>Every pay period (ongoing)</v>
      </c>
      <c r="M561" s="39">
        <f t="array" ref="M561">MAX(_xlfn.XLOOKUP($A561,TRIM(SUBSTITUTE('worker file'!$A$2:$A$406,_xlfn.UNICHAR(160)," ")),'worker file'!$M$2:$M$406,0),_xlfn.XLOOKUP($B561,TRIM('pay group &amp; schedule'!$A$2:$A$6),'pay group &amp; schedule'!$D$2:$D$6,0))</f>
        <v>46311</v>
      </c>
      <c r="N561" s="39" t="str">
        <f t="array" ref="N561">_xlfn.LET(_xlpm.t,_xlfn.XLOOKUP($A561,TRIM(SUBSTITUTE('worker file'!$A$2:$A$406,_xlfn.UNICHAR(160)," ")),'worker file'!$N$2:$N$406,""),IF(N(_xlpm.t)=0,"",_xlpm.t))</f>
        <v/>
      </c>
    </row>
    <row r="562" spans="1:14" x14ac:dyDescent="0.2">
      <c r="A562" s="35" t="s">
        <v>297</v>
      </c>
      <c r="B562" s="36" t="str">
        <f t="array" ref="B562">_xlfn.XLOOKUP($A562,TRIM(SUBSTITUTE('worker file'!$A$2:$A$406,_xlfn.UNICHAR(160)," ")),'worker file'!$L$2:$L$406,"Not found")</f>
        <v>US Biweekly</v>
      </c>
      <c r="C562" s="36" t="str">
        <f t="array" ref="C562">_xlfn.XLOOKUP($A562,TRIM(SUBSTITUTE('worker file'!$A$2:$A$406,_xlfn.UNICHAR(160)," ")),'worker file'!$D$2:$D$406,"Not found")</f>
        <v>CA</v>
      </c>
      <c r="D562" s="36" t="str">
        <f t="array" ref="D562">_xlfn.XLOOKUP($A562,TRIM(SUBSTITUTE('worker file'!$A$2:$A$406,_xlfn.UNICHAR(160)," ")),'worker file'!$Q$2:$Q$406,"Not found")</f>
        <v>Active</v>
      </c>
      <c r="E562" s="35" t="s">
        <v>626</v>
      </c>
      <c r="F562" t="str">
        <f t="shared" si="62"/>
        <v>Medical (Health) – Employee</v>
      </c>
      <c r="G562" t="str">
        <f t="shared" si="63"/>
        <v>Pre-tax Section 125 (exempt from FIT/SIT/FICA)</v>
      </c>
      <c r="H562" t="str">
        <f t="shared" si="64"/>
        <v>Flat</v>
      </c>
      <c r="I562" s="40" t="str">
        <f t="shared" si="68"/>
        <v/>
      </c>
      <c r="J562" s="38">
        <f t="shared" si="65"/>
        <v>200</v>
      </c>
      <c r="K562" t="str">
        <f t="shared" si="66"/>
        <v>Per pay period</v>
      </c>
      <c r="L562" t="str">
        <f t="shared" si="67"/>
        <v>Every pay period (ongoing)</v>
      </c>
      <c r="M562" s="39">
        <f t="array" ref="M562">MAX(_xlfn.XLOOKUP($A562,TRIM(SUBSTITUTE('worker file'!$A$2:$A$406,_xlfn.UNICHAR(160)," ")),'worker file'!$M$2:$M$406,0),_xlfn.XLOOKUP($B562,TRIM('pay group &amp; schedule'!$A$2:$A$6),'pay group &amp; schedule'!$D$2:$D$6,0))</f>
        <v>46299</v>
      </c>
      <c r="N562" s="39" t="str">
        <f t="array" ref="N562">_xlfn.LET(_xlpm.t,_xlfn.XLOOKUP($A562,TRIM(SUBSTITUTE('worker file'!$A$2:$A$406,_xlfn.UNICHAR(160)," ")),'worker file'!$N$2:$N$406,""),IF(N(_xlpm.t)=0,"",_xlpm.t))</f>
        <v/>
      </c>
    </row>
    <row r="563" spans="1:14" x14ac:dyDescent="0.2">
      <c r="A563" s="35" t="s">
        <v>297</v>
      </c>
      <c r="B563" s="36" t="str">
        <f t="array" ref="B563">_xlfn.XLOOKUP($A563,TRIM(SUBSTITUTE('worker file'!$A$2:$A$406,_xlfn.UNICHAR(160)," ")),'worker file'!$L$2:$L$406,"Not found")</f>
        <v>US Biweekly</v>
      </c>
      <c r="C563" s="36" t="str">
        <f t="array" ref="C563">_xlfn.XLOOKUP($A563,TRIM(SUBSTITUTE('worker file'!$A$2:$A$406,_xlfn.UNICHAR(160)," ")),'worker file'!$D$2:$D$406,"Not found")</f>
        <v>CA</v>
      </c>
      <c r="D563" s="36" t="str">
        <f t="array" ref="D563">_xlfn.XLOOKUP($A563,TRIM(SUBSTITUTE('worker file'!$A$2:$A$406,_xlfn.UNICHAR(160)," ")),'worker file'!$Q$2:$Q$406,"Not found")</f>
        <v>Active</v>
      </c>
      <c r="E563" s="35" t="s">
        <v>632</v>
      </c>
      <c r="F563" t="str">
        <f t="shared" si="62"/>
        <v>Dental – Employee</v>
      </c>
      <c r="G563" t="str">
        <f t="shared" si="63"/>
        <v>Pre-tax Section 125 (exempt from FIT/SIT/FICA)</v>
      </c>
      <c r="H563" t="str">
        <f t="shared" si="64"/>
        <v>Flat</v>
      </c>
      <c r="I563" s="40" t="str">
        <f t="shared" si="68"/>
        <v/>
      </c>
      <c r="J563" s="38">
        <f t="shared" si="65"/>
        <v>44</v>
      </c>
      <c r="K563" t="str">
        <f t="shared" si="66"/>
        <v>Per pay period</v>
      </c>
      <c r="L563" t="str">
        <f t="shared" si="67"/>
        <v>Every pay period (ongoing)</v>
      </c>
      <c r="M563" s="39">
        <f t="array" ref="M563">MAX(_xlfn.XLOOKUP($A563,TRIM(SUBSTITUTE('worker file'!$A$2:$A$406,_xlfn.UNICHAR(160)," ")),'worker file'!$M$2:$M$406,0),_xlfn.XLOOKUP($B563,TRIM('pay group &amp; schedule'!$A$2:$A$6),'pay group &amp; schedule'!$D$2:$D$6,0))</f>
        <v>46299</v>
      </c>
      <c r="N563" s="39" t="str">
        <f t="array" ref="N563">_xlfn.LET(_xlpm.t,_xlfn.XLOOKUP($A563,TRIM(SUBSTITUTE('worker file'!$A$2:$A$406,_xlfn.UNICHAR(160)," ")),'worker file'!$N$2:$N$406,""),IF(N(_xlpm.t)=0,"",_xlpm.t))</f>
        <v/>
      </c>
    </row>
    <row r="564" spans="1:14" x14ac:dyDescent="0.2">
      <c r="A564" s="35" t="s">
        <v>297</v>
      </c>
      <c r="B564" s="36" t="str">
        <f t="array" ref="B564">_xlfn.XLOOKUP($A564,TRIM(SUBSTITUTE('worker file'!$A$2:$A$406,_xlfn.UNICHAR(160)," ")),'worker file'!$L$2:$L$406,"Not found")</f>
        <v>US Biweekly</v>
      </c>
      <c r="C564" s="36" t="str">
        <f t="array" ref="C564">_xlfn.XLOOKUP($A564,TRIM(SUBSTITUTE('worker file'!$A$2:$A$406,_xlfn.UNICHAR(160)," ")),'worker file'!$D$2:$D$406,"Not found")</f>
        <v>CA</v>
      </c>
      <c r="D564" s="36" t="str">
        <f t="array" ref="D564">_xlfn.XLOOKUP($A564,TRIM(SUBSTITUTE('worker file'!$A$2:$A$406,_xlfn.UNICHAR(160)," ")),'worker file'!$Q$2:$Q$406,"Not found")</f>
        <v>Active</v>
      </c>
      <c r="E564" s="35" t="s">
        <v>634</v>
      </c>
      <c r="F564" t="str">
        <f t="shared" si="62"/>
        <v>Vision – Employee</v>
      </c>
      <c r="G564" t="str">
        <f t="shared" si="63"/>
        <v>Pre-tax Section 125 (exempt from FIT/SIT/FICA)</v>
      </c>
      <c r="H564" t="str">
        <f t="shared" si="64"/>
        <v>Flat</v>
      </c>
      <c r="I564" s="40" t="str">
        <f t="shared" si="68"/>
        <v/>
      </c>
      <c r="J564" s="38">
        <f t="shared" si="65"/>
        <v>30</v>
      </c>
      <c r="K564" t="str">
        <f t="shared" si="66"/>
        <v>Per pay period</v>
      </c>
      <c r="L564" t="str">
        <f t="shared" si="67"/>
        <v>Every pay period (ongoing)</v>
      </c>
      <c r="M564" s="39">
        <f t="array" ref="M564">MAX(_xlfn.XLOOKUP($A564,TRIM(SUBSTITUTE('worker file'!$A$2:$A$406,_xlfn.UNICHAR(160)," ")),'worker file'!$M$2:$M$406,0),_xlfn.XLOOKUP($B564,TRIM('pay group &amp; schedule'!$A$2:$A$6),'pay group &amp; schedule'!$D$2:$D$6,0))</f>
        <v>46299</v>
      </c>
      <c r="N564" s="39" t="str">
        <f t="array" ref="N564">_xlfn.LET(_xlpm.t,_xlfn.XLOOKUP($A564,TRIM(SUBSTITUTE('worker file'!$A$2:$A$406,_xlfn.UNICHAR(160)," ")),'worker file'!$N$2:$N$406,""),IF(N(_xlpm.t)=0,"",_xlpm.t))</f>
        <v/>
      </c>
    </row>
    <row r="565" spans="1:14" x14ac:dyDescent="0.2">
      <c r="A565" s="35" t="s">
        <v>301</v>
      </c>
      <c r="B565" s="36" t="str">
        <f t="array" ref="B565">_xlfn.XLOOKUP($A565,TRIM(SUBSTITUTE('worker file'!$A$2:$A$406,_xlfn.UNICHAR(160)," ")),'worker file'!$L$2:$L$406,"Not found")</f>
        <v>US Semi-monthly</v>
      </c>
      <c r="C565" s="36" t="str">
        <f t="array" ref="C565">_xlfn.XLOOKUP($A565,TRIM(SUBSTITUTE('worker file'!$A$2:$A$406,_xlfn.UNICHAR(160)," ")),'worker file'!$D$2:$D$406,"Not found")</f>
        <v>MA</v>
      </c>
      <c r="D565" s="36" t="str">
        <f t="array" ref="D565">_xlfn.XLOOKUP($A565,TRIM(SUBSTITUTE('worker file'!$A$2:$A$406,_xlfn.UNICHAR(160)," ")),'worker file'!$Q$2:$Q$406,"Not found")</f>
        <v>Active</v>
      </c>
      <c r="E565" s="35" t="s">
        <v>618</v>
      </c>
      <c r="F565" t="str">
        <f t="shared" si="62"/>
        <v>401(k) Employee Deferral</v>
      </c>
      <c r="G565" t="str">
        <f t="shared" si="63"/>
        <v>Pre-tax (exempt from FIT/SIT; subject to FICA)</v>
      </c>
      <c r="H565" t="str">
        <f t="shared" si="64"/>
        <v>Percent</v>
      </c>
      <c r="I565" s="37">
        <v>0.01</v>
      </c>
      <c r="J565" s="38" t="str">
        <f t="shared" si="65"/>
        <v/>
      </c>
      <c r="K565" t="str">
        <f t="shared" si="66"/>
        <v>Gross pay</v>
      </c>
      <c r="L565" t="str">
        <f t="shared" si="67"/>
        <v>Every pay period (ongoing)</v>
      </c>
      <c r="M565" s="39">
        <f t="array" ref="M565">MAX(_xlfn.XLOOKUP($A565,TRIM(SUBSTITUTE('worker file'!$A$2:$A$406,_xlfn.UNICHAR(160)," ")),'worker file'!$M$2:$M$406,0),_xlfn.XLOOKUP($B565,TRIM('pay group &amp; schedule'!$A$2:$A$6),'pay group &amp; schedule'!$D$2:$D$6,0))</f>
        <v>46311</v>
      </c>
      <c r="N565" s="39" t="str">
        <f t="array" ref="N565">_xlfn.LET(_xlpm.t,_xlfn.XLOOKUP($A565,TRIM(SUBSTITUTE('worker file'!$A$2:$A$406,_xlfn.UNICHAR(160)," ")),'worker file'!$N$2:$N$406,""),IF(N(_xlpm.t)=0,"",_xlpm.t))</f>
        <v/>
      </c>
    </row>
    <row r="566" spans="1:14" x14ac:dyDescent="0.2">
      <c r="A566" s="35" t="s">
        <v>301</v>
      </c>
      <c r="B566" s="36" t="str">
        <f t="array" ref="B566">_xlfn.XLOOKUP($A566,TRIM(SUBSTITUTE('worker file'!$A$2:$A$406,_xlfn.UNICHAR(160)," ")),'worker file'!$L$2:$L$406,"Not found")</f>
        <v>US Semi-monthly</v>
      </c>
      <c r="C566" s="36" t="str">
        <f t="array" ref="C566">_xlfn.XLOOKUP($A566,TRIM(SUBSTITUTE('worker file'!$A$2:$A$406,_xlfn.UNICHAR(160)," ")),'worker file'!$D$2:$D$406,"Not found")</f>
        <v>MA</v>
      </c>
      <c r="D566" s="36" t="str">
        <f t="array" ref="D566">_xlfn.XLOOKUP($A566,TRIM(SUBSTITUTE('worker file'!$A$2:$A$406,_xlfn.UNICHAR(160)," ")),'worker file'!$Q$2:$Q$406,"Not found")</f>
        <v>Active</v>
      </c>
      <c r="E566" s="35" t="s">
        <v>626</v>
      </c>
      <c r="F566" t="str">
        <f t="shared" si="62"/>
        <v>Medical (Health) – Employee</v>
      </c>
      <c r="G566" t="str">
        <f t="shared" si="63"/>
        <v>Pre-tax Section 125 (exempt from FIT/SIT/FICA)</v>
      </c>
      <c r="H566" t="str">
        <f t="shared" si="64"/>
        <v>Flat</v>
      </c>
      <c r="I566" s="40" t="str">
        <f>IF($H566="Percent",_xlfn.XLOOKUP($E566,$A$5:$A$8,$F$5:$F$8,""),"")</f>
        <v/>
      </c>
      <c r="J566" s="38">
        <f t="shared" si="65"/>
        <v>200</v>
      </c>
      <c r="K566" t="str">
        <f t="shared" si="66"/>
        <v>Per pay period</v>
      </c>
      <c r="L566" t="str">
        <f t="shared" si="67"/>
        <v>Every pay period (ongoing)</v>
      </c>
      <c r="M566" s="39">
        <f t="array" ref="M566">MAX(_xlfn.XLOOKUP($A566,TRIM(SUBSTITUTE('worker file'!$A$2:$A$406,_xlfn.UNICHAR(160)," ")),'worker file'!$M$2:$M$406,0),_xlfn.XLOOKUP($B566,TRIM('pay group &amp; schedule'!$A$2:$A$6),'pay group &amp; schedule'!$D$2:$D$6,0))</f>
        <v>46311</v>
      </c>
      <c r="N566" s="39" t="str">
        <f t="array" ref="N566">_xlfn.LET(_xlpm.t,_xlfn.XLOOKUP($A566,TRIM(SUBSTITUTE('worker file'!$A$2:$A$406,_xlfn.UNICHAR(160)," ")),'worker file'!$N$2:$N$406,""),IF(N(_xlpm.t)=0,"",_xlpm.t))</f>
        <v/>
      </c>
    </row>
    <row r="567" spans="1:14" x14ac:dyDescent="0.2">
      <c r="A567" s="35" t="s">
        <v>301</v>
      </c>
      <c r="B567" s="36" t="str">
        <f t="array" ref="B567">_xlfn.XLOOKUP($A567,TRIM(SUBSTITUTE('worker file'!$A$2:$A$406,_xlfn.UNICHAR(160)," ")),'worker file'!$L$2:$L$406,"Not found")</f>
        <v>US Semi-monthly</v>
      </c>
      <c r="C567" s="36" t="str">
        <f t="array" ref="C567">_xlfn.XLOOKUP($A567,TRIM(SUBSTITUTE('worker file'!$A$2:$A$406,_xlfn.UNICHAR(160)," ")),'worker file'!$D$2:$D$406,"Not found")</f>
        <v>MA</v>
      </c>
      <c r="D567" s="36" t="str">
        <f t="array" ref="D567">_xlfn.XLOOKUP($A567,TRIM(SUBSTITUTE('worker file'!$A$2:$A$406,_xlfn.UNICHAR(160)," ")),'worker file'!$Q$2:$Q$406,"Not found")</f>
        <v>Active</v>
      </c>
      <c r="E567" s="35" t="s">
        <v>632</v>
      </c>
      <c r="F567" t="str">
        <f t="shared" si="62"/>
        <v>Dental – Employee</v>
      </c>
      <c r="G567" t="str">
        <f t="shared" si="63"/>
        <v>Pre-tax Section 125 (exempt from FIT/SIT/FICA)</v>
      </c>
      <c r="H567" t="str">
        <f t="shared" si="64"/>
        <v>Flat</v>
      </c>
      <c r="I567" s="40" t="str">
        <f>IF($H567="Percent",_xlfn.XLOOKUP($E567,$A$5:$A$8,$F$5:$F$8,""),"")</f>
        <v/>
      </c>
      <c r="J567" s="38">
        <f t="shared" si="65"/>
        <v>44</v>
      </c>
      <c r="K567" t="str">
        <f t="shared" si="66"/>
        <v>Per pay period</v>
      </c>
      <c r="L567" t="str">
        <f t="shared" si="67"/>
        <v>Every pay period (ongoing)</v>
      </c>
      <c r="M567" s="39">
        <f t="array" ref="M567">MAX(_xlfn.XLOOKUP($A567,TRIM(SUBSTITUTE('worker file'!$A$2:$A$406,_xlfn.UNICHAR(160)," ")),'worker file'!$M$2:$M$406,0),_xlfn.XLOOKUP($B567,TRIM('pay group &amp; schedule'!$A$2:$A$6),'pay group &amp; schedule'!$D$2:$D$6,0))</f>
        <v>46311</v>
      </c>
      <c r="N567" s="39" t="str">
        <f t="array" ref="N567">_xlfn.LET(_xlpm.t,_xlfn.XLOOKUP($A567,TRIM(SUBSTITUTE('worker file'!$A$2:$A$406,_xlfn.UNICHAR(160)," ")),'worker file'!$N$2:$N$406,""),IF(N(_xlpm.t)=0,"",_xlpm.t))</f>
        <v/>
      </c>
    </row>
    <row r="568" spans="1:14" x14ac:dyDescent="0.2">
      <c r="A568" s="35" t="s">
        <v>301</v>
      </c>
      <c r="B568" s="36" t="str">
        <f t="array" ref="B568">_xlfn.XLOOKUP($A568,TRIM(SUBSTITUTE('worker file'!$A$2:$A$406,_xlfn.UNICHAR(160)," ")),'worker file'!$L$2:$L$406,"Not found")</f>
        <v>US Semi-monthly</v>
      </c>
      <c r="C568" s="36" t="str">
        <f t="array" ref="C568">_xlfn.XLOOKUP($A568,TRIM(SUBSTITUTE('worker file'!$A$2:$A$406,_xlfn.UNICHAR(160)," ")),'worker file'!$D$2:$D$406,"Not found")</f>
        <v>MA</v>
      </c>
      <c r="D568" s="36" t="str">
        <f t="array" ref="D568">_xlfn.XLOOKUP($A568,TRIM(SUBSTITUTE('worker file'!$A$2:$A$406,_xlfn.UNICHAR(160)," ")),'worker file'!$Q$2:$Q$406,"Not found")</f>
        <v>Active</v>
      </c>
      <c r="E568" s="35" t="s">
        <v>634</v>
      </c>
      <c r="F568" t="str">
        <f t="shared" si="62"/>
        <v>Vision – Employee</v>
      </c>
      <c r="G568" t="str">
        <f t="shared" si="63"/>
        <v>Pre-tax Section 125 (exempt from FIT/SIT/FICA)</v>
      </c>
      <c r="H568" t="str">
        <f t="shared" si="64"/>
        <v>Flat</v>
      </c>
      <c r="I568" s="40" t="str">
        <f>IF($H568="Percent",_xlfn.XLOOKUP($E568,$A$5:$A$8,$F$5:$F$8,""),"")</f>
        <v/>
      </c>
      <c r="J568" s="38">
        <f t="shared" si="65"/>
        <v>30</v>
      </c>
      <c r="K568" t="str">
        <f t="shared" si="66"/>
        <v>Per pay period</v>
      </c>
      <c r="L568" t="str">
        <f t="shared" si="67"/>
        <v>Every pay period (ongoing)</v>
      </c>
      <c r="M568" s="39">
        <f t="array" ref="M568">MAX(_xlfn.XLOOKUP($A568,TRIM(SUBSTITUTE('worker file'!$A$2:$A$406,_xlfn.UNICHAR(160)," ")),'worker file'!$M$2:$M$406,0),_xlfn.XLOOKUP($B568,TRIM('pay group &amp; schedule'!$A$2:$A$6),'pay group &amp; schedule'!$D$2:$D$6,0))</f>
        <v>46311</v>
      </c>
      <c r="N568" s="39" t="str">
        <f t="array" ref="N568">_xlfn.LET(_xlpm.t,_xlfn.XLOOKUP($A568,TRIM(SUBSTITUTE('worker file'!$A$2:$A$406,_xlfn.UNICHAR(160)," ")),'worker file'!$N$2:$N$406,""),IF(N(_xlpm.t)=0,"",_xlpm.t))</f>
        <v/>
      </c>
    </row>
    <row r="569" spans="1:14" x14ac:dyDescent="0.2">
      <c r="A569" s="35" t="s">
        <v>303</v>
      </c>
      <c r="B569" s="36" t="str">
        <f t="array" ref="B569">_xlfn.XLOOKUP($A569,TRIM(SUBSTITUTE('worker file'!$A$2:$A$406,_xlfn.UNICHAR(160)," ")),'worker file'!$L$2:$L$406,"Not found")</f>
        <v>US Semi-monthly</v>
      </c>
      <c r="C569" s="36" t="str">
        <f t="array" ref="C569">_xlfn.XLOOKUP($A569,TRIM(SUBSTITUTE('worker file'!$A$2:$A$406,_xlfn.UNICHAR(160)," ")),'worker file'!$D$2:$D$406,"Not found")</f>
        <v>CA</v>
      </c>
      <c r="D569" s="36" t="str">
        <f t="array" ref="D569">_xlfn.XLOOKUP($A569,TRIM(SUBSTITUTE('worker file'!$A$2:$A$406,_xlfn.UNICHAR(160)," ")),'worker file'!$Q$2:$Q$406,"Not found")</f>
        <v>Active</v>
      </c>
      <c r="E569" s="35" t="s">
        <v>618</v>
      </c>
      <c r="F569" t="str">
        <f t="shared" si="62"/>
        <v>401(k) Employee Deferral</v>
      </c>
      <c r="G569" t="str">
        <f t="shared" si="63"/>
        <v>Pre-tax (exempt from FIT/SIT; subject to FICA)</v>
      </c>
      <c r="H569" t="str">
        <f t="shared" si="64"/>
        <v>Percent</v>
      </c>
      <c r="I569" s="37">
        <v>0.06</v>
      </c>
      <c r="J569" s="38" t="str">
        <f t="shared" si="65"/>
        <v/>
      </c>
      <c r="K569" t="str">
        <f t="shared" si="66"/>
        <v>Gross pay</v>
      </c>
      <c r="L569" t="str">
        <f t="shared" si="67"/>
        <v>Every pay period (ongoing)</v>
      </c>
      <c r="M569" s="39">
        <f t="array" ref="M569">MAX(_xlfn.XLOOKUP($A569,TRIM(SUBSTITUTE('worker file'!$A$2:$A$406,_xlfn.UNICHAR(160)," ")),'worker file'!$M$2:$M$406,0),_xlfn.XLOOKUP($B569,TRIM('pay group &amp; schedule'!$A$2:$A$6),'pay group &amp; schedule'!$D$2:$D$6,0))</f>
        <v>46311</v>
      </c>
      <c r="N569" s="39" t="str">
        <f t="array" ref="N569">_xlfn.LET(_xlpm.t,_xlfn.XLOOKUP($A569,TRIM(SUBSTITUTE('worker file'!$A$2:$A$406,_xlfn.UNICHAR(160)," ")),'worker file'!$N$2:$N$406,""),IF(N(_xlpm.t)=0,"",_xlpm.t))</f>
        <v/>
      </c>
    </row>
    <row r="570" spans="1:14" x14ac:dyDescent="0.2">
      <c r="A570" s="35" t="s">
        <v>303</v>
      </c>
      <c r="B570" s="36" t="str">
        <f t="array" ref="B570">_xlfn.XLOOKUP($A570,TRIM(SUBSTITUTE('worker file'!$A$2:$A$406,_xlfn.UNICHAR(160)," ")),'worker file'!$L$2:$L$406,"Not found")</f>
        <v>US Semi-monthly</v>
      </c>
      <c r="C570" s="36" t="str">
        <f t="array" ref="C570">_xlfn.XLOOKUP($A570,TRIM(SUBSTITUTE('worker file'!$A$2:$A$406,_xlfn.UNICHAR(160)," ")),'worker file'!$D$2:$D$406,"Not found")</f>
        <v>CA</v>
      </c>
      <c r="D570" s="36" t="str">
        <f t="array" ref="D570">_xlfn.XLOOKUP($A570,TRIM(SUBSTITUTE('worker file'!$A$2:$A$406,_xlfn.UNICHAR(160)," ")),'worker file'!$Q$2:$Q$406,"Not found")</f>
        <v>Active</v>
      </c>
      <c r="E570" s="35" t="s">
        <v>626</v>
      </c>
      <c r="F570" t="str">
        <f t="shared" si="62"/>
        <v>Medical (Health) – Employee</v>
      </c>
      <c r="G570" t="str">
        <f t="shared" si="63"/>
        <v>Pre-tax Section 125 (exempt from FIT/SIT/FICA)</v>
      </c>
      <c r="H570" t="str">
        <f t="shared" si="64"/>
        <v>Flat</v>
      </c>
      <c r="I570" s="40" t="str">
        <f>IF($H570="Percent",_xlfn.XLOOKUP($E570,$A$5:$A$8,$F$5:$F$8,""),"")</f>
        <v/>
      </c>
      <c r="J570" s="38">
        <f t="shared" si="65"/>
        <v>200</v>
      </c>
      <c r="K570" t="str">
        <f t="shared" si="66"/>
        <v>Per pay period</v>
      </c>
      <c r="L570" t="str">
        <f t="shared" si="67"/>
        <v>Every pay period (ongoing)</v>
      </c>
      <c r="M570" s="39">
        <f t="array" ref="M570">MAX(_xlfn.XLOOKUP($A570,TRIM(SUBSTITUTE('worker file'!$A$2:$A$406,_xlfn.UNICHAR(160)," ")),'worker file'!$M$2:$M$406,0),_xlfn.XLOOKUP($B570,TRIM('pay group &amp; schedule'!$A$2:$A$6),'pay group &amp; schedule'!$D$2:$D$6,0))</f>
        <v>46311</v>
      </c>
      <c r="N570" s="39" t="str">
        <f t="array" ref="N570">_xlfn.LET(_xlpm.t,_xlfn.XLOOKUP($A570,TRIM(SUBSTITUTE('worker file'!$A$2:$A$406,_xlfn.UNICHAR(160)," ")),'worker file'!$N$2:$N$406,""),IF(N(_xlpm.t)=0,"",_xlpm.t))</f>
        <v/>
      </c>
    </row>
    <row r="571" spans="1:14" x14ac:dyDescent="0.2">
      <c r="A571" s="35" t="s">
        <v>303</v>
      </c>
      <c r="B571" s="36" t="str">
        <f t="array" ref="B571">_xlfn.XLOOKUP($A571,TRIM(SUBSTITUTE('worker file'!$A$2:$A$406,_xlfn.UNICHAR(160)," ")),'worker file'!$L$2:$L$406,"Not found")</f>
        <v>US Semi-monthly</v>
      </c>
      <c r="C571" s="36" t="str">
        <f t="array" ref="C571">_xlfn.XLOOKUP($A571,TRIM(SUBSTITUTE('worker file'!$A$2:$A$406,_xlfn.UNICHAR(160)," ")),'worker file'!$D$2:$D$406,"Not found")</f>
        <v>CA</v>
      </c>
      <c r="D571" s="36" t="str">
        <f t="array" ref="D571">_xlfn.XLOOKUP($A571,TRIM(SUBSTITUTE('worker file'!$A$2:$A$406,_xlfn.UNICHAR(160)," ")),'worker file'!$Q$2:$Q$406,"Not found")</f>
        <v>Active</v>
      </c>
      <c r="E571" s="35" t="s">
        <v>632</v>
      </c>
      <c r="F571" t="str">
        <f t="shared" si="62"/>
        <v>Dental – Employee</v>
      </c>
      <c r="G571" t="str">
        <f t="shared" si="63"/>
        <v>Pre-tax Section 125 (exempt from FIT/SIT/FICA)</v>
      </c>
      <c r="H571" t="str">
        <f t="shared" si="64"/>
        <v>Flat</v>
      </c>
      <c r="I571" s="40" t="str">
        <f>IF($H571="Percent",_xlfn.XLOOKUP($E571,$A$5:$A$8,$F$5:$F$8,""),"")</f>
        <v/>
      </c>
      <c r="J571" s="38">
        <f t="shared" si="65"/>
        <v>44</v>
      </c>
      <c r="K571" t="str">
        <f t="shared" si="66"/>
        <v>Per pay period</v>
      </c>
      <c r="L571" t="str">
        <f t="shared" si="67"/>
        <v>Every pay period (ongoing)</v>
      </c>
      <c r="M571" s="39">
        <f t="array" ref="M571">MAX(_xlfn.XLOOKUP($A571,TRIM(SUBSTITUTE('worker file'!$A$2:$A$406,_xlfn.UNICHAR(160)," ")),'worker file'!$M$2:$M$406,0),_xlfn.XLOOKUP($B571,TRIM('pay group &amp; schedule'!$A$2:$A$6),'pay group &amp; schedule'!$D$2:$D$6,0))</f>
        <v>46311</v>
      </c>
      <c r="N571" s="39" t="str">
        <f t="array" ref="N571">_xlfn.LET(_xlpm.t,_xlfn.XLOOKUP($A571,TRIM(SUBSTITUTE('worker file'!$A$2:$A$406,_xlfn.UNICHAR(160)," ")),'worker file'!$N$2:$N$406,""),IF(N(_xlpm.t)=0,"",_xlpm.t))</f>
        <v/>
      </c>
    </row>
    <row r="572" spans="1:14" x14ac:dyDescent="0.2">
      <c r="A572" s="35" t="s">
        <v>303</v>
      </c>
      <c r="B572" s="36" t="str">
        <f t="array" ref="B572">_xlfn.XLOOKUP($A572,TRIM(SUBSTITUTE('worker file'!$A$2:$A$406,_xlfn.UNICHAR(160)," ")),'worker file'!$L$2:$L$406,"Not found")</f>
        <v>US Semi-monthly</v>
      </c>
      <c r="C572" s="36" t="str">
        <f t="array" ref="C572">_xlfn.XLOOKUP($A572,TRIM(SUBSTITUTE('worker file'!$A$2:$A$406,_xlfn.UNICHAR(160)," ")),'worker file'!$D$2:$D$406,"Not found")</f>
        <v>CA</v>
      </c>
      <c r="D572" s="36" t="str">
        <f t="array" ref="D572">_xlfn.XLOOKUP($A572,TRIM(SUBSTITUTE('worker file'!$A$2:$A$406,_xlfn.UNICHAR(160)," ")),'worker file'!$Q$2:$Q$406,"Not found")</f>
        <v>Active</v>
      </c>
      <c r="E572" s="35" t="s">
        <v>634</v>
      </c>
      <c r="F572" t="str">
        <f t="shared" si="62"/>
        <v>Vision – Employee</v>
      </c>
      <c r="G572" t="str">
        <f t="shared" si="63"/>
        <v>Pre-tax Section 125 (exempt from FIT/SIT/FICA)</v>
      </c>
      <c r="H572" t="str">
        <f t="shared" si="64"/>
        <v>Flat</v>
      </c>
      <c r="I572" s="40" t="str">
        <f>IF($H572="Percent",_xlfn.XLOOKUP($E572,$A$5:$A$8,$F$5:$F$8,""),"")</f>
        <v/>
      </c>
      <c r="J572" s="38">
        <f t="shared" si="65"/>
        <v>30</v>
      </c>
      <c r="K572" t="str">
        <f t="shared" si="66"/>
        <v>Per pay period</v>
      </c>
      <c r="L572" t="str">
        <f t="shared" si="67"/>
        <v>Every pay period (ongoing)</v>
      </c>
      <c r="M572" s="39">
        <f t="array" ref="M572">MAX(_xlfn.XLOOKUP($A572,TRIM(SUBSTITUTE('worker file'!$A$2:$A$406,_xlfn.UNICHAR(160)," ")),'worker file'!$M$2:$M$406,0),_xlfn.XLOOKUP($B572,TRIM('pay group &amp; schedule'!$A$2:$A$6),'pay group &amp; schedule'!$D$2:$D$6,0))</f>
        <v>46311</v>
      </c>
      <c r="N572" s="39" t="str">
        <f t="array" ref="N572">_xlfn.LET(_xlpm.t,_xlfn.XLOOKUP($A572,TRIM(SUBSTITUTE('worker file'!$A$2:$A$406,_xlfn.UNICHAR(160)," ")),'worker file'!$N$2:$N$406,""),IF(N(_xlpm.t)=0,"",_xlpm.t))</f>
        <v/>
      </c>
    </row>
    <row r="573" spans="1:14" x14ac:dyDescent="0.2">
      <c r="A573" s="35" t="s">
        <v>304</v>
      </c>
      <c r="B573" s="36" t="str">
        <f t="array" ref="B573">_xlfn.XLOOKUP($A573,TRIM(SUBSTITUTE('worker file'!$A$2:$A$406,_xlfn.UNICHAR(160)," ")),'worker file'!$L$2:$L$406,"Not found")</f>
        <v>US Semi-monthly</v>
      </c>
      <c r="C573" s="36" t="str">
        <f t="array" ref="C573">_xlfn.XLOOKUP($A573,TRIM(SUBSTITUTE('worker file'!$A$2:$A$406,_xlfn.UNICHAR(160)," ")),'worker file'!$D$2:$D$406,"Not found")</f>
        <v>CA</v>
      </c>
      <c r="D573" s="36" t="str">
        <f t="array" ref="D573">_xlfn.XLOOKUP($A573,TRIM(SUBSTITUTE('worker file'!$A$2:$A$406,_xlfn.UNICHAR(160)," ")),'worker file'!$Q$2:$Q$406,"Not found")</f>
        <v>Active</v>
      </c>
      <c r="E573" s="35" t="s">
        <v>618</v>
      </c>
      <c r="F573" t="str">
        <f t="shared" si="62"/>
        <v>401(k) Employee Deferral</v>
      </c>
      <c r="G573" t="str">
        <f t="shared" si="63"/>
        <v>Pre-tax (exempt from FIT/SIT; subject to FICA)</v>
      </c>
      <c r="H573" t="str">
        <f t="shared" si="64"/>
        <v>Percent</v>
      </c>
      <c r="I573" s="37">
        <v>0.03</v>
      </c>
      <c r="J573" s="38" t="str">
        <f t="shared" si="65"/>
        <v/>
      </c>
      <c r="K573" t="str">
        <f t="shared" si="66"/>
        <v>Gross pay</v>
      </c>
      <c r="L573" t="str">
        <f t="shared" si="67"/>
        <v>Every pay period (ongoing)</v>
      </c>
      <c r="M573" s="39">
        <f t="array" ref="M573">MAX(_xlfn.XLOOKUP($A573,TRIM(SUBSTITUTE('worker file'!$A$2:$A$406,_xlfn.UNICHAR(160)," ")),'worker file'!$M$2:$M$406,0),_xlfn.XLOOKUP($B573,TRIM('pay group &amp; schedule'!$A$2:$A$6),'pay group &amp; schedule'!$D$2:$D$6,0))</f>
        <v>46311</v>
      </c>
      <c r="N573" s="39" t="str">
        <f t="array" ref="N573">_xlfn.LET(_xlpm.t,_xlfn.XLOOKUP($A573,TRIM(SUBSTITUTE('worker file'!$A$2:$A$406,_xlfn.UNICHAR(160)," ")),'worker file'!$N$2:$N$406,""),IF(N(_xlpm.t)=0,"",_xlpm.t))</f>
        <v/>
      </c>
    </row>
    <row r="574" spans="1:14" x14ac:dyDescent="0.2">
      <c r="A574" s="35" t="s">
        <v>304</v>
      </c>
      <c r="B574" s="36" t="str">
        <f t="array" ref="B574">_xlfn.XLOOKUP($A574,TRIM(SUBSTITUTE('worker file'!$A$2:$A$406,_xlfn.UNICHAR(160)," ")),'worker file'!$L$2:$L$406,"Not found")</f>
        <v>US Semi-monthly</v>
      </c>
      <c r="C574" s="36" t="str">
        <f t="array" ref="C574">_xlfn.XLOOKUP($A574,TRIM(SUBSTITUTE('worker file'!$A$2:$A$406,_xlfn.UNICHAR(160)," ")),'worker file'!$D$2:$D$406,"Not found")</f>
        <v>CA</v>
      </c>
      <c r="D574" s="36" t="str">
        <f t="array" ref="D574">_xlfn.XLOOKUP($A574,TRIM(SUBSTITUTE('worker file'!$A$2:$A$406,_xlfn.UNICHAR(160)," ")),'worker file'!$Q$2:$Q$406,"Not found")</f>
        <v>Active</v>
      </c>
      <c r="E574" s="35" t="s">
        <v>626</v>
      </c>
      <c r="F574" t="str">
        <f t="shared" si="62"/>
        <v>Medical (Health) – Employee</v>
      </c>
      <c r="G574" t="str">
        <f t="shared" si="63"/>
        <v>Pre-tax Section 125 (exempt from FIT/SIT/FICA)</v>
      </c>
      <c r="H574" t="str">
        <f t="shared" si="64"/>
        <v>Flat</v>
      </c>
      <c r="I574" s="40" t="str">
        <f>IF($H574="Percent",_xlfn.XLOOKUP($E574,$A$5:$A$8,$F$5:$F$8,""),"")</f>
        <v/>
      </c>
      <c r="J574" s="38">
        <f t="shared" si="65"/>
        <v>200</v>
      </c>
      <c r="K574" t="str">
        <f t="shared" si="66"/>
        <v>Per pay period</v>
      </c>
      <c r="L574" t="str">
        <f t="shared" si="67"/>
        <v>Every pay period (ongoing)</v>
      </c>
      <c r="M574" s="39">
        <f t="array" ref="M574">MAX(_xlfn.XLOOKUP($A574,TRIM(SUBSTITUTE('worker file'!$A$2:$A$406,_xlfn.UNICHAR(160)," ")),'worker file'!$M$2:$M$406,0),_xlfn.XLOOKUP($B574,TRIM('pay group &amp; schedule'!$A$2:$A$6),'pay group &amp; schedule'!$D$2:$D$6,0))</f>
        <v>46311</v>
      </c>
      <c r="N574" s="39" t="str">
        <f t="array" ref="N574">_xlfn.LET(_xlpm.t,_xlfn.XLOOKUP($A574,TRIM(SUBSTITUTE('worker file'!$A$2:$A$406,_xlfn.UNICHAR(160)," ")),'worker file'!$N$2:$N$406,""),IF(N(_xlpm.t)=0,"",_xlpm.t))</f>
        <v/>
      </c>
    </row>
    <row r="575" spans="1:14" x14ac:dyDescent="0.2">
      <c r="A575" s="35" t="s">
        <v>304</v>
      </c>
      <c r="B575" s="36" t="str">
        <f t="array" ref="B575">_xlfn.XLOOKUP($A575,TRIM(SUBSTITUTE('worker file'!$A$2:$A$406,_xlfn.UNICHAR(160)," ")),'worker file'!$L$2:$L$406,"Not found")</f>
        <v>US Semi-monthly</v>
      </c>
      <c r="C575" s="36" t="str">
        <f t="array" ref="C575">_xlfn.XLOOKUP($A575,TRIM(SUBSTITUTE('worker file'!$A$2:$A$406,_xlfn.UNICHAR(160)," ")),'worker file'!$D$2:$D$406,"Not found")</f>
        <v>CA</v>
      </c>
      <c r="D575" s="36" t="str">
        <f t="array" ref="D575">_xlfn.XLOOKUP($A575,TRIM(SUBSTITUTE('worker file'!$A$2:$A$406,_xlfn.UNICHAR(160)," ")),'worker file'!$Q$2:$Q$406,"Not found")</f>
        <v>Active</v>
      </c>
      <c r="E575" s="35" t="s">
        <v>632</v>
      </c>
      <c r="F575" t="str">
        <f t="shared" si="62"/>
        <v>Dental – Employee</v>
      </c>
      <c r="G575" t="str">
        <f t="shared" si="63"/>
        <v>Pre-tax Section 125 (exempt from FIT/SIT/FICA)</v>
      </c>
      <c r="H575" t="str">
        <f t="shared" si="64"/>
        <v>Flat</v>
      </c>
      <c r="I575" s="40" t="str">
        <f>IF($H575="Percent",_xlfn.XLOOKUP($E575,$A$5:$A$8,$F$5:$F$8,""),"")</f>
        <v/>
      </c>
      <c r="J575" s="38">
        <f t="shared" si="65"/>
        <v>44</v>
      </c>
      <c r="K575" t="str">
        <f t="shared" si="66"/>
        <v>Per pay period</v>
      </c>
      <c r="L575" t="str">
        <f t="shared" si="67"/>
        <v>Every pay period (ongoing)</v>
      </c>
      <c r="M575" s="39">
        <f t="array" ref="M575">MAX(_xlfn.XLOOKUP($A575,TRIM(SUBSTITUTE('worker file'!$A$2:$A$406,_xlfn.UNICHAR(160)," ")),'worker file'!$M$2:$M$406,0),_xlfn.XLOOKUP($B575,TRIM('pay group &amp; schedule'!$A$2:$A$6),'pay group &amp; schedule'!$D$2:$D$6,0))</f>
        <v>46311</v>
      </c>
      <c r="N575" s="39" t="str">
        <f t="array" ref="N575">_xlfn.LET(_xlpm.t,_xlfn.XLOOKUP($A575,TRIM(SUBSTITUTE('worker file'!$A$2:$A$406,_xlfn.UNICHAR(160)," ")),'worker file'!$N$2:$N$406,""),IF(N(_xlpm.t)=0,"",_xlpm.t))</f>
        <v/>
      </c>
    </row>
    <row r="576" spans="1:14" x14ac:dyDescent="0.2">
      <c r="A576" s="35" t="s">
        <v>304</v>
      </c>
      <c r="B576" s="36" t="str">
        <f t="array" ref="B576">_xlfn.XLOOKUP($A576,TRIM(SUBSTITUTE('worker file'!$A$2:$A$406,_xlfn.UNICHAR(160)," ")),'worker file'!$L$2:$L$406,"Not found")</f>
        <v>US Semi-monthly</v>
      </c>
      <c r="C576" s="36" t="str">
        <f t="array" ref="C576">_xlfn.XLOOKUP($A576,TRIM(SUBSTITUTE('worker file'!$A$2:$A$406,_xlfn.UNICHAR(160)," ")),'worker file'!$D$2:$D$406,"Not found")</f>
        <v>CA</v>
      </c>
      <c r="D576" s="36" t="str">
        <f t="array" ref="D576">_xlfn.XLOOKUP($A576,TRIM(SUBSTITUTE('worker file'!$A$2:$A$406,_xlfn.UNICHAR(160)," ")),'worker file'!$Q$2:$Q$406,"Not found")</f>
        <v>Active</v>
      </c>
      <c r="E576" s="35" t="s">
        <v>634</v>
      </c>
      <c r="F576" t="str">
        <f t="shared" si="62"/>
        <v>Vision – Employee</v>
      </c>
      <c r="G576" t="str">
        <f t="shared" si="63"/>
        <v>Pre-tax Section 125 (exempt from FIT/SIT/FICA)</v>
      </c>
      <c r="H576" t="str">
        <f t="shared" si="64"/>
        <v>Flat</v>
      </c>
      <c r="I576" s="40" t="str">
        <f>IF($H576="Percent",_xlfn.XLOOKUP($E576,$A$5:$A$8,$F$5:$F$8,""),"")</f>
        <v/>
      </c>
      <c r="J576" s="38">
        <f t="shared" si="65"/>
        <v>30</v>
      </c>
      <c r="K576" t="str">
        <f t="shared" si="66"/>
        <v>Per pay period</v>
      </c>
      <c r="L576" t="str">
        <f t="shared" si="67"/>
        <v>Every pay period (ongoing)</v>
      </c>
      <c r="M576" s="39">
        <f t="array" ref="M576">MAX(_xlfn.XLOOKUP($A576,TRIM(SUBSTITUTE('worker file'!$A$2:$A$406,_xlfn.UNICHAR(160)," ")),'worker file'!$M$2:$M$406,0),_xlfn.XLOOKUP($B576,TRIM('pay group &amp; schedule'!$A$2:$A$6),'pay group &amp; schedule'!$D$2:$D$6,0))</f>
        <v>46311</v>
      </c>
      <c r="N576" s="39" t="str">
        <f t="array" ref="N576">_xlfn.LET(_xlpm.t,_xlfn.XLOOKUP($A576,TRIM(SUBSTITUTE('worker file'!$A$2:$A$406,_xlfn.UNICHAR(160)," ")),'worker file'!$N$2:$N$406,""),IF(N(_xlpm.t)=0,"",_xlpm.t))</f>
        <v/>
      </c>
    </row>
    <row r="577" spans="1:14" x14ac:dyDescent="0.2">
      <c r="A577" s="35" t="s">
        <v>305</v>
      </c>
      <c r="B577" s="36" t="str">
        <f t="array" ref="B577">_xlfn.XLOOKUP($A577,TRIM(SUBSTITUTE('worker file'!$A$2:$A$406,_xlfn.UNICHAR(160)," ")),'worker file'!$L$2:$L$406,"Not found")</f>
        <v>US Semi-monthly</v>
      </c>
      <c r="C577" s="36" t="str">
        <f t="array" ref="C577">_xlfn.XLOOKUP($A577,TRIM(SUBSTITUTE('worker file'!$A$2:$A$406,_xlfn.UNICHAR(160)," ")),'worker file'!$D$2:$D$406,"Not found")</f>
        <v>NY</v>
      </c>
      <c r="D577" s="36" t="str">
        <f t="array" ref="D577">_xlfn.XLOOKUP($A577,TRIM(SUBSTITUTE('worker file'!$A$2:$A$406,_xlfn.UNICHAR(160)," ")),'worker file'!$Q$2:$Q$406,"Not found")</f>
        <v>Active</v>
      </c>
      <c r="E577" s="35" t="s">
        <v>618</v>
      </c>
      <c r="F577" t="str">
        <f t="shared" si="62"/>
        <v>401(k) Employee Deferral</v>
      </c>
      <c r="G577" t="str">
        <f t="shared" si="63"/>
        <v>Pre-tax (exempt from FIT/SIT; subject to FICA)</v>
      </c>
      <c r="H577" t="str">
        <f t="shared" si="64"/>
        <v>Percent</v>
      </c>
      <c r="I577" s="37">
        <v>0</v>
      </c>
      <c r="J577" s="38" t="str">
        <f t="shared" si="65"/>
        <v/>
      </c>
      <c r="K577" t="str">
        <f t="shared" si="66"/>
        <v>Gross pay</v>
      </c>
      <c r="L577" t="str">
        <f t="shared" si="67"/>
        <v>Every pay period (ongoing)</v>
      </c>
      <c r="M577" s="39">
        <f t="array" ref="M577">MAX(_xlfn.XLOOKUP($A577,TRIM(SUBSTITUTE('worker file'!$A$2:$A$406,_xlfn.UNICHAR(160)," ")),'worker file'!$M$2:$M$406,0),_xlfn.XLOOKUP($B577,TRIM('pay group &amp; schedule'!$A$2:$A$6),'pay group &amp; schedule'!$D$2:$D$6,0))</f>
        <v>46311</v>
      </c>
      <c r="N577" s="39" t="str">
        <f t="array" ref="N577">_xlfn.LET(_xlpm.t,_xlfn.XLOOKUP($A577,TRIM(SUBSTITUTE('worker file'!$A$2:$A$406,_xlfn.UNICHAR(160)," ")),'worker file'!$N$2:$N$406,""),IF(N(_xlpm.t)=0,"",_xlpm.t))</f>
        <v/>
      </c>
    </row>
    <row r="578" spans="1:14" x14ac:dyDescent="0.2">
      <c r="A578" s="35" t="s">
        <v>305</v>
      </c>
      <c r="B578" s="36" t="str">
        <f t="array" ref="B578">_xlfn.XLOOKUP($A578,TRIM(SUBSTITUTE('worker file'!$A$2:$A$406,_xlfn.UNICHAR(160)," ")),'worker file'!$L$2:$L$406,"Not found")</f>
        <v>US Semi-monthly</v>
      </c>
      <c r="C578" s="36" t="str">
        <f t="array" ref="C578">_xlfn.XLOOKUP($A578,TRIM(SUBSTITUTE('worker file'!$A$2:$A$406,_xlfn.UNICHAR(160)," ")),'worker file'!$D$2:$D$406,"Not found")</f>
        <v>NY</v>
      </c>
      <c r="D578" s="36" t="str">
        <f t="array" ref="D578">_xlfn.XLOOKUP($A578,TRIM(SUBSTITUTE('worker file'!$A$2:$A$406,_xlfn.UNICHAR(160)," ")),'worker file'!$Q$2:$Q$406,"Not found")</f>
        <v>Active</v>
      </c>
      <c r="E578" s="35" t="s">
        <v>626</v>
      </c>
      <c r="F578" t="str">
        <f t="shared" si="62"/>
        <v>Medical (Health) – Employee</v>
      </c>
      <c r="G578" t="str">
        <f t="shared" si="63"/>
        <v>Pre-tax Section 125 (exempt from FIT/SIT/FICA)</v>
      </c>
      <c r="H578" t="str">
        <f t="shared" si="64"/>
        <v>Flat</v>
      </c>
      <c r="I578" s="40" t="str">
        <f>IF($H578="Percent",_xlfn.XLOOKUP($E578,$A$5:$A$8,$F$5:$F$8,""),"")</f>
        <v/>
      </c>
      <c r="J578" s="38">
        <f t="shared" si="65"/>
        <v>200</v>
      </c>
      <c r="K578" t="str">
        <f t="shared" si="66"/>
        <v>Per pay period</v>
      </c>
      <c r="L578" t="str">
        <f t="shared" si="67"/>
        <v>Every pay period (ongoing)</v>
      </c>
      <c r="M578" s="39">
        <f t="array" ref="M578">MAX(_xlfn.XLOOKUP($A578,TRIM(SUBSTITUTE('worker file'!$A$2:$A$406,_xlfn.UNICHAR(160)," ")),'worker file'!$M$2:$M$406,0),_xlfn.XLOOKUP($B578,TRIM('pay group &amp; schedule'!$A$2:$A$6),'pay group &amp; schedule'!$D$2:$D$6,0))</f>
        <v>46311</v>
      </c>
      <c r="N578" s="39" t="str">
        <f t="array" ref="N578">_xlfn.LET(_xlpm.t,_xlfn.XLOOKUP($A578,TRIM(SUBSTITUTE('worker file'!$A$2:$A$406,_xlfn.UNICHAR(160)," ")),'worker file'!$N$2:$N$406,""),IF(N(_xlpm.t)=0,"",_xlpm.t))</f>
        <v/>
      </c>
    </row>
    <row r="579" spans="1:14" x14ac:dyDescent="0.2">
      <c r="A579" s="35" t="s">
        <v>305</v>
      </c>
      <c r="B579" s="36" t="str">
        <f t="array" ref="B579">_xlfn.XLOOKUP($A579,TRIM(SUBSTITUTE('worker file'!$A$2:$A$406,_xlfn.UNICHAR(160)," ")),'worker file'!$L$2:$L$406,"Not found")</f>
        <v>US Semi-monthly</v>
      </c>
      <c r="C579" s="36" t="str">
        <f t="array" ref="C579">_xlfn.XLOOKUP($A579,TRIM(SUBSTITUTE('worker file'!$A$2:$A$406,_xlfn.UNICHAR(160)," ")),'worker file'!$D$2:$D$406,"Not found")</f>
        <v>NY</v>
      </c>
      <c r="D579" s="36" t="str">
        <f t="array" ref="D579">_xlfn.XLOOKUP($A579,TRIM(SUBSTITUTE('worker file'!$A$2:$A$406,_xlfn.UNICHAR(160)," ")),'worker file'!$Q$2:$Q$406,"Not found")</f>
        <v>Active</v>
      </c>
      <c r="E579" s="35" t="s">
        <v>632</v>
      </c>
      <c r="F579" t="str">
        <f t="shared" si="62"/>
        <v>Dental – Employee</v>
      </c>
      <c r="G579" t="str">
        <f t="shared" si="63"/>
        <v>Pre-tax Section 125 (exempt from FIT/SIT/FICA)</v>
      </c>
      <c r="H579" t="str">
        <f t="shared" si="64"/>
        <v>Flat</v>
      </c>
      <c r="I579" s="40" t="str">
        <f>IF($H579="Percent",_xlfn.XLOOKUP($E579,$A$5:$A$8,$F$5:$F$8,""),"")</f>
        <v/>
      </c>
      <c r="J579" s="38">
        <f t="shared" si="65"/>
        <v>44</v>
      </c>
      <c r="K579" t="str">
        <f t="shared" si="66"/>
        <v>Per pay period</v>
      </c>
      <c r="L579" t="str">
        <f t="shared" si="67"/>
        <v>Every pay period (ongoing)</v>
      </c>
      <c r="M579" s="39">
        <f t="array" ref="M579">MAX(_xlfn.XLOOKUP($A579,TRIM(SUBSTITUTE('worker file'!$A$2:$A$406,_xlfn.UNICHAR(160)," ")),'worker file'!$M$2:$M$406,0),_xlfn.XLOOKUP($B579,TRIM('pay group &amp; schedule'!$A$2:$A$6),'pay group &amp; schedule'!$D$2:$D$6,0))</f>
        <v>46311</v>
      </c>
      <c r="N579" s="39" t="str">
        <f t="array" ref="N579">_xlfn.LET(_xlpm.t,_xlfn.XLOOKUP($A579,TRIM(SUBSTITUTE('worker file'!$A$2:$A$406,_xlfn.UNICHAR(160)," ")),'worker file'!$N$2:$N$406,""),IF(N(_xlpm.t)=0,"",_xlpm.t))</f>
        <v/>
      </c>
    </row>
    <row r="580" spans="1:14" x14ac:dyDescent="0.2">
      <c r="A580" s="35" t="s">
        <v>305</v>
      </c>
      <c r="B580" s="36" t="str">
        <f t="array" ref="B580">_xlfn.XLOOKUP($A580,TRIM(SUBSTITUTE('worker file'!$A$2:$A$406,_xlfn.UNICHAR(160)," ")),'worker file'!$L$2:$L$406,"Not found")</f>
        <v>US Semi-monthly</v>
      </c>
      <c r="C580" s="36" t="str">
        <f t="array" ref="C580">_xlfn.XLOOKUP($A580,TRIM(SUBSTITUTE('worker file'!$A$2:$A$406,_xlfn.UNICHAR(160)," ")),'worker file'!$D$2:$D$406,"Not found")</f>
        <v>NY</v>
      </c>
      <c r="D580" s="36" t="str">
        <f t="array" ref="D580">_xlfn.XLOOKUP($A580,TRIM(SUBSTITUTE('worker file'!$A$2:$A$406,_xlfn.UNICHAR(160)," ")),'worker file'!$Q$2:$Q$406,"Not found")</f>
        <v>Active</v>
      </c>
      <c r="E580" s="35" t="s">
        <v>634</v>
      </c>
      <c r="F580" t="str">
        <f t="shared" si="62"/>
        <v>Vision – Employee</v>
      </c>
      <c r="G580" t="str">
        <f t="shared" si="63"/>
        <v>Pre-tax Section 125 (exempt from FIT/SIT/FICA)</v>
      </c>
      <c r="H580" t="str">
        <f t="shared" si="64"/>
        <v>Flat</v>
      </c>
      <c r="I580" s="40" t="str">
        <f>IF($H580="Percent",_xlfn.XLOOKUP($E580,$A$5:$A$8,$F$5:$F$8,""),"")</f>
        <v/>
      </c>
      <c r="J580" s="38">
        <f t="shared" si="65"/>
        <v>30</v>
      </c>
      <c r="K580" t="str">
        <f t="shared" si="66"/>
        <v>Per pay period</v>
      </c>
      <c r="L580" t="str">
        <f t="shared" si="67"/>
        <v>Every pay period (ongoing)</v>
      </c>
      <c r="M580" s="39">
        <f t="array" ref="M580">MAX(_xlfn.XLOOKUP($A580,TRIM(SUBSTITUTE('worker file'!$A$2:$A$406,_xlfn.UNICHAR(160)," ")),'worker file'!$M$2:$M$406,0),_xlfn.XLOOKUP($B580,TRIM('pay group &amp; schedule'!$A$2:$A$6),'pay group &amp; schedule'!$D$2:$D$6,0))</f>
        <v>46311</v>
      </c>
      <c r="N580" s="39" t="str">
        <f t="array" ref="N580">_xlfn.LET(_xlpm.t,_xlfn.XLOOKUP($A580,TRIM(SUBSTITUTE('worker file'!$A$2:$A$406,_xlfn.UNICHAR(160)," ")),'worker file'!$N$2:$N$406,""),IF(N(_xlpm.t)=0,"",_xlpm.t))</f>
        <v/>
      </c>
    </row>
    <row r="581" spans="1:14" x14ac:dyDescent="0.2">
      <c r="A581" s="35" t="s">
        <v>306</v>
      </c>
      <c r="B581" s="36" t="str">
        <f t="array" ref="B581">_xlfn.XLOOKUP($A581,TRIM(SUBSTITUTE('worker file'!$A$2:$A$406,_xlfn.UNICHAR(160)," ")),'worker file'!$L$2:$L$406,"Not found")</f>
        <v>US Semi-monthly</v>
      </c>
      <c r="C581" s="36" t="str">
        <f t="array" ref="C581">_xlfn.XLOOKUP($A581,TRIM(SUBSTITUTE('worker file'!$A$2:$A$406,_xlfn.UNICHAR(160)," ")),'worker file'!$D$2:$D$406,"Not found")</f>
        <v>CA</v>
      </c>
      <c r="D581" s="36" t="str">
        <f t="array" ref="D581">_xlfn.XLOOKUP($A581,TRIM(SUBSTITUTE('worker file'!$A$2:$A$406,_xlfn.UNICHAR(160)," ")),'worker file'!$Q$2:$Q$406,"Not found")</f>
        <v>Active</v>
      </c>
      <c r="E581" s="35" t="s">
        <v>618</v>
      </c>
      <c r="F581" t="str">
        <f t="shared" si="62"/>
        <v>401(k) Employee Deferral</v>
      </c>
      <c r="G581" t="str">
        <f t="shared" si="63"/>
        <v>Pre-tax (exempt from FIT/SIT; subject to FICA)</v>
      </c>
      <c r="H581" t="str">
        <f t="shared" si="64"/>
        <v>Percent</v>
      </c>
      <c r="I581" s="37">
        <v>0.05</v>
      </c>
      <c r="J581" s="38" t="str">
        <f t="shared" si="65"/>
        <v/>
      </c>
      <c r="K581" t="str">
        <f t="shared" si="66"/>
        <v>Gross pay</v>
      </c>
      <c r="L581" t="str">
        <f t="shared" si="67"/>
        <v>Every pay period (ongoing)</v>
      </c>
      <c r="M581" s="39">
        <f t="array" ref="M581">MAX(_xlfn.XLOOKUP($A581,TRIM(SUBSTITUTE('worker file'!$A$2:$A$406,_xlfn.UNICHAR(160)," ")),'worker file'!$M$2:$M$406,0),_xlfn.XLOOKUP($B581,TRIM('pay group &amp; schedule'!$A$2:$A$6),'pay group &amp; schedule'!$D$2:$D$6,0))</f>
        <v>46311</v>
      </c>
      <c r="N581" s="39" t="str">
        <f t="array" ref="N581">_xlfn.LET(_xlpm.t,_xlfn.XLOOKUP($A581,TRIM(SUBSTITUTE('worker file'!$A$2:$A$406,_xlfn.UNICHAR(160)," ")),'worker file'!$N$2:$N$406,""),IF(N(_xlpm.t)=0,"",_xlpm.t))</f>
        <v/>
      </c>
    </row>
    <row r="582" spans="1:14" x14ac:dyDescent="0.2">
      <c r="A582" s="35" t="s">
        <v>306</v>
      </c>
      <c r="B582" s="36" t="str">
        <f t="array" ref="B582">_xlfn.XLOOKUP($A582,TRIM(SUBSTITUTE('worker file'!$A$2:$A$406,_xlfn.UNICHAR(160)," ")),'worker file'!$L$2:$L$406,"Not found")</f>
        <v>US Semi-monthly</v>
      </c>
      <c r="C582" s="36" t="str">
        <f t="array" ref="C582">_xlfn.XLOOKUP($A582,TRIM(SUBSTITUTE('worker file'!$A$2:$A$406,_xlfn.UNICHAR(160)," ")),'worker file'!$D$2:$D$406,"Not found")</f>
        <v>CA</v>
      </c>
      <c r="D582" s="36" t="str">
        <f t="array" ref="D582">_xlfn.XLOOKUP($A582,TRIM(SUBSTITUTE('worker file'!$A$2:$A$406,_xlfn.UNICHAR(160)," ")),'worker file'!$Q$2:$Q$406,"Not found")</f>
        <v>Active</v>
      </c>
      <c r="E582" s="35" t="s">
        <v>626</v>
      </c>
      <c r="F582" t="str">
        <f t="shared" si="62"/>
        <v>Medical (Health) – Employee</v>
      </c>
      <c r="G582" t="str">
        <f t="shared" si="63"/>
        <v>Pre-tax Section 125 (exempt from FIT/SIT/FICA)</v>
      </c>
      <c r="H582" t="str">
        <f t="shared" si="64"/>
        <v>Flat</v>
      </c>
      <c r="I582" s="40" t="str">
        <f>IF($H582="Percent",_xlfn.XLOOKUP($E582,$A$5:$A$8,$F$5:$F$8,""),"")</f>
        <v/>
      </c>
      <c r="J582" s="38">
        <f t="shared" si="65"/>
        <v>200</v>
      </c>
      <c r="K582" t="str">
        <f t="shared" si="66"/>
        <v>Per pay period</v>
      </c>
      <c r="L582" t="str">
        <f t="shared" si="67"/>
        <v>Every pay period (ongoing)</v>
      </c>
      <c r="M582" s="39">
        <f t="array" ref="M582">MAX(_xlfn.XLOOKUP($A582,TRIM(SUBSTITUTE('worker file'!$A$2:$A$406,_xlfn.UNICHAR(160)," ")),'worker file'!$M$2:$M$406,0),_xlfn.XLOOKUP($B582,TRIM('pay group &amp; schedule'!$A$2:$A$6),'pay group &amp; schedule'!$D$2:$D$6,0))</f>
        <v>46311</v>
      </c>
      <c r="N582" s="39" t="str">
        <f t="array" ref="N582">_xlfn.LET(_xlpm.t,_xlfn.XLOOKUP($A582,TRIM(SUBSTITUTE('worker file'!$A$2:$A$406,_xlfn.UNICHAR(160)," ")),'worker file'!$N$2:$N$406,""),IF(N(_xlpm.t)=0,"",_xlpm.t))</f>
        <v/>
      </c>
    </row>
    <row r="583" spans="1:14" x14ac:dyDescent="0.2">
      <c r="A583" s="35" t="s">
        <v>306</v>
      </c>
      <c r="B583" s="36" t="str">
        <f t="array" ref="B583">_xlfn.XLOOKUP($A583,TRIM(SUBSTITUTE('worker file'!$A$2:$A$406,_xlfn.UNICHAR(160)," ")),'worker file'!$L$2:$L$406,"Not found")</f>
        <v>US Semi-monthly</v>
      </c>
      <c r="C583" s="36" t="str">
        <f t="array" ref="C583">_xlfn.XLOOKUP($A583,TRIM(SUBSTITUTE('worker file'!$A$2:$A$406,_xlfn.UNICHAR(160)," ")),'worker file'!$D$2:$D$406,"Not found")</f>
        <v>CA</v>
      </c>
      <c r="D583" s="36" t="str">
        <f t="array" ref="D583">_xlfn.XLOOKUP($A583,TRIM(SUBSTITUTE('worker file'!$A$2:$A$406,_xlfn.UNICHAR(160)," ")),'worker file'!$Q$2:$Q$406,"Not found")</f>
        <v>Active</v>
      </c>
      <c r="E583" s="35" t="s">
        <v>632</v>
      </c>
      <c r="F583" t="str">
        <f t="shared" si="62"/>
        <v>Dental – Employee</v>
      </c>
      <c r="G583" t="str">
        <f t="shared" si="63"/>
        <v>Pre-tax Section 125 (exempt from FIT/SIT/FICA)</v>
      </c>
      <c r="H583" t="str">
        <f t="shared" si="64"/>
        <v>Flat</v>
      </c>
      <c r="I583" s="40" t="str">
        <f>IF($H583="Percent",_xlfn.XLOOKUP($E583,$A$5:$A$8,$F$5:$F$8,""),"")</f>
        <v/>
      </c>
      <c r="J583" s="38">
        <f t="shared" si="65"/>
        <v>44</v>
      </c>
      <c r="K583" t="str">
        <f t="shared" si="66"/>
        <v>Per pay period</v>
      </c>
      <c r="L583" t="str">
        <f t="shared" si="67"/>
        <v>Every pay period (ongoing)</v>
      </c>
      <c r="M583" s="39">
        <f t="array" ref="M583">MAX(_xlfn.XLOOKUP($A583,TRIM(SUBSTITUTE('worker file'!$A$2:$A$406,_xlfn.UNICHAR(160)," ")),'worker file'!$M$2:$M$406,0),_xlfn.XLOOKUP($B583,TRIM('pay group &amp; schedule'!$A$2:$A$6),'pay group &amp; schedule'!$D$2:$D$6,0))</f>
        <v>46311</v>
      </c>
      <c r="N583" s="39" t="str">
        <f t="array" ref="N583">_xlfn.LET(_xlpm.t,_xlfn.XLOOKUP($A583,TRIM(SUBSTITUTE('worker file'!$A$2:$A$406,_xlfn.UNICHAR(160)," ")),'worker file'!$N$2:$N$406,""),IF(N(_xlpm.t)=0,"",_xlpm.t))</f>
        <v/>
      </c>
    </row>
    <row r="584" spans="1:14" x14ac:dyDescent="0.2">
      <c r="A584" s="35" t="s">
        <v>306</v>
      </c>
      <c r="B584" s="36" t="str">
        <f t="array" ref="B584">_xlfn.XLOOKUP($A584,TRIM(SUBSTITUTE('worker file'!$A$2:$A$406,_xlfn.UNICHAR(160)," ")),'worker file'!$L$2:$L$406,"Not found")</f>
        <v>US Semi-monthly</v>
      </c>
      <c r="C584" s="36" t="str">
        <f t="array" ref="C584">_xlfn.XLOOKUP($A584,TRIM(SUBSTITUTE('worker file'!$A$2:$A$406,_xlfn.UNICHAR(160)," ")),'worker file'!$D$2:$D$406,"Not found")</f>
        <v>CA</v>
      </c>
      <c r="D584" s="36" t="str">
        <f t="array" ref="D584">_xlfn.XLOOKUP($A584,TRIM(SUBSTITUTE('worker file'!$A$2:$A$406,_xlfn.UNICHAR(160)," ")),'worker file'!$Q$2:$Q$406,"Not found")</f>
        <v>Active</v>
      </c>
      <c r="E584" s="35" t="s">
        <v>634</v>
      </c>
      <c r="F584" t="str">
        <f t="shared" si="62"/>
        <v>Vision – Employee</v>
      </c>
      <c r="G584" t="str">
        <f t="shared" si="63"/>
        <v>Pre-tax Section 125 (exempt from FIT/SIT/FICA)</v>
      </c>
      <c r="H584" t="str">
        <f t="shared" si="64"/>
        <v>Flat</v>
      </c>
      <c r="I584" s="40" t="str">
        <f>IF($H584="Percent",_xlfn.XLOOKUP($E584,$A$5:$A$8,$F$5:$F$8,""),"")</f>
        <v/>
      </c>
      <c r="J584" s="38">
        <f t="shared" si="65"/>
        <v>30</v>
      </c>
      <c r="K584" t="str">
        <f t="shared" si="66"/>
        <v>Per pay period</v>
      </c>
      <c r="L584" t="str">
        <f t="shared" si="67"/>
        <v>Every pay period (ongoing)</v>
      </c>
      <c r="M584" s="39">
        <f t="array" ref="M584">MAX(_xlfn.XLOOKUP($A584,TRIM(SUBSTITUTE('worker file'!$A$2:$A$406,_xlfn.UNICHAR(160)," ")),'worker file'!$M$2:$M$406,0),_xlfn.XLOOKUP($B584,TRIM('pay group &amp; schedule'!$A$2:$A$6),'pay group &amp; schedule'!$D$2:$D$6,0))</f>
        <v>46311</v>
      </c>
      <c r="N584" s="39" t="str">
        <f t="array" ref="N584">_xlfn.LET(_xlpm.t,_xlfn.XLOOKUP($A584,TRIM(SUBSTITUTE('worker file'!$A$2:$A$406,_xlfn.UNICHAR(160)," ")),'worker file'!$N$2:$N$406,""),IF(N(_xlpm.t)=0,"",_xlpm.t))</f>
        <v/>
      </c>
    </row>
    <row r="585" spans="1:14" x14ac:dyDescent="0.2">
      <c r="A585" s="35" t="s">
        <v>307</v>
      </c>
      <c r="B585" s="36" t="str">
        <f t="array" ref="B585">_xlfn.XLOOKUP($A585,TRIM(SUBSTITUTE('worker file'!$A$2:$A$406,_xlfn.UNICHAR(160)," ")),'worker file'!$L$2:$L$406,"Not found")</f>
        <v>US Biweekly</v>
      </c>
      <c r="C585" s="36" t="str">
        <f t="array" ref="C585">_xlfn.XLOOKUP($A585,TRIM(SUBSTITUTE('worker file'!$A$2:$A$406,_xlfn.UNICHAR(160)," ")),'worker file'!$D$2:$D$406,"Not found")</f>
        <v>TX</v>
      </c>
      <c r="D585" s="36" t="str">
        <f t="array" ref="D585">_xlfn.XLOOKUP($A585,TRIM(SUBSTITUTE('worker file'!$A$2:$A$406,_xlfn.UNICHAR(160)," ")),'worker file'!$Q$2:$Q$406,"Not found")</f>
        <v>Active</v>
      </c>
      <c r="E585" s="35" t="s">
        <v>618</v>
      </c>
      <c r="F585" t="str">
        <f t="shared" si="62"/>
        <v>401(k) Employee Deferral</v>
      </c>
      <c r="G585" t="str">
        <f t="shared" si="63"/>
        <v>Pre-tax (exempt from FIT/SIT; subject to FICA)</v>
      </c>
      <c r="H585" t="str">
        <f t="shared" si="64"/>
        <v>Percent</v>
      </c>
      <c r="I585" s="37">
        <v>0.02</v>
      </c>
      <c r="J585" s="38" t="str">
        <f t="shared" si="65"/>
        <v/>
      </c>
      <c r="K585" t="str">
        <f t="shared" si="66"/>
        <v>Gross pay</v>
      </c>
      <c r="L585" t="str">
        <f t="shared" si="67"/>
        <v>Every pay period (ongoing)</v>
      </c>
      <c r="M585" s="39">
        <f t="array" ref="M585">MAX(_xlfn.XLOOKUP($A585,TRIM(SUBSTITUTE('worker file'!$A$2:$A$406,_xlfn.UNICHAR(160)," ")),'worker file'!$M$2:$M$406,0),_xlfn.XLOOKUP($B585,TRIM('pay group &amp; schedule'!$A$2:$A$6),'pay group &amp; schedule'!$D$2:$D$6,0))</f>
        <v>46299</v>
      </c>
      <c r="N585" s="39" t="str">
        <f t="array" ref="N585">_xlfn.LET(_xlpm.t,_xlfn.XLOOKUP($A585,TRIM(SUBSTITUTE('worker file'!$A$2:$A$406,_xlfn.UNICHAR(160)," ")),'worker file'!$N$2:$N$406,""),IF(N(_xlpm.t)=0,"",_xlpm.t))</f>
        <v/>
      </c>
    </row>
    <row r="586" spans="1:14" x14ac:dyDescent="0.2">
      <c r="A586" s="35" t="s">
        <v>307</v>
      </c>
      <c r="B586" s="36" t="str">
        <f t="array" ref="B586">_xlfn.XLOOKUP($A586,TRIM(SUBSTITUTE('worker file'!$A$2:$A$406,_xlfn.UNICHAR(160)," ")),'worker file'!$L$2:$L$406,"Not found")</f>
        <v>US Biweekly</v>
      </c>
      <c r="C586" s="36" t="str">
        <f t="array" ref="C586">_xlfn.XLOOKUP($A586,TRIM(SUBSTITUTE('worker file'!$A$2:$A$406,_xlfn.UNICHAR(160)," ")),'worker file'!$D$2:$D$406,"Not found")</f>
        <v>TX</v>
      </c>
      <c r="D586" s="36" t="str">
        <f t="array" ref="D586">_xlfn.XLOOKUP($A586,TRIM(SUBSTITUTE('worker file'!$A$2:$A$406,_xlfn.UNICHAR(160)," ")),'worker file'!$Q$2:$Q$406,"Not found")</f>
        <v>Active</v>
      </c>
      <c r="E586" s="35" t="s">
        <v>626</v>
      </c>
      <c r="F586" t="str">
        <f t="shared" si="62"/>
        <v>Medical (Health) – Employee</v>
      </c>
      <c r="G586" t="str">
        <f t="shared" si="63"/>
        <v>Pre-tax Section 125 (exempt from FIT/SIT/FICA)</v>
      </c>
      <c r="H586" t="str">
        <f t="shared" si="64"/>
        <v>Flat</v>
      </c>
      <c r="I586" s="40" t="str">
        <f>IF($H586="Percent",_xlfn.XLOOKUP($E586,$A$5:$A$8,$F$5:$F$8,""),"")</f>
        <v/>
      </c>
      <c r="J586" s="38">
        <f t="shared" si="65"/>
        <v>200</v>
      </c>
      <c r="K586" t="str">
        <f t="shared" si="66"/>
        <v>Per pay period</v>
      </c>
      <c r="L586" t="str">
        <f t="shared" si="67"/>
        <v>Every pay period (ongoing)</v>
      </c>
      <c r="M586" s="39">
        <f t="array" ref="M586">MAX(_xlfn.XLOOKUP($A586,TRIM(SUBSTITUTE('worker file'!$A$2:$A$406,_xlfn.UNICHAR(160)," ")),'worker file'!$M$2:$M$406,0),_xlfn.XLOOKUP($B586,TRIM('pay group &amp; schedule'!$A$2:$A$6),'pay group &amp; schedule'!$D$2:$D$6,0))</f>
        <v>46299</v>
      </c>
      <c r="N586" s="39" t="str">
        <f t="array" ref="N586">_xlfn.LET(_xlpm.t,_xlfn.XLOOKUP($A586,TRIM(SUBSTITUTE('worker file'!$A$2:$A$406,_xlfn.UNICHAR(160)," ")),'worker file'!$N$2:$N$406,""),IF(N(_xlpm.t)=0,"",_xlpm.t))</f>
        <v/>
      </c>
    </row>
    <row r="587" spans="1:14" x14ac:dyDescent="0.2">
      <c r="A587" s="35" t="s">
        <v>307</v>
      </c>
      <c r="B587" s="36" t="str">
        <f t="array" ref="B587">_xlfn.XLOOKUP($A587,TRIM(SUBSTITUTE('worker file'!$A$2:$A$406,_xlfn.UNICHAR(160)," ")),'worker file'!$L$2:$L$406,"Not found")</f>
        <v>US Biweekly</v>
      </c>
      <c r="C587" s="36" t="str">
        <f t="array" ref="C587">_xlfn.XLOOKUP($A587,TRIM(SUBSTITUTE('worker file'!$A$2:$A$406,_xlfn.UNICHAR(160)," ")),'worker file'!$D$2:$D$406,"Not found")</f>
        <v>TX</v>
      </c>
      <c r="D587" s="36" t="str">
        <f t="array" ref="D587">_xlfn.XLOOKUP($A587,TRIM(SUBSTITUTE('worker file'!$A$2:$A$406,_xlfn.UNICHAR(160)," ")),'worker file'!$Q$2:$Q$406,"Not found")</f>
        <v>Active</v>
      </c>
      <c r="E587" s="35" t="s">
        <v>632</v>
      </c>
      <c r="F587" t="str">
        <f t="shared" si="62"/>
        <v>Dental – Employee</v>
      </c>
      <c r="G587" t="str">
        <f t="shared" si="63"/>
        <v>Pre-tax Section 125 (exempt from FIT/SIT/FICA)</v>
      </c>
      <c r="H587" t="str">
        <f t="shared" si="64"/>
        <v>Flat</v>
      </c>
      <c r="I587" s="40" t="str">
        <f>IF($H587="Percent",_xlfn.XLOOKUP($E587,$A$5:$A$8,$F$5:$F$8,""),"")</f>
        <v/>
      </c>
      <c r="J587" s="38">
        <f t="shared" si="65"/>
        <v>44</v>
      </c>
      <c r="K587" t="str">
        <f t="shared" si="66"/>
        <v>Per pay period</v>
      </c>
      <c r="L587" t="str">
        <f t="shared" si="67"/>
        <v>Every pay period (ongoing)</v>
      </c>
      <c r="M587" s="39">
        <f t="array" ref="M587">MAX(_xlfn.XLOOKUP($A587,TRIM(SUBSTITUTE('worker file'!$A$2:$A$406,_xlfn.UNICHAR(160)," ")),'worker file'!$M$2:$M$406,0),_xlfn.XLOOKUP($B587,TRIM('pay group &amp; schedule'!$A$2:$A$6),'pay group &amp; schedule'!$D$2:$D$6,0))</f>
        <v>46299</v>
      </c>
      <c r="N587" s="39" t="str">
        <f t="array" ref="N587">_xlfn.LET(_xlpm.t,_xlfn.XLOOKUP($A587,TRIM(SUBSTITUTE('worker file'!$A$2:$A$406,_xlfn.UNICHAR(160)," ")),'worker file'!$N$2:$N$406,""),IF(N(_xlpm.t)=0,"",_xlpm.t))</f>
        <v/>
      </c>
    </row>
    <row r="588" spans="1:14" x14ac:dyDescent="0.2">
      <c r="A588" s="35" t="s">
        <v>307</v>
      </c>
      <c r="B588" s="36" t="str">
        <f t="array" ref="B588">_xlfn.XLOOKUP($A588,TRIM(SUBSTITUTE('worker file'!$A$2:$A$406,_xlfn.UNICHAR(160)," ")),'worker file'!$L$2:$L$406,"Not found")</f>
        <v>US Biweekly</v>
      </c>
      <c r="C588" s="36" t="str">
        <f t="array" ref="C588">_xlfn.XLOOKUP($A588,TRIM(SUBSTITUTE('worker file'!$A$2:$A$406,_xlfn.UNICHAR(160)," ")),'worker file'!$D$2:$D$406,"Not found")</f>
        <v>TX</v>
      </c>
      <c r="D588" s="36" t="str">
        <f t="array" ref="D588">_xlfn.XLOOKUP($A588,TRIM(SUBSTITUTE('worker file'!$A$2:$A$406,_xlfn.UNICHAR(160)," ")),'worker file'!$Q$2:$Q$406,"Not found")</f>
        <v>Active</v>
      </c>
      <c r="E588" s="35" t="s">
        <v>634</v>
      </c>
      <c r="F588" t="str">
        <f t="shared" ref="F588:F651" si="69">_xlfn.XLOOKUP($E588,$A$5:$A$8,$B$5:$B$8,"")</f>
        <v>Vision – Employee</v>
      </c>
      <c r="G588" t="str">
        <f t="shared" ref="G588:G651" si="70">_xlfn.XLOOKUP($E588,$A$5:$A$8,$D$5:$D$8,"")</f>
        <v>Pre-tax Section 125 (exempt from FIT/SIT/FICA)</v>
      </c>
      <c r="H588" t="str">
        <f t="shared" ref="H588:H651" si="71">_xlfn.XLOOKUP($E588,$A$5:$A$8,$E$5:$E$8,"")</f>
        <v>Flat</v>
      </c>
      <c r="I588" s="40" t="str">
        <f>IF($H588="Percent",_xlfn.XLOOKUP($E588,$A$5:$A$8,$F$5:$F$8,""),"")</f>
        <v/>
      </c>
      <c r="J588" s="38">
        <f t="shared" ref="J588:J651" si="72">IF($H588="Flat",_xlfn.XLOOKUP($E588,$A$5:$A$8,$F$5:$F$8,""),"")</f>
        <v>30</v>
      </c>
      <c r="K588" t="str">
        <f t="shared" ref="K588:K651" si="73">_xlfn.XLOOKUP($E588,$A$5:$A$8,$G$5:$G$8,"")</f>
        <v>Per pay period</v>
      </c>
      <c r="L588" t="str">
        <f t="shared" ref="L588:L651" si="74">_xlfn.XLOOKUP($E588,$A$5:$A$8,$H$5:$H$8,"")</f>
        <v>Every pay period (ongoing)</v>
      </c>
      <c r="M588" s="39">
        <f t="array" ref="M588">MAX(_xlfn.XLOOKUP($A588,TRIM(SUBSTITUTE('worker file'!$A$2:$A$406,_xlfn.UNICHAR(160)," ")),'worker file'!$M$2:$M$406,0),_xlfn.XLOOKUP($B588,TRIM('pay group &amp; schedule'!$A$2:$A$6),'pay group &amp; schedule'!$D$2:$D$6,0))</f>
        <v>46299</v>
      </c>
      <c r="N588" s="39" t="str">
        <f t="array" ref="N588">_xlfn.LET(_xlpm.t,_xlfn.XLOOKUP($A588,TRIM(SUBSTITUTE('worker file'!$A$2:$A$406,_xlfn.UNICHAR(160)," ")),'worker file'!$N$2:$N$406,""),IF(N(_xlpm.t)=0,"",_xlpm.t))</f>
        <v/>
      </c>
    </row>
    <row r="589" spans="1:14" x14ac:dyDescent="0.2">
      <c r="A589" s="35" t="s">
        <v>308</v>
      </c>
      <c r="B589" s="36" t="str">
        <f t="array" ref="B589">_xlfn.XLOOKUP($A589,TRIM(SUBSTITUTE('worker file'!$A$2:$A$406,_xlfn.UNICHAR(160)," ")),'worker file'!$L$2:$L$406,"Not found")</f>
        <v>US Semi-monthly</v>
      </c>
      <c r="C589" s="36" t="str">
        <f t="array" ref="C589">_xlfn.XLOOKUP($A589,TRIM(SUBSTITUTE('worker file'!$A$2:$A$406,_xlfn.UNICHAR(160)," ")),'worker file'!$D$2:$D$406,"Not found")</f>
        <v>CA</v>
      </c>
      <c r="D589" s="36" t="str">
        <f t="array" ref="D589">_xlfn.XLOOKUP($A589,TRIM(SUBSTITUTE('worker file'!$A$2:$A$406,_xlfn.UNICHAR(160)," ")),'worker file'!$Q$2:$Q$406,"Not found")</f>
        <v>Active</v>
      </c>
      <c r="E589" s="35" t="s">
        <v>618</v>
      </c>
      <c r="F589" t="str">
        <f t="shared" si="69"/>
        <v>401(k) Employee Deferral</v>
      </c>
      <c r="G589" t="str">
        <f t="shared" si="70"/>
        <v>Pre-tax (exempt from FIT/SIT; subject to FICA)</v>
      </c>
      <c r="H589" t="str">
        <f t="shared" si="71"/>
        <v>Percent</v>
      </c>
      <c r="I589" s="37">
        <v>7.0000000000000007E-2</v>
      </c>
      <c r="J589" s="38" t="str">
        <f t="shared" si="72"/>
        <v/>
      </c>
      <c r="K589" t="str">
        <f t="shared" si="73"/>
        <v>Gross pay</v>
      </c>
      <c r="L589" t="str">
        <f t="shared" si="74"/>
        <v>Every pay period (ongoing)</v>
      </c>
      <c r="M589" s="39">
        <f t="array" ref="M589">MAX(_xlfn.XLOOKUP($A589,TRIM(SUBSTITUTE('worker file'!$A$2:$A$406,_xlfn.UNICHAR(160)," ")),'worker file'!$M$2:$M$406,0),_xlfn.XLOOKUP($B589,TRIM('pay group &amp; schedule'!$A$2:$A$6),'pay group &amp; schedule'!$D$2:$D$6,0))</f>
        <v>46311</v>
      </c>
      <c r="N589" s="39" t="str">
        <f t="array" ref="N589">_xlfn.LET(_xlpm.t,_xlfn.XLOOKUP($A589,TRIM(SUBSTITUTE('worker file'!$A$2:$A$406,_xlfn.UNICHAR(160)," ")),'worker file'!$N$2:$N$406,""),IF(N(_xlpm.t)=0,"",_xlpm.t))</f>
        <v/>
      </c>
    </row>
    <row r="590" spans="1:14" x14ac:dyDescent="0.2">
      <c r="A590" s="35" t="s">
        <v>308</v>
      </c>
      <c r="B590" s="36" t="str">
        <f t="array" ref="B590">_xlfn.XLOOKUP($A590,TRIM(SUBSTITUTE('worker file'!$A$2:$A$406,_xlfn.UNICHAR(160)," ")),'worker file'!$L$2:$L$406,"Not found")</f>
        <v>US Semi-monthly</v>
      </c>
      <c r="C590" s="36" t="str">
        <f t="array" ref="C590">_xlfn.XLOOKUP($A590,TRIM(SUBSTITUTE('worker file'!$A$2:$A$406,_xlfn.UNICHAR(160)," ")),'worker file'!$D$2:$D$406,"Not found")</f>
        <v>CA</v>
      </c>
      <c r="D590" s="36" t="str">
        <f t="array" ref="D590">_xlfn.XLOOKUP($A590,TRIM(SUBSTITUTE('worker file'!$A$2:$A$406,_xlfn.UNICHAR(160)," ")),'worker file'!$Q$2:$Q$406,"Not found")</f>
        <v>Active</v>
      </c>
      <c r="E590" s="35" t="s">
        <v>626</v>
      </c>
      <c r="F590" t="str">
        <f t="shared" si="69"/>
        <v>Medical (Health) – Employee</v>
      </c>
      <c r="G590" t="str">
        <f t="shared" si="70"/>
        <v>Pre-tax Section 125 (exempt from FIT/SIT/FICA)</v>
      </c>
      <c r="H590" t="str">
        <f t="shared" si="71"/>
        <v>Flat</v>
      </c>
      <c r="I590" s="40" t="str">
        <f>IF($H590="Percent",_xlfn.XLOOKUP($E590,$A$5:$A$8,$F$5:$F$8,""),"")</f>
        <v/>
      </c>
      <c r="J590" s="38">
        <f t="shared" si="72"/>
        <v>200</v>
      </c>
      <c r="K590" t="str">
        <f t="shared" si="73"/>
        <v>Per pay period</v>
      </c>
      <c r="L590" t="str">
        <f t="shared" si="74"/>
        <v>Every pay period (ongoing)</v>
      </c>
      <c r="M590" s="39">
        <f t="array" ref="M590">MAX(_xlfn.XLOOKUP($A590,TRIM(SUBSTITUTE('worker file'!$A$2:$A$406,_xlfn.UNICHAR(160)," ")),'worker file'!$M$2:$M$406,0),_xlfn.XLOOKUP($B590,TRIM('pay group &amp; schedule'!$A$2:$A$6),'pay group &amp; schedule'!$D$2:$D$6,0))</f>
        <v>46311</v>
      </c>
      <c r="N590" s="39" t="str">
        <f t="array" ref="N590">_xlfn.LET(_xlpm.t,_xlfn.XLOOKUP($A590,TRIM(SUBSTITUTE('worker file'!$A$2:$A$406,_xlfn.UNICHAR(160)," ")),'worker file'!$N$2:$N$406,""),IF(N(_xlpm.t)=0,"",_xlpm.t))</f>
        <v/>
      </c>
    </row>
    <row r="591" spans="1:14" x14ac:dyDescent="0.2">
      <c r="A591" s="35" t="s">
        <v>308</v>
      </c>
      <c r="B591" s="36" t="str">
        <f t="array" ref="B591">_xlfn.XLOOKUP($A591,TRIM(SUBSTITUTE('worker file'!$A$2:$A$406,_xlfn.UNICHAR(160)," ")),'worker file'!$L$2:$L$406,"Not found")</f>
        <v>US Semi-monthly</v>
      </c>
      <c r="C591" s="36" t="str">
        <f t="array" ref="C591">_xlfn.XLOOKUP($A591,TRIM(SUBSTITUTE('worker file'!$A$2:$A$406,_xlfn.UNICHAR(160)," ")),'worker file'!$D$2:$D$406,"Not found")</f>
        <v>CA</v>
      </c>
      <c r="D591" s="36" t="str">
        <f t="array" ref="D591">_xlfn.XLOOKUP($A591,TRIM(SUBSTITUTE('worker file'!$A$2:$A$406,_xlfn.UNICHAR(160)," ")),'worker file'!$Q$2:$Q$406,"Not found")</f>
        <v>Active</v>
      </c>
      <c r="E591" s="35" t="s">
        <v>632</v>
      </c>
      <c r="F591" t="str">
        <f t="shared" si="69"/>
        <v>Dental – Employee</v>
      </c>
      <c r="G591" t="str">
        <f t="shared" si="70"/>
        <v>Pre-tax Section 125 (exempt from FIT/SIT/FICA)</v>
      </c>
      <c r="H591" t="str">
        <f t="shared" si="71"/>
        <v>Flat</v>
      </c>
      <c r="I591" s="40" t="str">
        <f>IF($H591="Percent",_xlfn.XLOOKUP($E591,$A$5:$A$8,$F$5:$F$8,""),"")</f>
        <v/>
      </c>
      <c r="J591" s="38">
        <f t="shared" si="72"/>
        <v>44</v>
      </c>
      <c r="K591" t="str">
        <f t="shared" si="73"/>
        <v>Per pay period</v>
      </c>
      <c r="L591" t="str">
        <f t="shared" si="74"/>
        <v>Every pay period (ongoing)</v>
      </c>
      <c r="M591" s="39">
        <f t="array" ref="M591">MAX(_xlfn.XLOOKUP($A591,TRIM(SUBSTITUTE('worker file'!$A$2:$A$406,_xlfn.UNICHAR(160)," ")),'worker file'!$M$2:$M$406,0),_xlfn.XLOOKUP($B591,TRIM('pay group &amp; schedule'!$A$2:$A$6),'pay group &amp; schedule'!$D$2:$D$6,0))</f>
        <v>46311</v>
      </c>
      <c r="N591" s="39" t="str">
        <f t="array" ref="N591">_xlfn.LET(_xlpm.t,_xlfn.XLOOKUP($A591,TRIM(SUBSTITUTE('worker file'!$A$2:$A$406,_xlfn.UNICHAR(160)," ")),'worker file'!$N$2:$N$406,""),IF(N(_xlpm.t)=0,"",_xlpm.t))</f>
        <v/>
      </c>
    </row>
    <row r="592" spans="1:14" x14ac:dyDescent="0.2">
      <c r="A592" s="35" t="s">
        <v>308</v>
      </c>
      <c r="B592" s="36" t="str">
        <f t="array" ref="B592">_xlfn.XLOOKUP($A592,TRIM(SUBSTITUTE('worker file'!$A$2:$A$406,_xlfn.UNICHAR(160)," ")),'worker file'!$L$2:$L$406,"Not found")</f>
        <v>US Semi-monthly</v>
      </c>
      <c r="C592" s="36" t="str">
        <f t="array" ref="C592">_xlfn.XLOOKUP($A592,TRIM(SUBSTITUTE('worker file'!$A$2:$A$406,_xlfn.UNICHAR(160)," ")),'worker file'!$D$2:$D$406,"Not found")</f>
        <v>CA</v>
      </c>
      <c r="D592" s="36" t="str">
        <f t="array" ref="D592">_xlfn.XLOOKUP($A592,TRIM(SUBSTITUTE('worker file'!$A$2:$A$406,_xlfn.UNICHAR(160)," ")),'worker file'!$Q$2:$Q$406,"Not found")</f>
        <v>Active</v>
      </c>
      <c r="E592" s="35" t="s">
        <v>634</v>
      </c>
      <c r="F592" t="str">
        <f t="shared" si="69"/>
        <v>Vision – Employee</v>
      </c>
      <c r="G592" t="str">
        <f t="shared" si="70"/>
        <v>Pre-tax Section 125 (exempt from FIT/SIT/FICA)</v>
      </c>
      <c r="H592" t="str">
        <f t="shared" si="71"/>
        <v>Flat</v>
      </c>
      <c r="I592" s="40" t="str">
        <f>IF($H592="Percent",_xlfn.XLOOKUP($E592,$A$5:$A$8,$F$5:$F$8,""),"")</f>
        <v/>
      </c>
      <c r="J592" s="38">
        <f t="shared" si="72"/>
        <v>30</v>
      </c>
      <c r="K592" t="str">
        <f t="shared" si="73"/>
        <v>Per pay period</v>
      </c>
      <c r="L592" t="str">
        <f t="shared" si="74"/>
        <v>Every pay period (ongoing)</v>
      </c>
      <c r="M592" s="39">
        <f t="array" ref="M592">MAX(_xlfn.XLOOKUP($A592,TRIM(SUBSTITUTE('worker file'!$A$2:$A$406,_xlfn.UNICHAR(160)," ")),'worker file'!$M$2:$M$406,0),_xlfn.XLOOKUP($B592,TRIM('pay group &amp; schedule'!$A$2:$A$6),'pay group &amp; schedule'!$D$2:$D$6,0))</f>
        <v>46311</v>
      </c>
      <c r="N592" s="39" t="str">
        <f t="array" ref="N592">_xlfn.LET(_xlpm.t,_xlfn.XLOOKUP($A592,TRIM(SUBSTITUTE('worker file'!$A$2:$A$406,_xlfn.UNICHAR(160)," ")),'worker file'!$N$2:$N$406,""),IF(N(_xlpm.t)=0,"",_xlpm.t))</f>
        <v/>
      </c>
    </row>
    <row r="593" spans="1:14" x14ac:dyDescent="0.2">
      <c r="A593" s="35" t="s">
        <v>309</v>
      </c>
      <c r="B593" s="36" t="str">
        <f t="array" ref="B593">_xlfn.XLOOKUP($A593,TRIM(SUBSTITUTE('worker file'!$A$2:$A$406,_xlfn.UNICHAR(160)," ")),'worker file'!$L$2:$L$406,"Not found")</f>
        <v>US Semi-monthly</v>
      </c>
      <c r="C593" s="36" t="str">
        <f t="array" ref="C593">_xlfn.XLOOKUP($A593,TRIM(SUBSTITUTE('worker file'!$A$2:$A$406,_xlfn.UNICHAR(160)," ")),'worker file'!$D$2:$D$406,"Not found")</f>
        <v>CA</v>
      </c>
      <c r="D593" s="36" t="str">
        <f t="array" ref="D593">_xlfn.XLOOKUP($A593,TRIM(SUBSTITUTE('worker file'!$A$2:$A$406,_xlfn.UNICHAR(160)," ")),'worker file'!$Q$2:$Q$406,"Not found")</f>
        <v>Active</v>
      </c>
      <c r="E593" s="35" t="s">
        <v>618</v>
      </c>
      <c r="F593" t="str">
        <f t="shared" si="69"/>
        <v>401(k) Employee Deferral</v>
      </c>
      <c r="G593" t="str">
        <f t="shared" si="70"/>
        <v>Pre-tax (exempt from FIT/SIT; subject to FICA)</v>
      </c>
      <c r="H593" t="str">
        <f t="shared" si="71"/>
        <v>Percent</v>
      </c>
      <c r="I593" s="37">
        <v>0.04</v>
      </c>
      <c r="J593" s="38" t="str">
        <f t="shared" si="72"/>
        <v/>
      </c>
      <c r="K593" t="str">
        <f t="shared" si="73"/>
        <v>Gross pay</v>
      </c>
      <c r="L593" t="str">
        <f t="shared" si="74"/>
        <v>Every pay period (ongoing)</v>
      </c>
      <c r="M593" s="39">
        <f t="array" ref="M593">MAX(_xlfn.XLOOKUP($A593,TRIM(SUBSTITUTE('worker file'!$A$2:$A$406,_xlfn.UNICHAR(160)," ")),'worker file'!$M$2:$M$406,0),_xlfn.XLOOKUP($B593,TRIM('pay group &amp; schedule'!$A$2:$A$6),'pay group &amp; schedule'!$D$2:$D$6,0))</f>
        <v>46311</v>
      </c>
      <c r="N593" s="39" t="str">
        <f t="array" ref="N593">_xlfn.LET(_xlpm.t,_xlfn.XLOOKUP($A593,TRIM(SUBSTITUTE('worker file'!$A$2:$A$406,_xlfn.UNICHAR(160)," ")),'worker file'!$N$2:$N$406,""),IF(N(_xlpm.t)=0,"",_xlpm.t))</f>
        <v/>
      </c>
    </row>
    <row r="594" spans="1:14" x14ac:dyDescent="0.2">
      <c r="A594" s="35" t="s">
        <v>309</v>
      </c>
      <c r="B594" s="36" t="str">
        <f t="array" ref="B594">_xlfn.XLOOKUP($A594,TRIM(SUBSTITUTE('worker file'!$A$2:$A$406,_xlfn.UNICHAR(160)," ")),'worker file'!$L$2:$L$406,"Not found")</f>
        <v>US Semi-monthly</v>
      </c>
      <c r="C594" s="36" t="str">
        <f t="array" ref="C594">_xlfn.XLOOKUP($A594,TRIM(SUBSTITUTE('worker file'!$A$2:$A$406,_xlfn.UNICHAR(160)," ")),'worker file'!$D$2:$D$406,"Not found")</f>
        <v>CA</v>
      </c>
      <c r="D594" s="36" t="str">
        <f t="array" ref="D594">_xlfn.XLOOKUP($A594,TRIM(SUBSTITUTE('worker file'!$A$2:$A$406,_xlfn.UNICHAR(160)," ")),'worker file'!$Q$2:$Q$406,"Not found")</f>
        <v>Active</v>
      </c>
      <c r="E594" s="35" t="s">
        <v>626</v>
      </c>
      <c r="F594" t="str">
        <f t="shared" si="69"/>
        <v>Medical (Health) – Employee</v>
      </c>
      <c r="G594" t="str">
        <f t="shared" si="70"/>
        <v>Pre-tax Section 125 (exempt from FIT/SIT/FICA)</v>
      </c>
      <c r="H594" t="str">
        <f t="shared" si="71"/>
        <v>Flat</v>
      </c>
      <c r="I594" s="40" t="str">
        <f>IF($H594="Percent",_xlfn.XLOOKUP($E594,$A$5:$A$8,$F$5:$F$8,""),"")</f>
        <v/>
      </c>
      <c r="J594" s="38">
        <f t="shared" si="72"/>
        <v>200</v>
      </c>
      <c r="K594" t="str">
        <f t="shared" si="73"/>
        <v>Per pay period</v>
      </c>
      <c r="L594" t="str">
        <f t="shared" si="74"/>
        <v>Every pay period (ongoing)</v>
      </c>
      <c r="M594" s="39">
        <f t="array" ref="M594">MAX(_xlfn.XLOOKUP($A594,TRIM(SUBSTITUTE('worker file'!$A$2:$A$406,_xlfn.UNICHAR(160)," ")),'worker file'!$M$2:$M$406,0),_xlfn.XLOOKUP($B594,TRIM('pay group &amp; schedule'!$A$2:$A$6),'pay group &amp; schedule'!$D$2:$D$6,0))</f>
        <v>46311</v>
      </c>
      <c r="N594" s="39" t="str">
        <f t="array" ref="N594">_xlfn.LET(_xlpm.t,_xlfn.XLOOKUP($A594,TRIM(SUBSTITUTE('worker file'!$A$2:$A$406,_xlfn.UNICHAR(160)," ")),'worker file'!$N$2:$N$406,""),IF(N(_xlpm.t)=0,"",_xlpm.t))</f>
        <v/>
      </c>
    </row>
    <row r="595" spans="1:14" x14ac:dyDescent="0.2">
      <c r="A595" s="35" t="s">
        <v>309</v>
      </c>
      <c r="B595" s="36" t="str">
        <f t="array" ref="B595">_xlfn.XLOOKUP($A595,TRIM(SUBSTITUTE('worker file'!$A$2:$A$406,_xlfn.UNICHAR(160)," ")),'worker file'!$L$2:$L$406,"Not found")</f>
        <v>US Semi-monthly</v>
      </c>
      <c r="C595" s="36" t="str">
        <f t="array" ref="C595">_xlfn.XLOOKUP($A595,TRIM(SUBSTITUTE('worker file'!$A$2:$A$406,_xlfn.UNICHAR(160)," ")),'worker file'!$D$2:$D$406,"Not found")</f>
        <v>CA</v>
      </c>
      <c r="D595" s="36" t="str">
        <f t="array" ref="D595">_xlfn.XLOOKUP($A595,TRIM(SUBSTITUTE('worker file'!$A$2:$A$406,_xlfn.UNICHAR(160)," ")),'worker file'!$Q$2:$Q$406,"Not found")</f>
        <v>Active</v>
      </c>
      <c r="E595" s="35" t="s">
        <v>632</v>
      </c>
      <c r="F595" t="str">
        <f t="shared" si="69"/>
        <v>Dental – Employee</v>
      </c>
      <c r="G595" t="str">
        <f t="shared" si="70"/>
        <v>Pre-tax Section 125 (exempt from FIT/SIT/FICA)</v>
      </c>
      <c r="H595" t="str">
        <f t="shared" si="71"/>
        <v>Flat</v>
      </c>
      <c r="I595" s="40" t="str">
        <f>IF($H595="Percent",_xlfn.XLOOKUP($E595,$A$5:$A$8,$F$5:$F$8,""),"")</f>
        <v/>
      </c>
      <c r="J595" s="38">
        <f t="shared" si="72"/>
        <v>44</v>
      </c>
      <c r="K595" t="str">
        <f t="shared" si="73"/>
        <v>Per pay period</v>
      </c>
      <c r="L595" t="str">
        <f t="shared" si="74"/>
        <v>Every pay period (ongoing)</v>
      </c>
      <c r="M595" s="39">
        <f t="array" ref="M595">MAX(_xlfn.XLOOKUP($A595,TRIM(SUBSTITUTE('worker file'!$A$2:$A$406,_xlfn.UNICHAR(160)," ")),'worker file'!$M$2:$M$406,0),_xlfn.XLOOKUP($B595,TRIM('pay group &amp; schedule'!$A$2:$A$6),'pay group &amp; schedule'!$D$2:$D$6,0))</f>
        <v>46311</v>
      </c>
      <c r="N595" s="39" t="str">
        <f t="array" ref="N595">_xlfn.LET(_xlpm.t,_xlfn.XLOOKUP($A595,TRIM(SUBSTITUTE('worker file'!$A$2:$A$406,_xlfn.UNICHAR(160)," ")),'worker file'!$N$2:$N$406,""),IF(N(_xlpm.t)=0,"",_xlpm.t))</f>
        <v/>
      </c>
    </row>
    <row r="596" spans="1:14" x14ac:dyDescent="0.2">
      <c r="A596" s="35" t="s">
        <v>309</v>
      </c>
      <c r="B596" s="36" t="str">
        <f t="array" ref="B596">_xlfn.XLOOKUP($A596,TRIM(SUBSTITUTE('worker file'!$A$2:$A$406,_xlfn.UNICHAR(160)," ")),'worker file'!$L$2:$L$406,"Not found")</f>
        <v>US Semi-monthly</v>
      </c>
      <c r="C596" s="36" t="str">
        <f t="array" ref="C596">_xlfn.XLOOKUP($A596,TRIM(SUBSTITUTE('worker file'!$A$2:$A$406,_xlfn.UNICHAR(160)," ")),'worker file'!$D$2:$D$406,"Not found")</f>
        <v>CA</v>
      </c>
      <c r="D596" s="36" t="str">
        <f t="array" ref="D596">_xlfn.XLOOKUP($A596,TRIM(SUBSTITUTE('worker file'!$A$2:$A$406,_xlfn.UNICHAR(160)," ")),'worker file'!$Q$2:$Q$406,"Not found")</f>
        <v>Active</v>
      </c>
      <c r="E596" s="35" t="s">
        <v>634</v>
      </c>
      <c r="F596" t="str">
        <f t="shared" si="69"/>
        <v>Vision – Employee</v>
      </c>
      <c r="G596" t="str">
        <f t="shared" si="70"/>
        <v>Pre-tax Section 125 (exempt from FIT/SIT/FICA)</v>
      </c>
      <c r="H596" t="str">
        <f t="shared" si="71"/>
        <v>Flat</v>
      </c>
      <c r="I596" s="40" t="str">
        <f>IF($H596="Percent",_xlfn.XLOOKUP($E596,$A$5:$A$8,$F$5:$F$8,""),"")</f>
        <v/>
      </c>
      <c r="J596" s="38">
        <f t="shared" si="72"/>
        <v>30</v>
      </c>
      <c r="K596" t="str">
        <f t="shared" si="73"/>
        <v>Per pay period</v>
      </c>
      <c r="L596" t="str">
        <f t="shared" si="74"/>
        <v>Every pay period (ongoing)</v>
      </c>
      <c r="M596" s="39">
        <f t="array" ref="M596">MAX(_xlfn.XLOOKUP($A596,TRIM(SUBSTITUTE('worker file'!$A$2:$A$406,_xlfn.UNICHAR(160)," ")),'worker file'!$M$2:$M$406,0),_xlfn.XLOOKUP($B596,TRIM('pay group &amp; schedule'!$A$2:$A$6),'pay group &amp; schedule'!$D$2:$D$6,0))</f>
        <v>46311</v>
      </c>
      <c r="N596" s="39" t="str">
        <f t="array" ref="N596">_xlfn.LET(_xlpm.t,_xlfn.XLOOKUP($A596,TRIM(SUBSTITUTE('worker file'!$A$2:$A$406,_xlfn.UNICHAR(160)," ")),'worker file'!$N$2:$N$406,""),IF(N(_xlpm.t)=0,"",_xlpm.t))</f>
        <v/>
      </c>
    </row>
    <row r="597" spans="1:14" x14ac:dyDescent="0.2">
      <c r="A597" s="35" t="s">
        <v>310</v>
      </c>
      <c r="B597" s="36" t="str">
        <f t="array" ref="B597">_xlfn.XLOOKUP($A597,TRIM(SUBSTITUTE('worker file'!$A$2:$A$406,_xlfn.UNICHAR(160)," ")),'worker file'!$L$2:$L$406,"Not found")</f>
        <v>US Semi-monthly</v>
      </c>
      <c r="C597" s="36" t="str">
        <f t="array" ref="C597">_xlfn.XLOOKUP($A597,TRIM(SUBSTITUTE('worker file'!$A$2:$A$406,_xlfn.UNICHAR(160)," ")),'worker file'!$D$2:$D$406,"Not found")</f>
        <v>WA</v>
      </c>
      <c r="D597" s="36" t="str">
        <f t="array" ref="D597">_xlfn.XLOOKUP($A597,TRIM(SUBSTITUTE('worker file'!$A$2:$A$406,_xlfn.UNICHAR(160)," ")),'worker file'!$Q$2:$Q$406,"Not found")</f>
        <v>Active</v>
      </c>
      <c r="E597" s="35" t="s">
        <v>618</v>
      </c>
      <c r="F597" t="str">
        <f t="shared" si="69"/>
        <v>401(k) Employee Deferral</v>
      </c>
      <c r="G597" t="str">
        <f t="shared" si="70"/>
        <v>Pre-tax (exempt from FIT/SIT; subject to FICA)</v>
      </c>
      <c r="H597" t="str">
        <f t="shared" si="71"/>
        <v>Percent</v>
      </c>
      <c r="I597" s="37">
        <v>0.01</v>
      </c>
      <c r="J597" s="38" t="str">
        <f t="shared" si="72"/>
        <v/>
      </c>
      <c r="K597" t="str">
        <f t="shared" si="73"/>
        <v>Gross pay</v>
      </c>
      <c r="L597" t="str">
        <f t="shared" si="74"/>
        <v>Every pay period (ongoing)</v>
      </c>
      <c r="M597" s="39">
        <f t="array" ref="M597">MAX(_xlfn.XLOOKUP($A597,TRIM(SUBSTITUTE('worker file'!$A$2:$A$406,_xlfn.UNICHAR(160)," ")),'worker file'!$M$2:$M$406,0),_xlfn.XLOOKUP($B597,TRIM('pay group &amp; schedule'!$A$2:$A$6),'pay group &amp; schedule'!$D$2:$D$6,0))</f>
        <v>46311</v>
      </c>
      <c r="N597" s="39" t="str">
        <f t="array" ref="N597">_xlfn.LET(_xlpm.t,_xlfn.XLOOKUP($A597,TRIM(SUBSTITUTE('worker file'!$A$2:$A$406,_xlfn.UNICHAR(160)," ")),'worker file'!$N$2:$N$406,""),IF(N(_xlpm.t)=0,"",_xlpm.t))</f>
        <v/>
      </c>
    </row>
    <row r="598" spans="1:14" x14ac:dyDescent="0.2">
      <c r="A598" s="35" t="s">
        <v>310</v>
      </c>
      <c r="B598" s="36" t="str">
        <f t="array" ref="B598">_xlfn.XLOOKUP($A598,TRIM(SUBSTITUTE('worker file'!$A$2:$A$406,_xlfn.UNICHAR(160)," ")),'worker file'!$L$2:$L$406,"Not found")</f>
        <v>US Semi-monthly</v>
      </c>
      <c r="C598" s="36" t="str">
        <f t="array" ref="C598">_xlfn.XLOOKUP($A598,TRIM(SUBSTITUTE('worker file'!$A$2:$A$406,_xlfn.UNICHAR(160)," ")),'worker file'!$D$2:$D$406,"Not found")</f>
        <v>WA</v>
      </c>
      <c r="D598" s="36" t="str">
        <f t="array" ref="D598">_xlfn.XLOOKUP($A598,TRIM(SUBSTITUTE('worker file'!$A$2:$A$406,_xlfn.UNICHAR(160)," ")),'worker file'!$Q$2:$Q$406,"Not found")</f>
        <v>Active</v>
      </c>
      <c r="E598" s="35" t="s">
        <v>626</v>
      </c>
      <c r="F598" t="str">
        <f t="shared" si="69"/>
        <v>Medical (Health) – Employee</v>
      </c>
      <c r="G598" t="str">
        <f t="shared" si="70"/>
        <v>Pre-tax Section 125 (exempt from FIT/SIT/FICA)</v>
      </c>
      <c r="H598" t="str">
        <f t="shared" si="71"/>
        <v>Flat</v>
      </c>
      <c r="I598" s="40" t="str">
        <f t="shared" ref="I598:I603" si="75">IF($H598="Percent",_xlfn.XLOOKUP($E598,$A$5:$A$8,$F$5:$F$8,""),"")</f>
        <v/>
      </c>
      <c r="J598" s="38">
        <f t="shared" si="72"/>
        <v>200</v>
      </c>
      <c r="K598" t="str">
        <f t="shared" si="73"/>
        <v>Per pay period</v>
      </c>
      <c r="L598" t="str">
        <f t="shared" si="74"/>
        <v>Every pay period (ongoing)</v>
      </c>
      <c r="M598" s="39">
        <f t="array" ref="M598">MAX(_xlfn.XLOOKUP($A598,TRIM(SUBSTITUTE('worker file'!$A$2:$A$406,_xlfn.UNICHAR(160)," ")),'worker file'!$M$2:$M$406,0),_xlfn.XLOOKUP($B598,TRIM('pay group &amp; schedule'!$A$2:$A$6),'pay group &amp; schedule'!$D$2:$D$6,0))</f>
        <v>46311</v>
      </c>
      <c r="N598" s="39" t="str">
        <f t="array" ref="N598">_xlfn.LET(_xlpm.t,_xlfn.XLOOKUP($A598,TRIM(SUBSTITUTE('worker file'!$A$2:$A$406,_xlfn.UNICHAR(160)," ")),'worker file'!$N$2:$N$406,""),IF(N(_xlpm.t)=0,"",_xlpm.t))</f>
        <v/>
      </c>
    </row>
    <row r="599" spans="1:14" x14ac:dyDescent="0.2">
      <c r="A599" s="35" t="s">
        <v>310</v>
      </c>
      <c r="B599" s="36" t="str">
        <f t="array" ref="B599">_xlfn.XLOOKUP($A599,TRIM(SUBSTITUTE('worker file'!$A$2:$A$406,_xlfn.UNICHAR(160)," ")),'worker file'!$L$2:$L$406,"Not found")</f>
        <v>US Semi-monthly</v>
      </c>
      <c r="C599" s="36" t="str">
        <f t="array" ref="C599">_xlfn.XLOOKUP($A599,TRIM(SUBSTITUTE('worker file'!$A$2:$A$406,_xlfn.UNICHAR(160)," ")),'worker file'!$D$2:$D$406,"Not found")</f>
        <v>WA</v>
      </c>
      <c r="D599" s="36" t="str">
        <f t="array" ref="D599">_xlfn.XLOOKUP($A599,TRIM(SUBSTITUTE('worker file'!$A$2:$A$406,_xlfn.UNICHAR(160)," ")),'worker file'!$Q$2:$Q$406,"Not found")</f>
        <v>Active</v>
      </c>
      <c r="E599" s="35" t="s">
        <v>632</v>
      </c>
      <c r="F599" t="str">
        <f t="shared" si="69"/>
        <v>Dental – Employee</v>
      </c>
      <c r="G599" t="str">
        <f t="shared" si="70"/>
        <v>Pre-tax Section 125 (exempt from FIT/SIT/FICA)</v>
      </c>
      <c r="H599" t="str">
        <f t="shared" si="71"/>
        <v>Flat</v>
      </c>
      <c r="I599" s="40" t="str">
        <f t="shared" si="75"/>
        <v/>
      </c>
      <c r="J599" s="38">
        <f t="shared" si="72"/>
        <v>44</v>
      </c>
      <c r="K599" t="str">
        <f t="shared" si="73"/>
        <v>Per pay period</v>
      </c>
      <c r="L599" t="str">
        <f t="shared" si="74"/>
        <v>Every pay period (ongoing)</v>
      </c>
      <c r="M599" s="39">
        <f t="array" ref="M599">MAX(_xlfn.XLOOKUP($A599,TRIM(SUBSTITUTE('worker file'!$A$2:$A$406,_xlfn.UNICHAR(160)," ")),'worker file'!$M$2:$M$406,0),_xlfn.XLOOKUP($B599,TRIM('pay group &amp; schedule'!$A$2:$A$6),'pay group &amp; schedule'!$D$2:$D$6,0))</f>
        <v>46311</v>
      </c>
      <c r="N599" s="39" t="str">
        <f t="array" ref="N599">_xlfn.LET(_xlpm.t,_xlfn.XLOOKUP($A599,TRIM(SUBSTITUTE('worker file'!$A$2:$A$406,_xlfn.UNICHAR(160)," ")),'worker file'!$N$2:$N$406,""),IF(N(_xlpm.t)=0,"",_xlpm.t))</f>
        <v/>
      </c>
    </row>
    <row r="600" spans="1:14" x14ac:dyDescent="0.2">
      <c r="A600" s="35" t="s">
        <v>310</v>
      </c>
      <c r="B600" s="36" t="str">
        <f t="array" ref="B600">_xlfn.XLOOKUP($A600,TRIM(SUBSTITUTE('worker file'!$A$2:$A$406,_xlfn.UNICHAR(160)," ")),'worker file'!$L$2:$L$406,"Not found")</f>
        <v>US Semi-monthly</v>
      </c>
      <c r="C600" s="36" t="str">
        <f t="array" ref="C600">_xlfn.XLOOKUP($A600,TRIM(SUBSTITUTE('worker file'!$A$2:$A$406,_xlfn.UNICHAR(160)," ")),'worker file'!$D$2:$D$406,"Not found")</f>
        <v>WA</v>
      </c>
      <c r="D600" s="36" t="str">
        <f t="array" ref="D600">_xlfn.XLOOKUP($A600,TRIM(SUBSTITUTE('worker file'!$A$2:$A$406,_xlfn.UNICHAR(160)," ")),'worker file'!$Q$2:$Q$406,"Not found")</f>
        <v>Active</v>
      </c>
      <c r="E600" s="35" t="s">
        <v>634</v>
      </c>
      <c r="F600" t="str">
        <f t="shared" si="69"/>
        <v>Vision – Employee</v>
      </c>
      <c r="G600" t="str">
        <f t="shared" si="70"/>
        <v>Pre-tax Section 125 (exempt from FIT/SIT/FICA)</v>
      </c>
      <c r="H600" t="str">
        <f t="shared" si="71"/>
        <v>Flat</v>
      </c>
      <c r="I600" s="40" t="str">
        <f t="shared" si="75"/>
        <v/>
      </c>
      <c r="J600" s="38">
        <f t="shared" si="72"/>
        <v>30</v>
      </c>
      <c r="K600" t="str">
        <f t="shared" si="73"/>
        <v>Per pay period</v>
      </c>
      <c r="L600" t="str">
        <f t="shared" si="74"/>
        <v>Every pay period (ongoing)</v>
      </c>
      <c r="M600" s="39">
        <f t="array" ref="M600">MAX(_xlfn.XLOOKUP($A600,TRIM(SUBSTITUTE('worker file'!$A$2:$A$406,_xlfn.UNICHAR(160)," ")),'worker file'!$M$2:$M$406,0),_xlfn.XLOOKUP($B600,TRIM('pay group &amp; schedule'!$A$2:$A$6),'pay group &amp; schedule'!$D$2:$D$6,0))</f>
        <v>46311</v>
      </c>
      <c r="N600" s="39" t="str">
        <f t="array" ref="N600">_xlfn.LET(_xlpm.t,_xlfn.XLOOKUP($A600,TRIM(SUBSTITUTE('worker file'!$A$2:$A$406,_xlfn.UNICHAR(160)," ")),'worker file'!$N$2:$N$406,""),IF(N(_xlpm.t)=0,"",_xlpm.t))</f>
        <v/>
      </c>
    </row>
    <row r="601" spans="1:14" x14ac:dyDescent="0.2">
      <c r="A601" s="35" t="s">
        <v>311</v>
      </c>
      <c r="B601" s="36" t="str">
        <f t="array" ref="B601">_xlfn.XLOOKUP($A601,TRIM(SUBSTITUTE('worker file'!$A$2:$A$406,_xlfn.UNICHAR(160)," ")),'worker file'!$L$2:$L$406,"Not found")</f>
        <v>US Semi-monthly</v>
      </c>
      <c r="C601" s="36" t="str">
        <f t="array" ref="C601">_xlfn.XLOOKUP($A601,TRIM(SUBSTITUTE('worker file'!$A$2:$A$406,_xlfn.UNICHAR(160)," ")),'worker file'!$D$2:$D$406,"Not found")</f>
        <v>CA</v>
      </c>
      <c r="D601" s="36" t="str">
        <f t="array" ref="D601">_xlfn.XLOOKUP($A601,TRIM(SUBSTITUTE('worker file'!$A$2:$A$406,_xlfn.UNICHAR(160)," ")),'worker file'!$Q$2:$Q$406,"Not found")</f>
        <v>Active</v>
      </c>
      <c r="E601" s="35" t="s">
        <v>626</v>
      </c>
      <c r="F601" t="str">
        <f t="shared" si="69"/>
        <v>Medical (Health) – Employee</v>
      </c>
      <c r="G601" t="str">
        <f t="shared" si="70"/>
        <v>Pre-tax Section 125 (exempt from FIT/SIT/FICA)</v>
      </c>
      <c r="H601" t="str">
        <f t="shared" si="71"/>
        <v>Flat</v>
      </c>
      <c r="I601" s="40" t="str">
        <f t="shared" si="75"/>
        <v/>
      </c>
      <c r="J601" s="38">
        <f t="shared" si="72"/>
        <v>200</v>
      </c>
      <c r="K601" t="str">
        <f t="shared" si="73"/>
        <v>Per pay period</v>
      </c>
      <c r="L601" t="str">
        <f t="shared" si="74"/>
        <v>Every pay period (ongoing)</v>
      </c>
      <c r="M601" s="39">
        <f t="array" ref="M601">MAX(_xlfn.XLOOKUP($A601,TRIM(SUBSTITUTE('worker file'!$A$2:$A$406,_xlfn.UNICHAR(160)," ")),'worker file'!$M$2:$M$406,0),_xlfn.XLOOKUP($B601,TRIM('pay group &amp; schedule'!$A$2:$A$6),'pay group &amp; schedule'!$D$2:$D$6,0))</f>
        <v>46311</v>
      </c>
      <c r="N601" s="39" t="str">
        <f t="array" ref="N601">_xlfn.LET(_xlpm.t,_xlfn.XLOOKUP($A601,TRIM(SUBSTITUTE('worker file'!$A$2:$A$406,_xlfn.UNICHAR(160)," ")),'worker file'!$N$2:$N$406,""),IF(N(_xlpm.t)=0,"",_xlpm.t))</f>
        <v/>
      </c>
    </row>
    <row r="602" spans="1:14" x14ac:dyDescent="0.2">
      <c r="A602" s="35" t="s">
        <v>311</v>
      </c>
      <c r="B602" s="36" t="str">
        <f t="array" ref="B602">_xlfn.XLOOKUP($A602,TRIM(SUBSTITUTE('worker file'!$A$2:$A$406,_xlfn.UNICHAR(160)," ")),'worker file'!$L$2:$L$406,"Not found")</f>
        <v>US Semi-monthly</v>
      </c>
      <c r="C602" s="36" t="str">
        <f t="array" ref="C602">_xlfn.XLOOKUP($A602,TRIM(SUBSTITUTE('worker file'!$A$2:$A$406,_xlfn.UNICHAR(160)," ")),'worker file'!$D$2:$D$406,"Not found")</f>
        <v>CA</v>
      </c>
      <c r="D602" s="36" t="str">
        <f t="array" ref="D602">_xlfn.XLOOKUP($A602,TRIM(SUBSTITUTE('worker file'!$A$2:$A$406,_xlfn.UNICHAR(160)," ")),'worker file'!$Q$2:$Q$406,"Not found")</f>
        <v>Active</v>
      </c>
      <c r="E602" s="35" t="s">
        <v>632</v>
      </c>
      <c r="F602" t="str">
        <f t="shared" si="69"/>
        <v>Dental – Employee</v>
      </c>
      <c r="G602" t="str">
        <f t="shared" si="70"/>
        <v>Pre-tax Section 125 (exempt from FIT/SIT/FICA)</v>
      </c>
      <c r="H602" t="str">
        <f t="shared" si="71"/>
        <v>Flat</v>
      </c>
      <c r="I602" s="40" t="str">
        <f t="shared" si="75"/>
        <v/>
      </c>
      <c r="J602" s="38">
        <f t="shared" si="72"/>
        <v>44</v>
      </c>
      <c r="K602" t="str">
        <f t="shared" si="73"/>
        <v>Per pay period</v>
      </c>
      <c r="L602" t="str">
        <f t="shared" si="74"/>
        <v>Every pay period (ongoing)</v>
      </c>
      <c r="M602" s="39">
        <f t="array" ref="M602">MAX(_xlfn.XLOOKUP($A602,TRIM(SUBSTITUTE('worker file'!$A$2:$A$406,_xlfn.UNICHAR(160)," ")),'worker file'!$M$2:$M$406,0),_xlfn.XLOOKUP($B602,TRIM('pay group &amp; schedule'!$A$2:$A$6),'pay group &amp; schedule'!$D$2:$D$6,0))</f>
        <v>46311</v>
      </c>
      <c r="N602" s="39" t="str">
        <f t="array" ref="N602">_xlfn.LET(_xlpm.t,_xlfn.XLOOKUP($A602,TRIM(SUBSTITUTE('worker file'!$A$2:$A$406,_xlfn.UNICHAR(160)," ")),'worker file'!$N$2:$N$406,""),IF(N(_xlpm.t)=0,"",_xlpm.t))</f>
        <v/>
      </c>
    </row>
    <row r="603" spans="1:14" x14ac:dyDescent="0.2">
      <c r="A603" s="35" t="s">
        <v>311</v>
      </c>
      <c r="B603" s="36" t="str">
        <f t="array" ref="B603">_xlfn.XLOOKUP($A603,TRIM(SUBSTITUTE('worker file'!$A$2:$A$406,_xlfn.UNICHAR(160)," ")),'worker file'!$L$2:$L$406,"Not found")</f>
        <v>US Semi-monthly</v>
      </c>
      <c r="C603" s="36" t="str">
        <f t="array" ref="C603">_xlfn.XLOOKUP($A603,TRIM(SUBSTITUTE('worker file'!$A$2:$A$406,_xlfn.UNICHAR(160)," ")),'worker file'!$D$2:$D$406,"Not found")</f>
        <v>CA</v>
      </c>
      <c r="D603" s="36" t="str">
        <f t="array" ref="D603">_xlfn.XLOOKUP($A603,TRIM(SUBSTITUTE('worker file'!$A$2:$A$406,_xlfn.UNICHAR(160)," ")),'worker file'!$Q$2:$Q$406,"Not found")</f>
        <v>Active</v>
      </c>
      <c r="E603" s="35" t="s">
        <v>634</v>
      </c>
      <c r="F603" t="str">
        <f t="shared" si="69"/>
        <v>Vision – Employee</v>
      </c>
      <c r="G603" t="str">
        <f t="shared" si="70"/>
        <v>Pre-tax Section 125 (exempt from FIT/SIT/FICA)</v>
      </c>
      <c r="H603" t="str">
        <f t="shared" si="71"/>
        <v>Flat</v>
      </c>
      <c r="I603" s="40" t="str">
        <f t="shared" si="75"/>
        <v/>
      </c>
      <c r="J603" s="38">
        <f t="shared" si="72"/>
        <v>30</v>
      </c>
      <c r="K603" t="str">
        <f t="shared" si="73"/>
        <v>Per pay period</v>
      </c>
      <c r="L603" t="str">
        <f t="shared" si="74"/>
        <v>Every pay period (ongoing)</v>
      </c>
      <c r="M603" s="39">
        <f t="array" ref="M603">MAX(_xlfn.XLOOKUP($A603,TRIM(SUBSTITUTE('worker file'!$A$2:$A$406,_xlfn.UNICHAR(160)," ")),'worker file'!$M$2:$M$406,0),_xlfn.XLOOKUP($B603,TRIM('pay group &amp; schedule'!$A$2:$A$6),'pay group &amp; schedule'!$D$2:$D$6,0))</f>
        <v>46311</v>
      </c>
      <c r="N603" s="39" t="str">
        <f t="array" ref="N603">_xlfn.LET(_xlpm.t,_xlfn.XLOOKUP($A603,TRIM(SUBSTITUTE('worker file'!$A$2:$A$406,_xlfn.UNICHAR(160)," ")),'worker file'!$N$2:$N$406,""),IF(N(_xlpm.t)=0,"",_xlpm.t))</f>
        <v/>
      </c>
    </row>
    <row r="604" spans="1:14" x14ac:dyDescent="0.2">
      <c r="A604" s="35" t="s">
        <v>312</v>
      </c>
      <c r="B604" s="36" t="str">
        <f t="array" ref="B604">_xlfn.XLOOKUP($A604,TRIM(SUBSTITUTE('worker file'!$A$2:$A$406,_xlfn.UNICHAR(160)," ")),'worker file'!$L$2:$L$406,"Not found")</f>
        <v>US Semi-monthly</v>
      </c>
      <c r="C604" s="36" t="str">
        <f t="array" ref="C604">_xlfn.XLOOKUP($A604,TRIM(SUBSTITUTE('worker file'!$A$2:$A$406,_xlfn.UNICHAR(160)," ")),'worker file'!$D$2:$D$406,"Not found")</f>
        <v>CA</v>
      </c>
      <c r="D604" s="36" t="str">
        <f t="array" ref="D604">_xlfn.XLOOKUP($A604,TRIM(SUBSTITUTE('worker file'!$A$2:$A$406,_xlfn.UNICHAR(160)," ")),'worker file'!$Q$2:$Q$406,"Not found")</f>
        <v>Active</v>
      </c>
      <c r="E604" s="35" t="s">
        <v>618</v>
      </c>
      <c r="F604" t="str">
        <f t="shared" si="69"/>
        <v>401(k) Employee Deferral</v>
      </c>
      <c r="G604" t="str">
        <f t="shared" si="70"/>
        <v>Pre-tax (exempt from FIT/SIT; subject to FICA)</v>
      </c>
      <c r="H604" t="str">
        <f t="shared" si="71"/>
        <v>Percent</v>
      </c>
      <c r="I604" s="37">
        <v>0.03</v>
      </c>
      <c r="J604" s="38" t="str">
        <f t="shared" si="72"/>
        <v/>
      </c>
      <c r="K604" t="str">
        <f t="shared" si="73"/>
        <v>Gross pay</v>
      </c>
      <c r="L604" t="str">
        <f t="shared" si="74"/>
        <v>Every pay period (ongoing)</v>
      </c>
      <c r="M604" s="39">
        <f t="array" ref="M604">MAX(_xlfn.XLOOKUP($A604,TRIM(SUBSTITUTE('worker file'!$A$2:$A$406,_xlfn.UNICHAR(160)," ")),'worker file'!$M$2:$M$406,0),_xlfn.XLOOKUP($B604,TRIM('pay group &amp; schedule'!$A$2:$A$6),'pay group &amp; schedule'!$D$2:$D$6,0))</f>
        <v>46311</v>
      </c>
      <c r="N604" s="39" t="str">
        <f t="array" ref="N604">_xlfn.LET(_xlpm.t,_xlfn.XLOOKUP($A604,TRIM(SUBSTITUTE('worker file'!$A$2:$A$406,_xlfn.UNICHAR(160)," ")),'worker file'!$N$2:$N$406,""),IF(N(_xlpm.t)=0,"",_xlpm.t))</f>
        <v/>
      </c>
    </row>
    <row r="605" spans="1:14" x14ac:dyDescent="0.2">
      <c r="A605" s="35" t="s">
        <v>312</v>
      </c>
      <c r="B605" s="36" t="str">
        <f t="array" ref="B605">_xlfn.XLOOKUP($A605,TRIM(SUBSTITUTE('worker file'!$A$2:$A$406,_xlfn.UNICHAR(160)," ")),'worker file'!$L$2:$L$406,"Not found")</f>
        <v>US Semi-monthly</v>
      </c>
      <c r="C605" s="36" t="str">
        <f t="array" ref="C605">_xlfn.XLOOKUP($A605,TRIM(SUBSTITUTE('worker file'!$A$2:$A$406,_xlfn.UNICHAR(160)," ")),'worker file'!$D$2:$D$406,"Not found")</f>
        <v>CA</v>
      </c>
      <c r="D605" s="36" t="str">
        <f t="array" ref="D605">_xlfn.XLOOKUP($A605,TRIM(SUBSTITUTE('worker file'!$A$2:$A$406,_xlfn.UNICHAR(160)," ")),'worker file'!$Q$2:$Q$406,"Not found")</f>
        <v>Active</v>
      </c>
      <c r="E605" s="35" t="s">
        <v>626</v>
      </c>
      <c r="F605" t="str">
        <f t="shared" si="69"/>
        <v>Medical (Health) – Employee</v>
      </c>
      <c r="G605" t="str">
        <f t="shared" si="70"/>
        <v>Pre-tax Section 125 (exempt from FIT/SIT/FICA)</v>
      </c>
      <c r="H605" t="str">
        <f t="shared" si="71"/>
        <v>Flat</v>
      </c>
      <c r="I605" s="40" t="str">
        <f>IF($H605="Percent",_xlfn.XLOOKUP($E605,$A$5:$A$8,$F$5:$F$8,""),"")</f>
        <v/>
      </c>
      <c r="J605" s="38">
        <f t="shared" si="72"/>
        <v>200</v>
      </c>
      <c r="K605" t="str">
        <f t="shared" si="73"/>
        <v>Per pay period</v>
      </c>
      <c r="L605" t="str">
        <f t="shared" si="74"/>
        <v>Every pay period (ongoing)</v>
      </c>
      <c r="M605" s="39">
        <f t="array" ref="M605">MAX(_xlfn.XLOOKUP($A605,TRIM(SUBSTITUTE('worker file'!$A$2:$A$406,_xlfn.UNICHAR(160)," ")),'worker file'!$M$2:$M$406,0),_xlfn.XLOOKUP($B605,TRIM('pay group &amp; schedule'!$A$2:$A$6),'pay group &amp; schedule'!$D$2:$D$6,0))</f>
        <v>46311</v>
      </c>
      <c r="N605" s="39" t="str">
        <f t="array" ref="N605">_xlfn.LET(_xlpm.t,_xlfn.XLOOKUP($A605,TRIM(SUBSTITUTE('worker file'!$A$2:$A$406,_xlfn.UNICHAR(160)," ")),'worker file'!$N$2:$N$406,""),IF(N(_xlpm.t)=0,"",_xlpm.t))</f>
        <v/>
      </c>
    </row>
    <row r="606" spans="1:14" x14ac:dyDescent="0.2">
      <c r="A606" s="35" t="s">
        <v>312</v>
      </c>
      <c r="B606" s="36" t="str">
        <f t="array" ref="B606">_xlfn.XLOOKUP($A606,TRIM(SUBSTITUTE('worker file'!$A$2:$A$406,_xlfn.UNICHAR(160)," ")),'worker file'!$L$2:$L$406,"Not found")</f>
        <v>US Semi-monthly</v>
      </c>
      <c r="C606" s="36" t="str">
        <f t="array" ref="C606">_xlfn.XLOOKUP($A606,TRIM(SUBSTITUTE('worker file'!$A$2:$A$406,_xlfn.UNICHAR(160)," ")),'worker file'!$D$2:$D$406,"Not found")</f>
        <v>CA</v>
      </c>
      <c r="D606" s="36" t="str">
        <f t="array" ref="D606">_xlfn.XLOOKUP($A606,TRIM(SUBSTITUTE('worker file'!$A$2:$A$406,_xlfn.UNICHAR(160)," ")),'worker file'!$Q$2:$Q$406,"Not found")</f>
        <v>Active</v>
      </c>
      <c r="E606" s="35" t="s">
        <v>632</v>
      </c>
      <c r="F606" t="str">
        <f t="shared" si="69"/>
        <v>Dental – Employee</v>
      </c>
      <c r="G606" t="str">
        <f t="shared" si="70"/>
        <v>Pre-tax Section 125 (exempt from FIT/SIT/FICA)</v>
      </c>
      <c r="H606" t="str">
        <f t="shared" si="71"/>
        <v>Flat</v>
      </c>
      <c r="I606" s="40" t="str">
        <f>IF($H606="Percent",_xlfn.XLOOKUP($E606,$A$5:$A$8,$F$5:$F$8,""),"")</f>
        <v/>
      </c>
      <c r="J606" s="38">
        <f t="shared" si="72"/>
        <v>44</v>
      </c>
      <c r="K606" t="str">
        <f t="shared" si="73"/>
        <v>Per pay period</v>
      </c>
      <c r="L606" t="str">
        <f t="shared" si="74"/>
        <v>Every pay period (ongoing)</v>
      </c>
      <c r="M606" s="39">
        <f t="array" ref="M606">MAX(_xlfn.XLOOKUP($A606,TRIM(SUBSTITUTE('worker file'!$A$2:$A$406,_xlfn.UNICHAR(160)," ")),'worker file'!$M$2:$M$406,0),_xlfn.XLOOKUP($B606,TRIM('pay group &amp; schedule'!$A$2:$A$6),'pay group &amp; schedule'!$D$2:$D$6,0))</f>
        <v>46311</v>
      </c>
      <c r="N606" s="39" t="str">
        <f t="array" ref="N606">_xlfn.LET(_xlpm.t,_xlfn.XLOOKUP($A606,TRIM(SUBSTITUTE('worker file'!$A$2:$A$406,_xlfn.UNICHAR(160)," ")),'worker file'!$N$2:$N$406,""),IF(N(_xlpm.t)=0,"",_xlpm.t))</f>
        <v/>
      </c>
    </row>
    <row r="607" spans="1:14" x14ac:dyDescent="0.2">
      <c r="A607" s="35" t="s">
        <v>312</v>
      </c>
      <c r="B607" s="36" t="str">
        <f t="array" ref="B607">_xlfn.XLOOKUP($A607,TRIM(SUBSTITUTE('worker file'!$A$2:$A$406,_xlfn.UNICHAR(160)," ")),'worker file'!$L$2:$L$406,"Not found")</f>
        <v>US Semi-monthly</v>
      </c>
      <c r="C607" s="36" t="str">
        <f t="array" ref="C607">_xlfn.XLOOKUP($A607,TRIM(SUBSTITUTE('worker file'!$A$2:$A$406,_xlfn.UNICHAR(160)," ")),'worker file'!$D$2:$D$406,"Not found")</f>
        <v>CA</v>
      </c>
      <c r="D607" s="36" t="str">
        <f t="array" ref="D607">_xlfn.XLOOKUP($A607,TRIM(SUBSTITUTE('worker file'!$A$2:$A$406,_xlfn.UNICHAR(160)," ")),'worker file'!$Q$2:$Q$406,"Not found")</f>
        <v>Active</v>
      </c>
      <c r="E607" s="35" t="s">
        <v>634</v>
      </c>
      <c r="F607" t="str">
        <f t="shared" si="69"/>
        <v>Vision – Employee</v>
      </c>
      <c r="G607" t="str">
        <f t="shared" si="70"/>
        <v>Pre-tax Section 125 (exempt from FIT/SIT/FICA)</v>
      </c>
      <c r="H607" t="str">
        <f t="shared" si="71"/>
        <v>Flat</v>
      </c>
      <c r="I607" s="40" t="str">
        <f>IF($H607="Percent",_xlfn.XLOOKUP($E607,$A$5:$A$8,$F$5:$F$8,""),"")</f>
        <v/>
      </c>
      <c r="J607" s="38">
        <f t="shared" si="72"/>
        <v>30</v>
      </c>
      <c r="K607" t="str">
        <f t="shared" si="73"/>
        <v>Per pay period</v>
      </c>
      <c r="L607" t="str">
        <f t="shared" si="74"/>
        <v>Every pay period (ongoing)</v>
      </c>
      <c r="M607" s="39">
        <f t="array" ref="M607">MAX(_xlfn.XLOOKUP($A607,TRIM(SUBSTITUTE('worker file'!$A$2:$A$406,_xlfn.UNICHAR(160)," ")),'worker file'!$M$2:$M$406,0),_xlfn.XLOOKUP($B607,TRIM('pay group &amp; schedule'!$A$2:$A$6),'pay group &amp; schedule'!$D$2:$D$6,0))</f>
        <v>46311</v>
      </c>
      <c r="N607" s="39" t="str">
        <f t="array" ref="N607">_xlfn.LET(_xlpm.t,_xlfn.XLOOKUP($A607,TRIM(SUBSTITUTE('worker file'!$A$2:$A$406,_xlfn.UNICHAR(160)," ")),'worker file'!$N$2:$N$406,""),IF(N(_xlpm.t)=0,"",_xlpm.t))</f>
        <v/>
      </c>
    </row>
    <row r="608" spans="1:14" x14ac:dyDescent="0.2">
      <c r="A608" s="35" t="s">
        <v>313</v>
      </c>
      <c r="B608" s="36" t="str">
        <f t="array" ref="B608">_xlfn.XLOOKUP($A608,TRIM(SUBSTITUTE('worker file'!$A$2:$A$406,_xlfn.UNICHAR(160)," ")),'worker file'!$L$2:$L$406,"Not found")</f>
        <v>US Semi-monthly</v>
      </c>
      <c r="C608" s="36" t="str">
        <f t="array" ref="C608">_xlfn.XLOOKUP($A608,TRIM(SUBSTITUTE('worker file'!$A$2:$A$406,_xlfn.UNICHAR(160)," ")),'worker file'!$D$2:$D$406,"Not found")</f>
        <v>CA</v>
      </c>
      <c r="D608" s="36" t="str">
        <f t="array" ref="D608">_xlfn.XLOOKUP($A608,TRIM(SUBSTITUTE('worker file'!$A$2:$A$406,_xlfn.UNICHAR(160)," ")),'worker file'!$Q$2:$Q$406,"Not found")</f>
        <v>Active</v>
      </c>
      <c r="E608" s="35" t="s">
        <v>618</v>
      </c>
      <c r="F608" t="str">
        <f t="shared" si="69"/>
        <v>401(k) Employee Deferral</v>
      </c>
      <c r="G608" t="str">
        <f t="shared" si="70"/>
        <v>Pre-tax (exempt from FIT/SIT; subject to FICA)</v>
      </c>
      <c r="H608" t="str">
        <f t="shared" si="71"/>
        <v>Percent</v>
      </c>
      <c r="I608" s="37">
        <v>0</v>
      </c>
      <c r="J608" s="38" t="str">
        <f t="shared" si="72"/>
        <v/>
      </c>
      <c r="K608" t="str">
        <f t="shared" si="73"/>
        <v>Gross pay</v>
      </c>
      <c r="L608" t="str">
        <f t="shared" si="74"/>
        <v>Every pay period (ongoing)</v>
      </c>
      <c r="M608" s="39">
        <f t="array" ref="M608">MAX(_xlfn.XLOOKUP($A608,TRIM(SUBSTITUTE('worker file'!$A$2:$A$406,_xlfn.UNICHAR(160)," ")),'worker file'!$M$2:$M$406,0),_xlfn.XLOOKUP($B608,TRIM('pay group &amp; schedule'!$A$2:$A$6),'pay group &amp; schedule'!$D$2:$D$6,0))</f>
        <v>46311</v>
      </c>
      <c r="N608" s="39" t="str">
        <f t="array" ref="N608">_xlfn.LET(_xlpm.t,_xlfn.XLOOKUP($A608,TRIM(SUBSTITUTE('worker file'!$A$2:$A$406,_xlfn.UNICHAR(160)," ")),'worker file'!$N$2:$N$406,""),IF(N(_xlpm.t)=0,"",_xlpm.t))</f>
        <v/>
      </c>
    </row>
    <row r="609" spans="1:14" x14ac:dyDescent="0.2">
      <c r="A609" s="35" t="s">
        <v>313</v>
      </c>
      <c r="B609" s="36" t="str">
        <f t="array" ref="B609">_xlfn.XLOOKUP($A609,TRIM(SUBSTITUTE('worker file'!$A$2:$A$406,_xlfn.UNICHAR(160)," ")),'worker file'!$L$2:$L$406,"Not found")</f>
        <v>US Semi-monthly</v>
      </c>
      <c r="C609" s="36" t="str">
        <f t="array" ref="C609">_xlfn.XLOOKUP($A609,TRIM(SUBSTITUTE('worker file'!$A$2:$A$406,_xlfn.UNICHAR(160)," ")),'worker file'!$D$2:$D$406,"Not found")</f>
        <v>CA</v>
      </c>
      <c r="D609" s="36" t="str">
        <f t="array" ref="D609">_xlfn.XLOOKUP($A609,TRIM(SUBSTITUTE('worker file'!$A$2:$A$406,_xlfn.UNICHAR(160)," ")),'worker file'!$Q$2:$Q$406,"Not found")</f>
        <v>Active</v>
      </c>
      <c r="E609" s="35" t="s">
        <v>626</v>
      </c>
      <c r="F609" t="str">
        <f t="shared" si="69"/>
        <v>Medical (Health) – Employee</v>
      </c>
      <c r="G609" t="str">
        <f t="shared" si="70"/>
        <v>Pre-tax Section 125 (exempt from FIT/SIT/FICA)</v>
      </c>
      <c r="H609" t="str">
        <f t="shared" si="71"/>
        <v>Flat</v>
      </c>
      <c r="I609" s="40" t="str">
        <f>IF($H609="Percent",_xlfn.XLOOKUP($E609,$A$5:$A$8,$F$5:$F$8,""),"")</f>
        <v/>
      </c>
      <c r="J609" s="38">
        <f t="shared" si="72"/>
        <v>200</v>
      </c>
      <c r="K609" t="str">
        <f t="shared" si="73"/>
        <v>Per pay period</v>
      </c>
      <c r="L609" t="str">
        <f t="shared" si="74"/>
        <v>Every pay period (ongoing)</v>
      </c>
      <c r="M609" s="39">
        <f t="array" ref="M609">MAX(_xlfn.XLOOKUP($A609,TRIM(SUBSTITUTE('worker file'!$A$2:$A$406,_xlfn.UNICHAR(160)," ")),'worker file'!$M$2:$M$406,0),_xlfn.XLOOKUP($B609,TRIM('pay group &amp; schedule'!$A$2:$A$6),'pay group &amp; schedule'!$D$2:$D$6,0))</f>
        <v>46311</v>
      </c>
      <c r="N609" s="39" t="str">
        <f t="array" ref="N609">_xlfn.LET(_xlpm.t,_xlfn.XLOOKUP($A609,TRIM(SUBSTITUTE('worker file'!$A$2:$A$406,_xlfn.UNICHAR(160)," ")),'worker file'!$N$2:$N$406,""),IF(N(_xlpm.t)=0,"",_xlpm.t))</f>
        <v/>
      </c>
    </row>
    <row r="610" spans="1:14" x14ac:dyDescent="0.2">
      <c r="A610" s="35" t="s">
        <v>313</v>
      </c>
      <c r="B610" s="36" t="str">
        <f t="array" ref="B610">_xlfn.XLOOKUP($A610,TRIM(SUBSTITUTE('worker file'!$A$2:$A$406,_xlfn.UNICHAR(160)," ")),'worker file'!$L$2:$L$406,"Not found")</f>
        <v>US Semi-monthly</v>
      </c>
      <c r="C610" s="36" t="str">
        <f t="array" ref="C610">_xlfn.XLOOKUP($A610,TRIM(SUBSTITUTE('worker file'!$A$2:$A$406,_xlfn.UNICHAR(160)," ")),'worker file'!$D$2:$D$406,"Not found")</f>
        <v>CA</v>
      </c>
      <c r="D610" s="36" t="str">
        <f t="array" ref="D610">_xlfn.XLOOKUP($A610,TRIM(SUBSTITUTE('worker file'!$A$2:$A$406,_xlfn.UNICHAR(160)," ")),'worker file'!$Q$2:$Q$406,"Not found")</f>
        <v>Active</v>
      </c>
      <c r="E610" s="35" t="s">
        <v>632</v>
      </c>
      <c r="F610" t="str">
        <f t="shared" si="69"/>
        <v>Dental – Employee</v>
      </c>
      <c r="G610" t="str">
        <f t="shared" si="70"/>
        <v>Pre-tax Section 125 (exempt from FIT/SIT/FICA)</v>
      </c>
      <c r="H610" t="str">
        <f t="shared" si="71"/>
        <v>Flat</v>
      </c>
      <c r="I610" s="40" t="str">
        <f>IF($H610="Percent",_xlfn.XLOOKUP($E610,$A$5:$A$8,$F$5:$F$8,""),"")</f>
        <v/>
      </c>
      <c r="J610" s="38">
        <f t="shared" si="72"/>
        <v>44</v>
      </c>
      <c r="K610" t="str">
        <f t="shared" si="73"/>
        <v>Per pay period</v>
      </c>
      <c r="L610" t="str">
        <f t="shared" si="74"/>
        <v>Every pay period (ongoing)</v>
      </c>
      <c r="M610" s="39">
        <f t="array" ref="M610">MAX(_xlfn.XLOOKUP($A610,TRIM(SUBSTITUTE('worker file'!$A$2:$A$406,_xlfn.UNICHAR(160)," ")),'worker file'!$M$2:$M$406,0),_xlfn.XLOOKUP($B610,TRIM('pay group &amp; schedule'!$A$2:$A$6),'pay group &amp; schedule'!$D$2:$D$6,0))</f>
        <v>46311</v>
      </c>
      <c r="N610" s="39" t="str">
        <f t="array" ref="N610">_xlfn.LET(_xlpm.t,_xlfn.XLOOKUP($A610,TRIM(SUBSTITUTE('worker file'!$A$2:$A$406,_xlfn.UNICHAR(160)," ")),'worker file'!$N$2:$N$406,""),IF(N(_xlpm.t)=0,"",_xlpm.t))</f>
        <v/>
      </c>
    </row>
    <row r="611" spans="1:14" x14ac:dyDescent="0.2">
      <c r="A611" s="35" t="s">
        <v>313</v>
      </c>
      <c r="B611" s="36" t="str">
        <f t="array" ref="B611">_xlfn.XLOOKUP($A611,TRIM(SUBSTITUTE('worker file'!$A$2:$A$406,_xlfn.UNICHAR(160)," ")),'worker file'!$L$2:$L$406,"Not found")</f>
        <v>US Semi-monthly</v>
      </c>
      <c r="C611" s="36" t="str">
        <f t="array" ref="C611">_xlfn.XLOOKUP($A611,TRIM(SUBSTITUTE('worker file'!$A$2:$A$406,_xlfn.UNICHAR(160)," ")),'worker file'!$D$2:$D$406,"Not found")</f>
        <v>CA</v>
      </c>
      <c r="D611" s="36" t="str">
        <f t="array" ref="D611">_xlfn.XLOOKUP($A611,TRIM(SUBSTITUTE('worker file'!$A$2:$A$406,_xlfn.UNICHAR(160)," ")),'worker file'!$Q$2:$Q$406,"Not found")</f>
        <v>Active</v>
      </c>
      <c r="E611" s="35" t="s">
        <v>634</v>
      </c>
      <c r="F611" t="str">
        <f t="shared" si="69"/>
        <v>Vision – Employee</v>
      </c>
      <c r="G611" t="str">
        <f t="shared" si="70"/>
        <v>Pre-tax Section 125 (exempt from FIT/SIT/FICA)</v>
      </c>
      <c r="H611" t="str">
        <f t="shared" si="71"/>
        <v>Flat</v>
      </c>
      <c r="I611" s="40" t="str">
        <f>IF($H611="Percent",_xlfn.XLOOKUP($E611,$A$5:$A$8,$F$5:$F$8,""),"")</f>
        <v/>
      </c>
      <c r="J611" s="38">
        <f t="shared" si="72"/>
        <v>30</v>
      </c>
      <c r="K611" t="str">
        <f t="shared" si="73"/>
        <v>Per pay period</v>
      </c>
      <c r="L611" t="str">
        <f t="shared" si="74"/>
        <v>Every pay period (ongoing)</v>
      </c>
      <c r="M611" s="39">
        <f t="array" ref="M611">MAX(_xlfn.XLOOKUP($A611,TRIM(SUBSTITUTE('worker file'!$A$2:$A$406,_xlfn.UNICHAR(160)," ")),'worker file'!$M$2:$M$406,0),_xlfn.XLOOKUP($B611,TRIM('pay group &amp; schedule'!$A$2:$A$6),'pay group &amp; schedule'!$D$2:$D$6,0))</f>
        <v>46311</v>
      </c>
      <c r="N611" s="39" t="str">
        <f t="array" ref="N611">_xlfn.LET(_xlpm.t,_xlfn.XLOOKUP($A611,TRIM(SUBSTITUTE('worker file'!$A$2:$A$406,_xlfn.UNICHAR(160)," ")),'worker file'!$N$2:$N$406,""),IF(N(_xlpm.t)=0,"",_xlpm.t))</f>
        <v/>
      </c>
    </row>
    <row r="612" spans="1:14" x14ac:dyDescent="0.2">
      <c r="A612" s="35" t="s">
        <v>314</v>
      </c>
      <c r="B612" s="36" t="str">
        <f t="array" ref="B612">_xlfn.XLOOKUP($A612,TRIM(SUBSTITUTE('worker file'!$A$2:$A$406,_xlfn.UNICHAR(160)," ")),'worker file'!$L$2:$L$406,"Not found")</f>
        <v>US Semi-monthly</v>
      </c>
      <c r="C612" s="36" t="str">
        <f t="array" ref="C612">_xlfn.XLOOKUP($A612,TRIM(SUBSTITUTE('worker file'!$A$2:$A$406,_xlfn.UNICHAR(160)," ")),'worker file'!$D$2:$D$406,"Not found")</f>
        <v>CO</v>
      </c>
      <c r="D612" s="36" t="str">
        <f t="array" ref="D612">_xlfn.XLOOKUP($A612,TRIM(SUBSTITUTE('worker file'!$A$2:$A$406,_xlfn.UNICHAR(160)," ")),'worker file'!$Q$2:$Q$406,"Not found")</f>
        <v>Active</v>
      </c>
      <c r="E612" s="35" t="s">
        <v>618</v>
      </c>
      <c r="F612" t="str">
        <f t="shared" si="69"/>
        <v>401(k) Employee Deferral</v>
      </c>
      <c r="G612" t="str">
        <f t="shared" si="70"/>
        <v>Pre-tax (exempt from FIT/SIT; subject to FICA)</v>
      </c>
      <c r="H612" t="str">
        <f t="shared" si="71"/>
        <v>Percent</v>
      </c>
      <c r="I612" s="37">
        <v>0.05</v>
      </c>
      <c r="J612" s="38" t="str">
        <f t="shared" si="72"/>
        <v/>
      </c>
      <c r="K612" t="str">
        <f t="shared" si="73"/>
        <v>Gross pay</v>
      </c>
      <c r="L612" t="str">
        <f t="shared" si="74"/>
        <v>Every pay period (ongoing)</v>
      </c>
      <c r="M612" s="39">
        <f t="array" ref="M612">MAX(_xlfn.XLOOKUP($A612,TRIM(SUBSTITUTE('worker file'!$A$2:$A$406,_xlfn.UNICHAR(160)," ")),'worker file'!$M$2:$M$406,0),_xlfn.XLOOKUP($B612,TRIM('pay group &amp; schedule'!$A$2:$A$6),'pay group &amp; schedule'!$D$2:$D$6,0))</f>
        <v>46311</v>
      </c>
      <c r="N612" s="39" t="str">
        <f t="array" ref="N612">_xlfn.LET(_xlpm.t,_xlfn.XLOOKUP($A612,TRIM(SUBSTITUTE('worker file'!$A$2:$A$406,_xlfn.UNICHAR(160)," ")),'worker file'!$N$2:$N$406,""),IF(N(_xlpm.t)=0,"",_xlpm.t))</f>
        <v/>
      </c>
    </row>
    <row r="613" spans="1:14" x14ac:dyDescent="0.2">
      <c r="A613" s="35" t="s">
        <v>314</v>
      </c>
      <c r="B613" s="36" t="str">
        <f t="array" ref="B613">_xlfn.XLOOKUP($A613,TRIM(SUBSTITUTE('worker file'!$A$2:$A$406,_xlfn.UNICHAR(160)," ")),'worker file'!$L$2:$L$406,"Not found")</f>
        <v>US Semi-monthly</v>
      </c>
      <c r="C613" s="36" t="str">
        <f t="array" ref="C613">_xlfn.XLOOKUP($A613,TRIM(SUBSTITUTE('worker file'!$A$2:$A$406,_xlfn.UNICHAR(160)," ")),'worker file'!$D$2:$D$406,"Not found")</f>
        <v>CO</v>
      </c>
      <c r="D613" s="36" t="str">
        <f t="array" ref="D613">_xlfn.XLOOKUP($A613,TRIM(SUBSTITUTE('worker file'!$A$2:$A$406,_xlfn.UNICHAR(160)," ")),'worker file'!$Q$2:$Q$406,"Not found")</f>
        <v>Active</v>
      </c>
      <c r="E613" s="35" t="s">
        <v>626</v>
      </c>
      <c r="F613" t="str">
        <f t="shared" si="69"/>
        <v>Medical (Health) – Employee</v>
      </c>
      <c r="G613" t="str">
        <f t="shared" si="70"/>
        <v>Pre-tax Section 125 (exempt from FIT/SIT/FICA)</v>
      </c>
      <c r="H613" t="str">
        <f t="shared" si="71"/>
        <v>Flat</v>
      </c>
      <c r="I613" s="40" t="str">
        <f>IF($H613="Percent",_xlfn.XLOOKUP($E613,$A$5:$A$8,$F$5:$F$8,""),"")</f>
        <v/>
      </c>
      <c r="J613" s="38">
        <f t="shared" si="72"/>
        <v>200</v>
      </c>
      <c r="K613" t="str">
        <f t="shared" si="73"/>
        <v>Per pay period</v>
      </c>
      <c r="L613" t="str">
        <f t="shared" si="74"/>
        <v>Every pay period (ongoing)</v>
      </c>
      <c r="M613" s="39">
        <f t="array" ref="M613">MAX(_xlfn.XLOOKUP($A613,TRIM(SUBSTITUTE('worker file'!$A$2:$A$406,_xlfn.UNICHAR(160)," ")),'worker file'!$M$2:$M$406,0),_xlfn.XLOOKUP($B613,TRIM('pay group &amp; schedule'!$A$2:$A$6),'pay group &amp; schedule'!$D$2:$D$6,0))</f>
        <v>46311</v>
      </c>
      <c r="N613" s="39" t="str">
        <f t="array" ref="N613">_xlfn.LET(_xlpm.t,_xlfn.XLOOKUP($A613,TRIM(SUBSTITUTE('worker file'!$A$2:$A$406,_xlfn.UNICHAR(160)," ")),'worker file'!$N$2:$N$406,""),IF(N(_xlpm.t)=0,"",_xlpm.t))</f>
        <v/>
      </c>
    </row>
    <row r="614" spans="1:14" x14ac:dyDescent="0.2">
      <c r="A614" s="35" t="s">
        <v>314</v>
      </c>
      <c r="B614" s="36" t="str">
        <f t="array" ref="B614">_xlfn.XLOOKUP($A614,TRIM(SUBSTITUTE('worker file'!$A$2:$A$406,_xlfn.UNICHAR(160)," ")),'worker file'!$L$2:$L$406,"Not found")</f>
        <v>US Semi-monthly</v>
      </c>
      <c r="C614" s="36" t="str">
        <f t="array" ref="C614">_xlfn.XLOOKUP($A614,TRIM(SUBSTITUTE('worker file'!$A$2:$A$406,_xlfn.UNICHAR(160)," ")),'worker file'!$D$2:$D$406,"Not found")</f>
        <v>CO</v>
      </c>
      <c r="D614" s="36" t="str">
        <f t="array" ref="D614">_xlfn.XLOOKUP($A614,TRIM(SUBSTITUTE('worker file'!$A$2:$A$406,_xlfn.UNICHAR(160)," ")),'worker file'!$Q$2:$Q$406,"Not found")</f>
        <v>Active</v>
      </c>
      <c r="E614" s="35" t="s">
        <v>632</v>
      </c>
      <c r="F614" t="str">
        <f t="shared" si="69"/>
        <v>Dental – Employee</v>
      </c>
      <c r="G614" t="str">
        <f t="shared" si="70"/>
        <v>Pre-tax Section 125 (exempt from FIT/SIT/FICA)</v>
      </c>
      <c r="H614" t="str">
        <f t="shared" si="71"/>
        <v>Flat</v>
      </c>
      <c r="I614" s="40" t="str">
        <f>IF($H614="Percent",_xlfn.XLOOKUP($E614,$A$5:$A$8,$F$5:$F$8,""),"")</f>
        <v/>
      </c>
      <c r="J614" s="38">
        <f t="shared" si="72"/>
        <v>44</v>
      </c>
      <c r="K614" t="str">
        <f t="shared" si="73"/>
        <v>Per pay period</v>
      </c>
      <c r="L614" t="str">
        <f t="shared" si="74"/>
        <v>Every pay period (ongoing)</v>
      </c>
      <c r="M614" s="39">
        <f t="array" ref="M614">MAX(_xlfn.XLOOKUP($A614,TRIM(SUBSTITUTE('worker file'!$A$2:$A$406,_xlfn.UNICHAR(160)," ")),'worker file'!$M$2:$M$406,0),_xlfn.XLOOKUP($B614,TRIM('pay group &amp; schedule'!$A$2:$A$6),'pay group &amp; schedule'!$D$2:$D$6,0))</f>
        <v>46311</v>
      </c>
      <c r="N614" s="39" t="str">
        <f t="array" ref="N614">_xlfn.LET(_xlpm.t,_xlfn.XLOOKUP($A614,TRIM(SUBSTITUTE('worker file'!$A$2:$A$406,_xlfn.UNICHAR(160)," ")),'worker file'!$N$2:$N$406,""),IF(N(_xlpm.t)=0,"",_xlpm.t))</f>
        <v/>
      </c>
    </row>
    <row r="615" spans="1:14" x14ac:dyDescent="0.2">
      <c r="A615" s="35" t="s">
        <v>314</v>
      </c>
      <c r="B615" s="36" t="str">
        <f t="array" ref="B615">_xlfn.XLOOKUP($A615,TRIM(SUBSTITUTE('worker file'!$A$2:$A$406,_xlfn.UNICHAR(160)," ")),'worker file'!$L$2:$L$406,"Not found")</f>
        <v>US Semi-monthly</v>
      </c>
      <c r="C615" s="36" t="str">
        <f t="array" ref="C615">_xlfn.XLOOKUP($A615,TRIM(SUBSTITUTE('worker file'!$A$2:$A$406,_xlfn.UNICHAR(160)," ")),'worker file'!$D$2:$D$406,"Not found")</f>
        <v>CO</v>
      </c>
      <c r="D615" s="36" t="str">
        <f t="array" ref="D615">_xlfn.XLOOKUP($A615,TRIM(SUBSTITUTE('worker file'!$A$2:$A$406,_xlfn.UNICHAR(160)," ")),'worker file'!$Q$2:$Q$406,"Not found")</f>
        <v>Active</v>
      </c>
      <c r="E615" s="35" t="s">
        <v>634</v>
      </c>
      <c r="F615" t="str">
        <f t="shared" si="69"/>
        <v>Vision – Employee</v>
      </c>
      <c r="G615" t="str">
        <f t="shared" si="70"/>
        <v>Pre-tax Section 125 (exempt from FIT/SIT/FICA)</v>
      </c>
      <c r="H615" t="str">
        <f t="shared" si="71"/>
        <v>Flat</v>
      </c>
      <c r="I615" s="40" t="str">
        <f>IF($H615="Percent",_xlfn.XLOOKUP($E615,$A$5:$A$8,$F$5:$F$8,""),"")</f>
        <v/>
      </c>
      <c r="J615" s="38">
        <f t="shared" si="72"/>
        <v>30</v>
      </c>
      <c r="K615" t="str">
        <f t="shared" si="73"/>
        <v>Per pay period</v>
      </c>
      <c r="L615" t="str">
        <f t="shared" si="74"/>
        <v>Every pay period (ongoing)</v>
      </c>
      <c r="M615" s="39">
        <f t="array" ref="M615">MAX(_xlfn.XLOOKUP($A615,TRIM(SUBSTITUTE('worker file'!$A$2:$A$406,_xlfn.UNICHAR(160)," ")),'worker file'!$M$2:$M$406,0),_xlfn.XLOOKUP($B615,TRIM('pay group &amp; schedule'!$A$2:$A$6),'pay group &amp; schedule'!$D$2:$D$6,0))</f>
        <v>46311</v>
      </c>
      <c r="N615" s="39" t="str">
        <f t="array" ref="N615">_xlfn.LET(_xlpm.t,_xlfn.XLOOKUP($A615,TRIM(SUBSTITUTE('worker file'!$A$2:$A$406,_xlfn.UNICHAR(160)," ")),'worker file'!$N$2:$N$406,""),IF(N(_xlpm.t)=0,"",_xlpm.t))</f>
        <v/>
      </c>
    </row>
    <row r="616" spans="1:14" x14ac:dyDescent="0.2">
      <c r="A616" s="35" t="s">
        <v>315</v>
      </c>
      <c r="B616" s="36" t="str">
        <f t="array" ref="B616">_xlfn.XLOOKUP($A616,TRIM(SUBSTITUTE('worker file'!$A$2:$A$406,_xlfn.UNICHAR(160)," ")),'worker file'!$L$2:$L$406,"Not found")</f>
        <v>US Semi-monthly</v>
      </c>
      <c r="C616" s="36" t="str">
        <f t="array" ref="C616">_xlfn.XLOOKUP($A616,TRIM(SUBSTITUTE('worker file'!$A$2:$A$406,_xlfn.UNICHAR(160)," ")),'worker file'!$D$2:$D$406,"Not found")</f>
        <v>IL</v>
      </c>
      <c r="D616" s="36" t="str">
        <f t="array" ref="D616">_xlfn.XLOOKUP($A616,TRIM(SUBSTITUTE('worker file'!$A$2:$A$406,_xlfn.UNICHAR(160)," ")),'worker file'!$Q$2:$Q$406,"Not found")</f>
        <v>Active</v>
      </c>
      <c r="E616" s="35" t="s">
        <v>618</v>
      </c>
      <c r="F616" t="str">
        <f t="shared" si="69"/>
        <v>401(k) Employee Deferral</v>
      </c>
      <c r="G616" t="str">
        <f t="shared" si="70"/>
        <v>Pre-tax (exempt from FIT/SIT; subject to FICA)</v>
      </c>
      <c r="H616" t="str">
        <f t="shared" si="71"/>
        <v>Percent</v>
      </c>
      <c r="I616" s="37">
        <v>0.02</v>
      </c>
      <c r="J616" s="38" t="str">
        <f t="shared" si="72"/>
        <v/>
      </c>
      <c r="K616" t="str">
        <f t="shared" si="73"/>
        <v>Gross pay</v>
      </c>
      <c r="L616" t="str">
        <f t="shared" si="74"/>
        <v>Every pay period (ongoing)</v>
      </c>
      <c r="M616" s="39">
        <f t="array" ref="M616">MAX(_xlfn.XLOOKUP($A616,TRIM(SUBSTITUTE('worker file'!$A$2:$A$406,_xlfn.UNICHAR(160)," ")),'worker file'!$M$2:$M$406,0),_xlfn.XLOOKUP($B616,TRIM('pay group &amp; schedule'!$A$2:$A$6),'pay group &amp; schedule'!$D$2:$D$6,0))</f>
        <v>46311</v>
      </c>
      <c r="N616" s="39" t="str">
        <f t="array" ref="N616">_xlfn.LET(_xlpm.t,_xlfn.XLOOKUP($A616,TRIM(SUBSTITUTE('worker file'!$A$2:$A$406,_xlfn.UNICHAR(160)," ")),'worker file'!$N$2:$N$406,""),IF(N(_xlpm.t)=0,"",_xlpm.t))</f>
        <v/>
      </c>
    </row>
    <row r="617" spans="1:14" x14ac:dyDescent="0.2">
      <c r="A617" s="35" t="s">
        <v>315</v>
      </c>
      <c r="B617" s="36" t="str">
        <f t="array" ref="B617">_xlfn.XLOOKUP($A617,TRIM(SUBSTITUTE('worker file'!$A$2:$A$406,_xlfn.UNICHAR(160)," ")),'worker file'!$L$2:$L$406,"Not found")</f>
        <v>US Semi-monthly</v>
      </c>
      <c r="C617" s="36" t="str">
        <f t="array" ref="C617">_xlfn.XLOOKUP($A617,TRIM(SUBSTITUTE('worker file'!$A$2:$A$406,_xlfn.UNICHAR(160)," ")),'worker file'!$D$2:$D$406,"Not found")</f>
        <v>IL</v>
      </c>
      <c r="D617" s="36" t="str">
        <f t="array" ref="D617">_xlfn.XLOOKUP($A617,TRIM(SUBSTITUTE('worker file'!$A$2:$A$406,_xlfn.UNICHAR(160)," ")),'worker file'!$Q$2:$Q$406,"Not found")</f>
        <v>Active</v>
      </c>
      <c r="E617" s="35" t="s">
        <v>626</v>
      </c>
      <c r="F617" t="str">
        <f t="shared" si="69"/>
        <v>Medical (Health) – Employee</v>
      </c>
      <c r="G617" t="str">
        <f t="shared" si="70"/>
        <v>Pre-tax Section 125 (exempt from FIT/SIT/FICA)</v>
      </c>
      <c r="H617" t="str">
        <f t="shared" si="71"/>
        <v>Flat</v>
      </c>
      <c r="I617" s="40" t="str">
        <f>IF($H617="Percent",_xlfn.XLOOKUP($E617,$A$5:$A$8,$F$5:$F$8,""),"")</f>
        <v/>
      </c>
      <c r="J617" s="38">
        <f t="shared" si="72"/>
        <v>200</v>
      </c>
      <c r="K617" t="str">
        <f t="shared" si="73"/>
        <v>Per pay period</v>
      </c>
      <c r="L617" t="str">
        <f t="shared" si="74"/>
        <v>Every pay period (ongoing)</v>
      </c>
      <c r="M617" s="39">
        <f t="array" ref="M617">MAX(_xlfn.XLOOKUP($A617,TRIM(SUBSTITUTE('worker file'!$A$2:$A$406,_xlfn.UNICHAR(160)," ")),'worker file'!$M$2:$M$406,0),_xlfn.XLOOKUP($B617,TRIM('pay group &amp; schedule'!$A$2:$A$6),'pay group &amp; schedule'!$D$2:$D$6,0))</f>
        <v>46311</v>
      </c>
      <c r="N617" s="39" t="str">
        <f t="array" ref="N617">_xlfn.LET(_xlpm.t,_xlfn.XLOOKUP($A617,TRIM(SUBSTITUTE('worker file'!$A$2:$A$406,_xlfn.UNICHAR(160)," ")),'worker file'!$N$2:$N$406,""),IF(N(_xlpm.t)=0,"",_xlpm.t))</f>
        <v/>
      </c>
    </row>
    <row r="618" spans="1:14" x14ac:dyDescent="0.2">
      <c r="A618" s="35" t="s">
        <v>315</v>
      </c>
      <c r="B618" s="36" t="str">
        <f t="array" ref="B618">_xlfn.XLOOKUP($A618,TRIM(SUBSTITUTE('worker file'!$A$2:$A$406,_xlfn.UNICHAR(160)," ")),'worker file'!$L$2:$L$406,"Not found")</f>
        <v>US Semi-monthly</v>
      </c>
      <c r="C618" s="36" t="str">
        <f t="array" ref="C618">_xlfn.XLOOKUP($A618,TRIM(SUBSTITUTE('worker file'!$A$2:$A$406,_xlfn.UNICHAR(160)," ")),'worker file'!$D$2:$D$406,"Not found")</f>
        <v>IL</v>
      </c>
      <c r="D618" s="36" t="str">
        <f t="array" ref="D618">_xlfn.XLOOKUP($A618,TRIM(SUBSTITUTE('worker file'!$A$2:$A$406,_xlfn.UNICHAR(160)," ")),'worker file'!$Q$2:$Q$406,"Not found")</f>
        <v>Active</v>
      </c>
      <c r="E618" s="35" t="s">
        <v>632</v>
      </c>
      <c r="F618" t="str">
        <f t="shared" si="69"/>
        <v>Dental – Employee</v>
      </c>
      <c r="G618" t="str">
        <f t="shared" si="70"/>
        <v>Pre-tax Section 125 (exempt from FIT/SIT/FICA)</v>
      </c>
      <c r="H618" t="str">
        <f t="shared" si="71"/>
        <v>Flat</v>
      </c>
      <c r="I618" s="40" t="str">
        <f>IF($H618="Percent",_xlfn.XLOOKUP($E618,$A$5:$A$8,$F$5:$F$8,""),"")</f>
        <v/>
      </c>
      <c r="J618" s="38">
        <f t="shared" si="72"/>
        <v>44</v>
      </c>
      <c r="K618" t="str">
        <f t="shared" si="73"/>
        <v>Per pay period</v>
      </c>
      <c r="L618" t="str">
        <f t="shared" si="74"/>
        <v>Every pay period (ongoing)</v>
      </c>
      <c r="M618" s="39">
        <f t="array" ref="M618">MAX(_xlfn.XLOOKUP($A618,TRIM(SUBSTITUTE('worker file'!$A$2:$A$406,_xlfn.UNICHAR(160)," ")),'worker file'!$M$2:$M$406,0),_xlfn.XLOOKUP($B618,TRIM('pay group &amp; schedule'!$A$2:$A$6),'pay group &amp; schedule'!$D$2:$D$6,0))</f>
        <v>46311</v>
      </c>
      <c r="N618" s="39" t="str">
        <f t="array" ref="N618">_xlfn.LET(_xlpm.t,_xlfn.XLOOKUP($A618,TRIM(SUBSTITUTE('worker file'!$A$2:$A$406,_xlfn.UNICHAR(160)," ")),'worker file'!$N$2:$N$406,""),IF(N(_xlpm.t)=0,"",_xlpm.t))</f>
        <v/>
      </c>
    </row>
    <row r="619" spans="1:14" x14ac:dyDescent="0.2">
      <c r="A619" s="35" t="s">
        <v>315</v>
      </c>
      <c r="B619" s="36" t="str">
        <f t="array" ref="B619">_xlfn.XLOOKUP($A619,TRIM(SUBSTITUTE('worker file'!$A$2:$A$406,_xlfn.UNICHAR(160)," ")),'worker file'!$L$2:$L$406,"Not found")</f>
        <v>US Semi-monthly</v>
      </c>
      <c r="C619" s="36" t="str">
        <f t="array" ref="C619">_xlfn.XLOOKUP($A619,TRIM(SUBSTITUTE('worker file'!$A$2:$A$406,_xlfn.UNICHAR(160)," ")),'worker file'!$D$2:$D$406,"Not found")</f>
        <v>IL</v>
      </c>
      <c r="D619" s="36" t="str">
        <f t="array" ref="D619">_xlfn.XLOOKUP($A619,TRIM(SUBSTITUTE('worker file'!$A$2:$A$406,_xlfn.UNICHAR(160)," ")),'worker file'!$Q$2:$Q$406,"Not found")</f>
        <v>Active</v>
      </c>
      <c r="E619" s="35" t="s">
        <v>634</v>
      </c>
      <c r="F619" t="str">
        <f t="shared" si="69"/>
        <v>Vision – Employee</v>
      </c>
      <c r="G619" t="str">
        <f t="shared" si="70"/>
        <v>Pre-tax Section 125 (exempt from FIT/SIT/FICA)</v>
      </c>
      <c r="H619" t="str">
        <f t="shared" si="71"/>
        <v>Flat</v>
      </c>
      <c r="I619" s="40" t="str">
        <f>IF($H619="Percent",_xlfn.XLOOKUP($E619,$A$5:$A$8,$F$5:$F$8,""),"")</f>
        <v/>
      </c>
      <c r="J619" s="38">
        <f t="shared" si="72"/>
        <v>30</v>
      </c>
      <c r="K619" t="str">
        <f t="shared" si="73"/>
        <v>Per pay period</v>
      </c>
      <c r="L619" t="str">
        <f t="shared" si="74"/>
        <v>Every pay period (ongoing)</v>
      </c>
      <c r="M619" s="39">
        <f t="array" ref="M619">MAX(_xlfn.XLOOKUP($A619,TRIM(SUBSTITUTE('worker file'!$A$2:$A$406,_xlfn.UNICHAR(160)," ")),'worker file'!$M$2:$M$406,0),_xlfn.XLOOKUP($B619,TRIM('pay group &amp; schedule'!$A$2:$A$6),'pay group &amp; schedule'!$D$2:$D$6,0))</f>
        <v>46311</v>
      </c>
      <c r="N619" s="39" t="str">
        <f t="array" ref="N619">_xlfn.LET(_xlpm.t,_xlfn.XLOOKUP($A619,TRIM(SUBSTITUTE('worker file'!$A$2:$A$406,_xlfn.UNICHAR(160)," ")),'worker file'!$N$2:$N$406,""),IF(N(_xlpm.t)=0,"",_xlpm.t))</f>
        <v/>
      </c>
    </row>
    <row r="620" spans="1:14" x14ac:dyDescent="0.2">
      <c r="A620" s="35" t="s">
        <v>316</v>
      </c>
      <c r="B620" s="36" t="str">
        <f t="array" ref="B620">_xlfn.XLOOKUP($A620,TRIM(SUBSTITUTE('worker file'!$A$2:$A$406,_xlfn.UNICHAR(160)," ")),'worker file'!$L$2:$L$406,"Not found")</f>
        <v>US Semi-monthly</v>
      </c>
      <c r="C620" s="36" t="str">
        <f t="array" ref="C620">_xlfn.XLOOKUP($A620,TRIM(SUBSTITUTE('worker file'!$A$2:$A$406,_xlfn.UNICHAR(160)," ")),'worker file'!$D$2:$D$406,"Not found")</f>
        <v>WA</v>
      </c>
      <c r="D620" s="36" t="str">
        <f t="array" ref="D620">_xlfn.XLOOKUP($A620,TRIM(SUBSTITUTE('worker file'!$A$2:$A$406,_xlfn.UNICHAR(160)," ")),'worker file'!$Q$2:$Q$406,"Not found")</f>
        <v>Active</v>
      </c>
      <c r="E620" s="35" t="s">
        <v>618</v>
      </c>
      <c r="F620" t="str">
        <f t="shared" si="69"/>
        <v>401(k) Employee Deferral</v>
      </c>
      <c r="G620" t="str">
        <f t="shared" si="70"/>
        <v>Pre-tax (exempt from FIT/SIT; subject to FICA)</v>
      </c>
      <c r="H620" t="str">
        <f t="shared" si="71"/>
        <v>Percent</v>
      </c>
      <c r="I620" s="37">
        <v>7.0000000000000007E-2</v>
      </c>
      <c r="J620" s="38" t="str">
        <f t="shared" si="72"/>
        <v/>
      </c>
      <c r="K620" t="str">
        <f t="shared" si="73"/>
        <v>Gross pay</v>
      </c>
      <c r="L620" t="str">
        <f t="shared" si="74"/>
        <v>Every pay period (ongoing)</v>
      </c>
      <c r="M620" s="39">
        <f t="array" ref="M620">MAX(_xlfn.XLOOKUP($A620,TRIM(SUBSTITUTE('worker file'!$A$2:$A$406,_xlfn.UNICHAR(160)," ")),'worker file'!$M$2:$M$406,0),_xlfn.XLOOKUP($B620,TRIM('pay group &amp; schedule'!$A$2:$A$6),'pay group &amp; schedule'!$D$2:$D$6,0))</f>
        <v>46311</v>
      </c>
      <c r="N620" s="39" t="str">
        <f t="array" ref="N620">_xlfn.LET(_xlpm.t,_xlfn.XLOOKUP($A620,TRIM(SUBSTITUTE('worker file'!$A$2:$A$406,_xlfn.UNICHAR(160)," ")),'worker file'!$N$2:$N$406,""),IF(N(_xlpm.t)=0,"",_xlpm.t))</f>
        <v/>
      </c>
    </row>
    <row r="621" spans="1:14" x14ac:dyDescent="0.2">
      <c r="A621" s="35" t="s">
        <v>316</v>
      </c>
      <c r="B621" s="36" t="str">
        <f t="array" ref="B621">_xlfn.XLOOKUP($A621,TRIM(SUBSTITUTE('worker file'!$A$2:$A$406,_xlfn.UNICHAR(160)," ")),'worker file'!$L$2:$L$406,"Not found")</f>
        <v>US Semi-monthly</v>
      </c>
      <c r="C621" s="36" t="str">
        <f t="array" ref="C621">_xlfn.XLOOKUP($A621,TRIM(SUBSTITUTE('worker file'!$A$2:$A$406,_xlfn.UNICHAR(160)," ")),'worker file'!$D$2:$D$406,"Not found")</f>
        <v>WA</v>
      </c>
      <c r="D621" s="36" t="str">
        <f t="array" ref="D621">_xlfn.XLOOKUP($A621,TRIM(SUBSTITUTE('worker file'!$A$2:$A$406,_xlfn.UNICHAR(160)," ")),'worker file'!$Q$2:$Q$406,"Not found")</f>
        <v>Active</v>
      </c>
      <c r="E621" s="35" t="s">
        <v>626</v>
      </c>
      <c r="F621" t="str">
        <f t="shared" si="69"/>
        <v>Medical (Health) – Employee</v>
      </c>
      <c r="G621" t="str">
        <f t="shared" si="70"/>
        <v>Pre-tax Section 125 (exempt from FIT/SIT/FICA)</v>
      </c>
      <c r="H621" t="str">
        <f t="shared" si="71"/>
        <v>Flat</v>
      </c>
      <c r="I621" s="40" t="str">
        <f>IF($H621="Percent",_xlfn.XLOOKUP($E621,$A$5:$A$8,$F$5:$F$8,""),"")</f>
        <v/>
      </c>
      <c r="J621" s="38">
        <f t="shared" si="72"/>
        <v>200</v>
      </c>
      <c r="K621" t="str">
        <f t="shared" si="73"/>
        <v>Per pay period</v>
      </c>
      <c r="L621" t="str">
        <f t="shared" si="74"/>
        <v>Every pay period (ongoing)</v>
      </c>
      <c r="M621" s="39">
        <f t="array" ref="M621">MAX(_xlfn.XLOOKUP($A621,TRIM(SUBSTITUTE('worker file'!$A$2:$A$406,_xlfn.UNICHAR(160)," ")),'worker file'!$M$2:$M$406,0),_xlfn.XLOOKUP($B621,TRIM('pay group &amp; schedule'!$A$2:$A$6),'pay group &amp; schedule'!$D$2:$D$6,0))</f>
        <v>46311</v>
      </c>
      <c r="N621" s="39" t="str">
        <f t="array" ref="N621">_xlfn.LET(_xlpm.t,_xlfn.XLOOKUP($A621,TRIM(SUBSTITUTE('worker file'!$A$2:$A$406,_xlfn.UNICHAR(160)," ")),'worker file'!$N$2:$N$406,""),IF(N(_xlpm.t)=0,"",_xlpm.t))</f>
        <v/>
      </c>
    </row>
    <row r="622" spans="1:14" x14ac:dyDescent="0.2">
      <c r="A622" s="35" t="s">
        <v>316</v>
      </c>
      <c r="B622" s="36" t="str">
        <f t="array" ref="B622">_xlfn.XLOOKUP($A622,TRIM(SUBSTITUTE('worker file'!$A$2:$A$406,_xlfn.UNICHAR(160)," ")),'worker file'!$L$2:$L$406,"Not found")</f>
        <v>US Semi-monthly</v>
      </c>
      <c r="C622" s="36" t="str">
        <f t="array" ref="C622">_xlfn.XLOOKUP($A622,TRIM(SUBSTITUTE('worker file'!$A$2:$A$406,_xlfn.UNICHAR(160)," ")),'worker file'!$D$2:$D$406,"Not found")</f>
        <v>WA</v>
      </c>
      <c r="D622" s="36" t="str">
        <f t="array" ref="D622">_xlfn.XLOOKUP($A622,TRIM(SUBSTITUTE('worker file'!$A$2:$A$406,_xlfn.UNICHAR(160)," ")),'worker file'!$Q$2:$Q$406,"Not found")</f>
        <v>Active</v>
      </c>
      <c r="E622" s="35" t="s">
        <v>632</v>
      </c>
      <c r="F622" t="str">
        <f t="shared" si="69"/>
        <v>Dental – Employee</v>
      </c>
      <c r="G622" t="str">
        <f t="shared" si="70"/>
        <v>Pre-tax Section 125 (exempt from FIT/SIT/FICA)</v>
      </c>
      <c r="H622" t="str">
        <f t="shared" si="71"/>
        <v>Flat</v>
      </c>
      <c r="I622" s="40" t="str">
        <f>IF($H622="Percent",_xlfn.XLOOKUP($E622,$A$5:$A$8,$F$5:$F$8,""),"")</f>
        <v/>
      </c>
      <c r="J622" s="38">
        <f t="shared" si="72"/>
        <v>44</v>
      </c>
      <c r="K622" t="str">
        <f t="shared" si="73"/>
        <v>Per pay period</v>
      </c>
      <c r="L622" t="str">
        <f t="shared" si="74"/>
        <v>Every pay period (ongoing)</v>
      </c>
      <c r="M622" s="39">
        <f t="array" ref="M622">MAX(_xlfn.XLOOKUP($A622,TRIM(SUBSTITUTE('worker file'!$A$2:$A$406,_xlfn.UNICHAR(160)," ")),'worker file'!$M$2:$M$406,0),_xlfn.XLOOKUP($B622,TRIM('pay group &amp; schedule'!$A$2:$A$6),'pay group &amp; schedule'!$D$2:$D$6,0))</f>
        <v>46311</v>
      </c>
      <c r="N622" s="39" t="str">
        <f t="array" ref="N622">_xlfn.LET(_xlpm.t,_xlfn.XLOOKUP($A622,TRIM(SUBSTITUTE('worker file'!$A$2:$A$406,_xlfn.UNICHAR(160)," ")),'worker file'!$N$2:$N$406,""),IF(N(_xlpm.t)=0,"",_xlpm.t))</f>
        <v/>
      </c>
    </row>
    <row r="623" spans="1:14" x14ac:dyDescent="0.2">
      <c r="A623" s="35" t="s">
        <v>316</v>
      </c>
      <c r="B623" s="36" t="str">
        <f t="array" ref="B623">_xlfn.XLOOKUP($A623,TRIM(SUBSTITUTE('worker file'!$A$2:$A$406,_xlfn.UNICHAR(160)," ")),'worker file'!$L$2:$L$406,"Not found")</f>
        <v>US Semi-monthly</v>
      </c>
      <c r="C623" s="36" t="str">
        <f t="array" ref="C623">_xlfn.XLOOKUP($A623,TRIM(SUBSTITUTE('worker file'!$A$2:$A$406,_xlfn.UNICHAR(160)," ")),'worker file'!$D$2:$D$406,"Not found")</f>
        <v>WA</v>
      </c>
      <c r="D623" s="36" t="str">
        <f t="array" ref="D623">_xlfn.XLOOKUP($A623,TRIM(SUBSTITUTE('worker file'!$A$2:$A$406,_xlfn.UNICHAR(160)," ")),'worker file'!$Q$2:$Q$406,"Not found")</f>
        <v>Active</v>
      </c>
      <c r="E623" s="35" t="s">
        <v>634</v>
      </c>
      <c r="F623" t="str">
        <f t="shared" si="69"/>
        <v>Vision – Employee</v>
      </c>
      <c r="G623" t="str">
        <f t="shared" si="70"/>
        <v>Pre-tax Section 125 (exempt from FIT/SIT/FICA)</v>
      </c>
      <c r="H623" t="str">
        <f t="shared" si="71"/>
        <v>Flat</v>
      </c>
      <c r="I623" s="40" t="str">
        <f>IF($H623="Percent",_xlfn.XLOOKUP($E623,$A$5:$A$8,$F$5:$F$8,""),"")</f>
        <v/>
      </c>
      <c r="J623" s="38">
        <f t="shared" si="72"/>
        <v>30</v>
      </c>
      <c r="K623" t="str">
        <f t="shared" si="73"/>
        <v>Per pay period</v>
      </c>
      <c r="L623" t="str">
        <f t="shared" si="74"/>
        <v>Every pay period (ongoing)</v>
      </c>
      <c r="M623" s="39">
        <f t="array" ref="M623">MAX(_xlfn.XLOOKUP($A623,TRIM(SUBSTITUTE('worker file'!$A$2:$A$406,_xlfn.UNICHAR(160)," ")),'worker file'!$M$2:$M$406,0),_xlfn.XLOOKUP($B623,TRIM('pay group &amp; schedule'!$A$2:$A$6),'pay group &amp; schedule'!$D$2:$D$6,0))</f>
        <v>46311</v>
      </c>
      <c r="N623" s="39" t="str">
        <f t="array" ref="N623">_xlfn.LET(_xlpm.t,_xlfn.XLOOKUP($A623,TRIM(SUBSTITUTE('worker file'!$A$2:$A$406,_xlfn.UNICHAR(160)," ")),'worker file'!$N$2:$N$406,""),IF(N(_xlpm.t)=0,"",_xlpm.t))</f>
        <v/>
      </c>
    </row>
    <row r="624" spans="1:14" x14ac:dyDescent="0.2">
      <c r="A624" s="35" t="s">
        <v>317</v>
      </c>
      <c r="B624" s="36" t="str">
        <f t="array" ref="B624">_xlfn.XLOOKUP($A624,TRIM(SUBSTITUTE('worker file'!$A$2:$A$406,_xlfn.UNICHAR(160)," ")),'worker file'!$L$2:$L$406,"Not found")</f>
        <v>US Semi-monthly</v>
      </c>
      <c r="C624" s="36" t="str">
        <f t="array" ref="C624">_xlfn.XLOOKUP($A624,TRIM(SUBSTITUTE('worker file'!$A$2:$A$406,_xlfn.UNICHAR(160)," ")),'worker file'!$D$2:$D$406,"Not found")</f>
        <v>CA</v>
      </c>
      <c r="D624" s="36" t="str">
        <f t="array" ref="D624">_xlfn.XLOOKUP($A624,TRIM(SUBSTITUTE('worker file'!$A$2:$A$406,_xlfn.UNICHAR(160)," ")),'worker file'!$Q$2:$Q$406,"Not found")</f>
        <v>Active</v>
      </c>
      <c r="E624" s="35" t="s">
        <v>618</v>
      </c>
      <c r="F624" t="str">
        <f t="shared" si="69"/>
        <v>401(k) Employee Deferral</v>
      </c>
      <c r="G624" t="str">
        <f t="shared" si="70"/>
        <v>Pre-tax (exempt from FIT/SIT; subject to FICA)</v>
      </c>
      <c r="H624" t="str">
        <f t="shared" si="71"/>
        <v>Percent</v>
      </c>
      <c r="I624" s="37">
        <v>0.04</v>
      </c>
      <c r="J624" s="38" t="str">
        <f t="shared" si="72"/>
        <v/>
      </c>
      <c r="K624" t="str">
        <f t="shared" si="73"/>
        <v>Gross pay</v>
      </c>
      <c r="L624" t="str">
        <f t="shared" si="74"/>
        <v>Every pay period (ongoing)</v>
      </c>
      <c r="M624" s="39">
        <f t="array" ref="M624">MAX(_xlfn.XLOOKUP($A624,TRIM(SUBSTITUTE('worker file'!$A$2:$A$406,_xlfn.UNICHAR(160)," ")),'worker file'!$M$2:$M$406,0),_xlfn.XLOOKUP($B624,TRIM('pay group &amp; schedule'!$A$2:$A$6),'pay group &amp; schedule'!$D$2:$D$6,0))</f>
        <v>46311</v>
      </c>
      <c r="N624" s="39" t="str">
        <f t="array" ref="N624">_xlfn.LET(_xlpm.t,_xlfn.XLOOKUP($A624,TRIM(SUBSTITUTE('worker file'!$A$2:$A$406,_xlfn.UNICHAR(160)," ")),'worker file'!$N$2:$N$406,""),IF(N(_xlpm.t)=0,"",_xlpm.t))</f>
        <v/>
      </c>
    </row>
    <row r="625" spans="1:14" x14ac:dyDescent="0.2">
      <c r="A625" s="35" t="s">
        <v>317</v>
      </c>
      <c r="B625" s="36" t="str">
        <f t="array" ref="B625">_xlfn.XLOOKUP($A625,TRIM(SUBSTITUTE('worker file'!$A$2:$A$406,_xlfn.UNICHAR(160)," ")),'worker file'!$L$2:$L$406,"Not found")</f>
        <v>US Semi-monthly</v>
      </c>
      <c r="C625" s="36" t="str">
        <f t="array" ref="C625">_xlfn.XLOOKUP($A625,TRIM(SUBSTITUTE('worker file'!$A$2:$A$406,_xlfn.UNICHAR(160)," ")),'worker file'!$D$2:$D$406,"Not found")</f>
        <v>CA</v>
      </c>
      <c r="D625" s="36" t="str">
        <f t="array" ref="D625">_xlfn.XLOOKUP($A625,TRIM(SUBSTITUTE('worker file'!$A$2:$A$406,_xlfn.UNICHAR(160)," ")),'worker file'!$Q$2:$Q$406,"Not found")</f>
        <v>Active</v>
      </c>
      <c r="E625" s="35" t="s">
        <v>626</v>
      </c>
      <c r="F625" t="str">
        <f t="shared" si="69"/>
        <v>Medical (Health) – Employee</v>
      </c>
      <c r="G625" t="str">
        <f t="shared" si="70"/>
        <v>Pre-tax Section 125 (exempt from FIT/SIT/FICA)</v>
      </c>
      <c r="H625" t="str">
        <f t="shared" si="71"/>
        <v>Flat</v>
      </c>
      <c r="I625" s="40" t="str">
        <f>IF($H625="Percent",_xlfn.XLOOKUP($E625,$A$5:$A$8,$F$5:$F$8,""),"")</f>
        <v/>
      </c>
      <c r="J625" s="38">
        <f t="shared" si="72"/>
        <v>200</v>
      </c>
      <c r="K625" t="str">
        <f t="shared" si="73"/>
        <v>Per pay period</v>
      </c>
      <c r="L625" t="str">
        <f t="shared" si="74"/>
        <v>Every pay period (ongoing)</v>
      </c>
      <c r="M625" s="39">
        <f t="array" ref="M625">MAX(_xlfn.XLOOKUP($A625,TRIM(SUBSTITUTE('worker file'!$A$2:$A$406,_xlfn.UNICHAR(160)," ")),'worker file'!$M$2:$M$406,0),_xlfn.XLOOKUP($B625,TRIM('pay group &amp; schedule'!$A$2:$A$6),'pay group &amp; schedule'!$D$2:$D$6,0))</f>
        <v>46311</v>
      </c>
      <c r="N625" s="39" t="str">
        <f t="array" ref="N625">_xlfn.LET(_xlpm.t,_xlfn.XLOOKUP($A625,TRIM(SUBSTITUTE('worker file'!$A$2:$A$406,_xlfn.UNICHAR(160)," ")),'worker file'!$N$2:$N$406,""),IF(N(_xlpm.t)=0,"",_xlpm.t))</f>
        <v/>
      </c>
    </row>
    <row r="626" spans="1:14" x14ac:dyDescent="0.2">
      <c r="A626" s="35" t="s">
        <v>317</v>
      </c>
      <c r="B626" s="36" t="str">
        <f t="array" ref="B626">_xlfn.XLOOKUP($A626,TRIM(SUBSTITUTE('worker file'!$A$2:$A$406,_xlfn.UNICHAR(160)," ")),'worker file'!$L$2:$L$406,"Not found")</f>
        <v>US Semi-monthly</v>
      </c>
      <c r="C626" s="36" t="str">
        <f t="array" ref="C626">_xlfn.XLOOKUP($A626,TRIM(SUBSTITUTE('worker file'!$A$2:$A$406,_xlfn.UNICHAR(160)," ")),'worker file'!$D$2:$D$406,"Not found")</f>
        <v>CA</v>
      </c>
      <c r="D626" s="36" t="str">
        <f t="array" ref="D626">_xlfn.XLOOKUP($A626,TRIM(SUBSTITUTE('worker file'!$A$2:$A$406,_xlfn.UNICHAR(160)," ")),'worker file'!$Q$2:$Q$406,"Not found")</f>
        <v>Active</v>
      </c>
      <c r="E626" s="35" t="s">
        <v>632</v>
      </c>
      <c r="F626" t="str">
        <f t="shared" si="69"/>
        <v>Dental – Employee</v>
      </c>
      <c r="G626" t="str">
        <f t="shared" si="70"/>
        <v>Pre-tax Section 125 (exempt from FIT/SIT/FICA)</v>
      </c>
      <c r="H626" t="str">
        <f t="shared" si="71"/>
        <v>Flat</v>
      </c>
      <c r="I626" s="40" t="str">
        <f>IF($H626="Percent",_xlfn.XLOOKUP($E626,$A$5:$A$8,$F$5:$F$8,""),"")</f>
        <v/>
      </c>
      <c r="J626" s="38">
        <f t="shared" si="72"/>
        <v>44</v>
      </c>
      <c r="K626" t="str">
        <f t="shared" si="73"/>
        <v>Per pay period</v>
      </c>
      <c r="L626" t="str">
        <f t="shared" si="74"/>
        <v>Every pay period (ongoing)</v>
      </c>
      <c r="M626" s="39">
        <f t="array" ref="M626">MAX(_xlfn.XLOOKUP($A626,TRIM(SUBSTITUTE('worker file'!$A$2:$A$406,_xlfn.UNICHAR(160)," ")),'worker file'!$M$2:$M$406,0),_xlfn.XLOOKUP($B626,TRIM('pay group &amp; schedule'!$A$2:$A$6),'pay group &amp; schedule'!$D$2:$D$6,0))</f>
        <v>46311</v>
      </c>
      <c r="N626" s="39" t="str">
        <f t="array" ref="N626">_xlfn.LET(_xlpm.t,_xlfn.XLOOKUP($A626,TRIM(SUBSTITUTE('worker file'!$A$2:$A$406,_xlfn.UNICHAR(160)," ")),'worker file'!$N$2:$N$406,""),IF(N(_xlpm.t)=0,"",_xlpm.t))</f>
        <v/>
      </c>
    </row>
    <row r="627" spans="1:14" x14ac:dyDescent="0.2">
      <c r="A627" s="35" t="s">
        <v>317</v>
      </c>
      <c r="B627" s="36" t="str">
        <f t="array" ref="B627">_xlfn.XLOOKUP($A627,TRIM(SUBSTITUTE('worker file'!$A$2:$A$406,_xlfn.UNICHAR(160)," ")),'worker file'!$L$2:$L$406,"Not found")</f>
        <v>US Semi-monthly</v>
      </c>
      <c r="C627" s="36" t="str">
        <f t="array" ref="C627">_xlfn.XLOOKUP($A627,TRIM(SUBSTITUTE('worker file'!$A$2:$A$406,_xlfn.UNICHAR(160)," ")),'worker file'!$D$2:$D$406,"Not found")</f>
        <v>CA</v>
      </c>
      <c r="D627" s="36" t="str">
        <f t="array" ref="D627">_xlfn.XLOOKUP($A627,TRIM(SUBSTITUTE('worker file'!$A$2:$A$406,_xlfn.UNICHAR(160)," ")),'worker file'!$Q$2:$Q$406,"Not found")</f>
        <v>Active</v>
      </c>
      <c r="E627" s="35" t="s">
        <v>634</v>
      </c>
      <c r="F627" t="str">
        <f t="shared" si="69"/>
        <v>Vision – Employee</v>
      </c>
      <c r="G627" t="str">
        <f t="shared" si="70"/>
        <v>Pre-tax Section 125 (exempt from FIT/SIT/FICA)</v>
      </c>
      <c r="H627" t="str">
        <f t="shared" si="71"/>
        <v>Flat</v>
      </c>
      <c r="I627" s="40" t="str">
        <f>IF($H627="Percent",_xlfn.XLOOKUP($E627,$A$5:$A$8,$F$5:$F$8,""),"")</f>
        <v/>
      </c>
      <c r="J627" s="38">
        <f t="shared" si="72"/>
        <v>30</v>
      </c>
      <c r="K627" t="str">
        <f t="shared" si="73"/>
        <v>Per pay period</v>
      </c>
      <c r="L627" t="str">
        <f t="shared" si="74"/>
        <v>Every pay period (ongoing)</v>
      </c>
      <c r="M627" s="39">
        <f t="array" ref="M627">MAX(_xlfn.XLOOKUP($A627,TRIM(SUBSTITUTE('worker file'!$A$2:$A$406,_xlfn.UNICHAR(160)," ")),'worker file'!$M$2:$M$406,0),_xlfn.XLOOKUP($B627,TRIM('pay group &amp; schedule'!$A$2:$A$6),'pay group &amp; schedule'!$D$2:$D$6,0))</f>
        <v>46311</v>
      </c>
      <c r="N627" s="39" t="str">
        <f t="array" ref="N627">_xlfn.LET(_xlpm.t,_xlfn.XLOOKUP($A627,TRIM(SUBSTITUTE('worker file'!$A$2:$A$406,_xlfn.UNICHAR(160)," ")),'worker file'!$N$2:$N$406,""),IF(N(_xlpm.t)=0,"",_xlpm.t))</f>
        <v/>
      </c>
    </row>
    <row r="628" spans="1:14" x14ac:dyDescent="0.2">
      <c r="A628" s="35" t="s">
        <v>318</v>
      </c>
      <c r="B628" s="36" t="str">
        <f t="array" ref="B628">_xlfn.XLOOKUP($A628,TRIM(SUBSTITUTE('worker file'!$A$2:$A$406,_xlfn.UNICHAR(160)," ")),'worker file'!$L$2:$L$406,"Not found")</f>
        <v>US Biweekly</v>
      </c>
      <c r="C628" s="36" t="str">
        <f t="array" ref="C628">_xlfn.XLOOKUP($A628,TRIM(SUBSTITUTE('worker file'!$A$2:$A$406,_xlfn.UNICHAR(160)," ")),'worker file'!$D$2:$D$406,"Not found")</f>
        <v>CA</v>
      </c>
      <c r="D628" s="36" t="str">
        <f t="array" ref="D628">_xlfn.XLOOKUP($A628,TRIM(SUBSTITUTE('worker file'!$A$2:$A$406,_xlfn.UNICHAR(160)," ")),'worker file'!$Q$2:$Q$406,"Not found")</f>
        <v>Active</v>
      </c>
      <c r="E628" s="35" t="s">
        <v>618</v>
      </c>
      <c r="F628" t="str">
        <f t="shared" si="69"/>
        <v>401(k) Employee Deferral</v>
      </c>
      <c r="G628" t="str">
        <f t="shared" si="70"/>
        <v>Pre-tax (exempt from FIT/SIT; subject to FICA)</v>
      </c>
      <c r="H628" t="str">
        <f t="shared" si="71"/>
        <v>Percent</v>
      </c>
      <c r="I628" s="37">
        <v>0.01</v>
      </c>
      <c r="J628" s="38" t="str">
        <f t="shared" si="72"/>
        <v/>
      </c>
      <c r="K628" t="str">
        <f t="shared" si="73"/>
        <v>Gross pay</v>
      </c>
      <c r="L628" t="str">
        <f t="shared" si="74"/>
        <v>Every pay period (ongoing)</v>
      </c>
      <c r="M628" s="39">
        <f t="array" ref="M628">MAX(_xlfn.XLOOKUP($A628,TRIM(SUBSTITUTE('worker file'!$A$2:$A$406,_xlfn.UNICHAR(160)," ")),'worker file'!$M$2:$M$406,0),_xlfn.XLOOKUP($B628,TRIM('pay group &amp; schedule'!$A$2:$A$6),'pay group &amp; schedule'!$D$2:$D$6,0))</f>
        <v>46299</v>
      </c>
      <c r="N628" s="39" t="str">
        <f t="array" ref="N628">_xlfn.LET(_xlpm.t,_xlfn.XLOOKUP($A628,TRIM(SUBSTITUTE('worker file'!$A$2:$A$406,_xlfn.UNICHAR(160)," ")),'worker file'!$N$2:$N$406,""),IF(N(_xlpm.t)=0,"",_xlpm.t))</f>
        <v/>
      </c>
    </row>
    <row r="629" spans="1:14" x14ac:dyDescent="0.2">
      <c r="A629" s="35" t="s">
        <v>318</v>
      </c>
      <c r="B629" s="36" t="str">
        <f t="array" ref="B629">_xlfn.XLOOKUP($A629,TRIM(SUBSTITUTE('worker file'!$A$2:$A$406,_xlfn.UNICHAR(160)," ")),'worker file'!$L$2:$L$406,"Not found")</f>
        <v>US Biweekly</v>
      </c>
      <c r="C629" s="36" t="str">
        <f t="array" ref="C629">_xlfn.XLOOKUP($A629,TRIM(SUBSTITUTE('worker file'!$A$2:$A$406,_xlfn.UNICHAR(160)," ")),'worker file'!$D$2:$D$406,"Not found")</f>
        <v>CA</v>
      </c>
      <c r="D629" s="36" t="str">
        <f t="array" ref="D629">_xlfn.XLOOKUP($A629,TRIM(SUBSTITUTE('worker file'!$A$2:$A$406,_xlfn.UNICHAR(160)," ")),'worker file'!$Q$2:$Q$406,"Not found")</f>
        <v>Active</v>
      </c>
      <c r="E629" s="35" t="s">
        <v>626</v>
      </c>
      <c r="F629" t="str">
        <f t="shared" si="69"/>
        <v>Medical (Health) – Employee</v>
      </c>
      <c r="G629" t="str">
        <f t="shared" si="70"/>
        <v>Pre-tax Section 125 (exempt from FIT/SIT/FICA)</v>
      </c>
      <c r="H629" t="str">
        <f t="shared" si="71"/>
        <v>Flat</v>
      </c>
      <c r="I629" s="40" t="str">
        <f>IF($H629="Percent",_xlfn.XLOOKUP($E629,$A$5:$A$8,$F$5:$F$8,""),"")</f>
        <v/>
      </c>
      <c r="J629" s="38">
        <f t="shared" si="72"/>
        <v>200</v>
      </c>
      <c r="K629" t="str">
        <f t="shared" si="73"/>
        <v>Per pay period</v>
      </c>
      <c r="L629" t="str">
        <f t="shared" si="74"/>
        <v>Every pay period (ongoing)</v>
      </c>
      <c r="M629" s="39">
        <f t="array" ref="M629">MAX(_xlfn.XLOOKUP($A629,TRIM(SUBSTITUTE('worker file'!$A$2:$A$406,_xlfn.UNICHAR(160)," ")),'worker file'!$M$2:$M$406,0),_xlfn.XLOOKUP($B629,TRIM('pay group &amp; schedule'!$A$2:$A$6),'pay group &amp; schedule'!$D$2:$D$6,0))</f>
        <v>46299</v>
      </c>
      <c r="N629" s="39" t="str">
        <f t="array" ref="N629">_xlfn.LET(_xlpm.t,_xlfn.XLOOKUP($A629,TRIM(SUBSTITUTE('worker file'!$A$2:$A$406,_xlfn.UNICHAR(160)," ")),'worker file'!$N$2:$N$406,""),IF(N(_xlpm.t)=0,"",_xlpm.t))</f>
        <v/>
      </c>
    </row>
    <row r="630" spans="1:14" x14ac:dyDescent="0.2">
      <c r="A630" s="35" t="s">
        <v>318</v>
      </c>
      <c r="B630" s="36" t="str">
        <f t="array" ref="B630">_xlfn.XLOOKUP($A630,TRIM(SUBSTITUTE('worker file'!$A$2:$A$406,_xlfn.UNICHAR(160)," ")),'worker file'!$L$2:$L$406,"Not found")</f>
        <v>US Biweekly</v>
      </c>
      <c r="C630" s="36" t="str">
        <f t="array" ref="C630">_xlfn.XLOOKUP($A630,TRIM(SUBSTITUTE('worker file'!$A$2:$A$406,_xlfn.UNICHAR(160)," ")),'worker file'!$D$2:$D$406,"Not found")</f>
        <v>CA</v>
      </c>
      <c r="D630" s="36" t="str">
        <f t="array" ref="D630">_xlfn.XLOOKUP($A630,TRIM(SUBSTITUTE('worker file'!$A$2:$A$406,_xlfn.UNICHAR(160)," ")),'worker file'!$Q$2:$Q$406,"Not found")</f>
        <v>Active</v>
      </c>
      <c r="E630" s="35" t="s">
        <v>632</v>
      </c>
      <c r="F630" t="str">
        <f t="shared" si="69"/>
        <v>Dental – Employee</v>
      </c>
      <c r="G630" t="str">
        <f t="shared" si="70"/>
        <v>Pre-tax Section 125 (exempt from FIT/SIT/FICA)</v>
      </c>
      <c r="H630" t="str">
        <f t="shared" si="71"/>
        <v>Flat</v>
      </c>
      <c r="I630" s="40" t="str">
        <f>IF($H630="Percent",_xlfn.XLOOKUP($E630,$A$5:$A$8,$F$5:$F$8,""),"")</f>
        <v/>
      </c>
      <c r="J630" s="38">
        <f t="shared" si="72"/>
        <v>44</v>
      </c>
      <c r="K630" t="str">
        <f t="shared" si="73"/>
        <v>Per pay period</v>
      </c>
      <c r="L630" t="str">
        <f t="shared" si="74"/>
        <v>Every pay period (ongoing)</v>
      </c>
      <c r="M630" s="39">
        <f t="array" ref="M630">MAX(_xlfn.XLOOKUP($A630,TRIM(SUBSTITUTE('worker file'!$A$2:$A$406,_xlfn.UNICHAR(160)," ")),'worker file'!$M$2:$M$406,0),_xlfn.XLOOKUP($B630,TRIM('pay group &amp; schedule'!$A$2:$A$6),'pay group &amp; schedule'!$D$2:$D$6,0))</f>
        <v>46299</v>
      </c>
      <c r="N630" s="39" t="str">
        <f t="array" ref="N630">_xlfn.LET(_xlpm.t,_xlfn.XLOOKUP($A630,TRIM(SUBSTITUTE('worker file'!$A$2:$A$406,_xlfn.UNICHAR(160)," ")),'worker file'!$N$2:$N$406,""),IF(N(_xlpm.t)=0,"",_xlpm.t))</f>
        <v/>
      </c>
    </row>
    <row r="631" spans="1:14" x14ac:dyDescent="0.2">
      <c r="A631" s="35" t="s">
        <v>318</v>
      </c>
      <c r="B631" s="36" t="str">
        <f t="array" ref="B631">_xlfn.XLOOKUP($A631,TRIM(SUBSTITUTE('worker file'!$A$2:$A$406,_xlfn.UNICHAR(160)," ")),'worker file'!$L$2:$L$406,"Not found")</f>
        <v>US Biweekly</v>
      </c>
      <c r="C631" s="36" t="str">
        <f t="array" ref="C631">_xlfn.XLOOKUP($A631,TRIM(SUBSTITUTE('worker file'!$A$2:$A$406,_xlfn.UNICHAR(160)," ")),'worker file'!$D$2:$D$406,"Not found")</f>
        <v>CA</v>
      </c>
      <c r="D631" s="36" t="str">
        <f t="array" ref="D631">_xlfn.XLOOKUP($A631,TRIM(SUBSTITUTE('worker file'!$A$2:$A$406,_xlfn.UNICHAR(160)," ")),'worker file'!$Q$2:$Q$406,"Not found")</f>
        <v>Active</v>
      </c>
      <c r="E631" s="35" t="s">
        <v>634</v>
      </c>
      <c r="F631" t="str">
        <f t="shared" si="69"/>
        <v>Vision – Employee</v>
      </c>
      <c r="G631" t="str">
        <f t="shared" si="70"/>
        <v>Pre-tax Section 125 (exempt from FIT/SIT/FICA)</v>
      </c>
      <c r="H631" t="str">
        <f t="shared" si="71"/>
        <v>Flat</v>
      </c>
      <c r="I631" s="40" t="str">
        <f>IF($H631="Percent",_xlfn.XLOOKUP($E631,$A$5:$A$8,$F$5:$F$8,""),"")</f>
        <v/>
      </c>
      <c r="J631" s="38">
        <f t="shared" si="72"/>
        <v>30</v>
      </c>
      <c r="K631" t="str">
        <f t="shared" si="73"/>
        <v>Per pay period</v>
      </c>
      <c r="L631" t="str">
        <f t="shared" si="74"/>
        <v>Every pay period (ongoing)</v>
      </c>
      <c r="M631" s="39">
        <f t="array" ref="M631">MAX(_xlfn.XLOOKUP($A631,TRIM(SUBSTITUTE('worker file'!$A$2:$A$406,_xlfn.UNICHAR(160)," ")),'worker file'!$M$2:$M$406,0),_xlfn.XLOOKUP($B631,TRIM('pay group &amp; schedule'!$A$2:$A$6),'pay group &amp; schedule'!$D$2:$D$6,0))</f>
        <v>46299</v>
      </c>
      <c r="N631" s="39" t="str">
        <f t="array" ref="N631">_xlfn.LET(_xlpm.t,_xlfn.XLOOKUP($A631,TRIM(SUBSTITUTE('worker file'!$A$2:$A$406,_xlfn.UNICHAR(160)," ")),'worker file'!$N$2:$N$406,""),IF(N(_xlpm.t)=0,"",_xlpm.t))</f>
        <v/>
      </c>
    </row>
    <row r="632" spans="1:14" x14ac:dyDescent="0.2">
      <c r="A632" s="35" t="s">
        <v>320</v>
      </c>
      <c r="B632" s="36" t="str">
        <f t="array" ref="B632">_xlfn.XLOOKUP($A632,TRIM(SUBSTITUTE('worker file'!$A$2:$A$406,_xlfn.UNICHAR(160)," ")),'worker file'!$L$2:$L$406,"Not found")</f>
        <v>US Semi-monthly</v>
      </c>
      <c r="C632" s="36" t="str">
        <f t="array" ref="C632">_xlfn.XLOOKUP($A632,TRIM(SUBSTITUTE('worker file'!$A$2:$A$406,_xlfn.UNICHAR(160)," ")),'worker file'!$D$2:$D$406,"Not found")</f>
        <v>TX</v>
      </c>
      <c r="D632" s="36" t="str">
        <f t="array" ref="D632">_xlfn.XLOOKUP($A632,TRIM(SUBSTITUTE('worker file'!$A$2:$A$406,_xlfn.UNICHAR(160)," ")),'worker file'!$Q$2:$Q$406,"Not found")</f>
        <v>Active</v>
      </c>
      <c r="E632" s="35" t="s">
        <v>618</v>
      </c>
      <c r="F632" t="str">
        <f t="shared" si="69"/>
        <v>401(k) Employee Deferral</v>
      </c>
      <c r="G632" t="str">
        <f t="shared" si="70"/>
        <v>Pre-tax (exempt from FIT/SIT; subject to FICA)</v>
      </c>
      <c r="H632" t="str">
        <f t="shared" si="71"/>
        <v>Percent</v>
      </c>
      <c r="I632" s="37">
        <v>0.06</v>
      </c>
      <c r="J632" s="38" t="str">
        <f t="shared" si="72"/>
        <v/>
      </c>
      <c r="K632" t="str">
        <f t="shared" si="73"/>
        <v>Gross pay</v>
      </c>
      <c r="L632" t="str">
        <f t="shared" si="74"/>
        <v>Every pay period (ongoing)</v>
      </c>
      <c r="M632" s="39">
        <f t="array" ref="M632">MAX(_xlfn.XLOOKUP($A632,TRIM(SUBSTITUTE('worker file'!$A$2:$A$406,_xlfn.UNICHAR(160)," ")),'worker file'!$M$2:$M$406,0),_xlfn.XLOOKUP($B632,TRIM('pay group &amp; schedule'!$A$2:$A$6),'pay group &amp; schedule'!$D$2:$D$6,0))</f>
        <v>46311</v>
      </c>
      <c r="N632" s="39" t="str">
        <f t="array" ref="N632">_xlfn.LET(_xlpm.t,_xlfn.XLOOKUP($A632,TRIM(SUBSTITUTE('worker file'!$A$2:$A$406,_xlfn.UNICHAR(160)," ")),'worker file'!$N$2:$N$406,""),IF(N(_xlpm.t)=0,"",_xlpm.t))</f>
        <v/>
      </c>
    </row>
    <row r="633" spans="1:14" x14ac:dyDescent="0.2">
      <c r="A633" s="35" t="s">
        <v>320</v>
      </c>
      <c r="B633" s="36" t="str">
        <f t="array" ref="B633">_xlfn.XLOOKUP($A633,TRIM(SUBSTITUTE('worker file'!$A$2:$A$406,_xlfn.UNICHAR(160)," ")),'worker file'!$L$2:$L$406,"Not found")</f>
        <v>US Semi-monthly</v>
      </c>
      <c r="C633" s="36" t="str">
        <f t="array" ref="C633">_xlfn.XLOOKUP($A633,TRIM(SUBSTITUTE('worker file'!$A$2:$A$406,_xlfn.UNICHAR(160)," ")),'worker file'!$D$2:$D$406,"Not found")</f>
        <v>TX</v>
      </c>
      <c r="D633" s="36" t="str">
        <f t="array" ref="D633">_xlfn.XLOOKUP($A633,TRIM(SUBSTITUTE('worker file'!$A$2:$A$406,_xlfn.UNICHAR(160)," ")),'worker file'!$Q$2:$Q$406,"Not found")</f>
        <v>Active</v>
      </c>
      <c r="E633" s="35" t="s">
        <v>626</v>
      </c>
      <c r="F633" t="str">
        <f t="shared" si="69"/>
        <v>Medical (Health) – Employee</v>
      </c>
      <c r="G633" t="str">
        <f t="shared" si="70"/>
        <v>Pre-tax Section 125 (exempt from FIT/SIT/FICA)</v>
      </c>
      <c r="H633" t="str">
        <f t="shared" si="71"/>
        <v>Flat</v>
      </c>
      <c r="I633" s="40" t="str">
        <f>IF($H633="Percent",_xlfn.XLOOKUP($E633,$A$5:$A$8,$F$5:$F$8,""),"")</f>
        <v/>
      </c>
      <c r="J633" s="38">
        <f t="shared" si="72"/>
        <v>200</v>
      </c>
      <c r="K633" t="str">
        <f t="shared" si="73"/>
        <v>Per pay period</v>
      </c>
      <c r="L633" t="str">
        <f t="shared" si="74"/>
        <v>Every pay period (ongoing)</v>
      </c>
      <c r="M633" s="39">
        <f t="array" ref="M633">MAX(_xlfn.XLOOKUP($A633,TRIM(SUBSTITUTE('worker file'!$A$2:$A$406,_xlfn.UNICHAR(160)," ")),'worker file'!$M$2:$M$406,0),_xlfn.XLOOKUP($B633,TRIM('pay group &amp; schedule'!$A$2:$A$6),'pay group &amp; schedule'!$D$2:$D$6,0))</f>
        <v>46311</v>
      </c>
      <c r="N633" s="39" t="str">
        <f t="array" ref="N633">_xlfn.LET(_xlpm.t,_xlfn.XLOOKUP($A633,TRIM(SUBSTITUTE('worker file'!$A$2:$A$406,_xlfn.UNICHAR(160)," ")),'worker file'!$N$2:$N$406,""),IF(N(_xlpm.t)=0,"",_xlpm.t))</f>
        <v/>
      </c>
    </row>
    <row r="634" spans="1:14" x14ac:dyDescent="0.2">
      <c r="A634" s="35" t="s">
        <v>320</v>
      </c>
      <c r="B634" s="36" t="str">
        <f t="array" ref="B634">_xlfn.XLOOKUP($A634,TRIM(SUBSTITUTE('worker file'!$A$2:$A$406,_xlfn.UNICHAR(160)," ")),'worker file'!$L$2:$L$406,"Not found")</f>
        <v>US Semi-monthly</v>
      </c>
      <c r="C634" s="36" t="str">
        <f t="array" ref="C634">_xlfn.XLOOKUP($A634,TRIM(SUBSTITUTE('worker file'!$A$2:$A$406,_xlfn.UNICHAR(160)," ")),'worker file'!$D$2:$D$406,"Not found")</f>
        <v>TX</v>
      </c>
      <c r="D634" s="36" t="str">
        <f t="array" ref="D634">_xlfn.XLOOKUP($A634,TRIM(SUBSTITUTE('worker file'!$A$2:$A$406,_xlfn.UNICHAR(160)," ")),'worker file'!$Q$2:$Q$406,"Not found")</f>
        <v>Active</v>
      </c>
      <c r="E634" s="35" t="s">
        <v>632</v>
      </c>
      <c r="F634" t="str">
        <f t="shared" si="69"/>
        <v>Dental – Employee</v>
      </c>
      <c r="G634" t="str">
        <f t="shared" si="70"/>
        <v>Pre-tax Section 125 (exempt from FIT/SIT/FICA)</v>
      </c>
      <c r="H634" t="str">
        <f t="shared" si="71"/>
        <v>Flat</v>
      </c>
      <c r="I634" s="40" t="str">
        <f>IF($H634="Percent",_xlfn.XLOOKUP($E634,$A$5:$A$8,$F$5:$F$8,""),"")</f>
        <v/>
      </c>
      <c r="J634" s="38">
        <f t="shared" si="72"/>
        <v>44</v>
      </c>
      <c r="K634" t="str">
        <f t="shared" si="73"/>
        <v>Per pay period</v>
      </c>
      <c r="L634" t="str">
        <f t="shared" si="74"/>
        <v>Every pay period (ongoing)</v>
      </c>
      <c r="M634" s="39">
        <f t="array" ref="M634">MAX(_xlfn.XLOOKUP($A634,TRIM(SUBSTITUTE('worker file'!$A$2:$A$406,_xlfn.UNICHAR(160)," ")),'worker file'!$M$2:$M$406,0),_xlfn.XLOOKUP($B634,TRIM('pay group &amp; schedule'!$A$2:$A$6),'pay group &amp; schedule'!$D$2:$D$6,0))</f>
        <v>46311</v>
      </c>
      <c r="N634" s="39" t="str">
        <f t="array" ref="N634">_xlfn.LET(_xlpm.t,_xlfn.XLOOKUP($A634,TRIM(SUBSTITUTE('worker file'!$A$2:$A$406,_xlfn.UNICHAR(160)," ")),'worker file'!$N$2:$N$406,""),IF(N(_xlpm.t)=0,"",_xlpm.t))</f>
        <v/>
      </c>
    </row>
    <row r="635" spans="1:14" x14ac:dyDescent="0.2">
      <c r="A635" s="35" t="s">
        <v>320</v>
      </c>
      <c r="B635" s="36" t="str">
        <f t="array" ref="B635">_xlfn.XLOOKUP($A635,TRIM(SUBSTITUTE('worker file'!$A$2:$A$406,_xlfn.UNICHAR(160)," ")),'worker file'!$L$2:$L$406,"Not found")</f>
        <v>US Semi-monthly</v>
      </c>
      <c r="C635" s="36" t="str">
        <f t="array" ref="C635">_xlfn.XLOOKUP($A635,TRIM(SUBSTITUTE('worker file'!$A$2:$A$406,_xlfn.UNICHAR(160)," ")),'worker file'!$D$2:$D$406,"Not found")</f>
        <v>TX</v>
      </c>
      <c r="D635" s="36" t="str">
        <f t="array" ref="D635">_xlfn.XLOOKUP($A635,TRIM(SUBSTITUTE('worker file'!$A$2:$A$406,_xlfn.UNICHAR(160)," ")),'worker file'!$Q$2:$Q$406,"Not found")</f>
        <v>Active</v>
      </c>
      <c r="E635" s="35" t="s">
        <v>634</v>
      </c>
      <c r="F635" t="str">
        <f t="shared" si="69"/>
        <v>Vision – Employee</v>
      </c>
      <c r="G635" t="str">
        <f t="shared" si="70"/>
        <v>Pre-tax Section 125 (exempt from FIT/SIT/FICA)</v>
      </c>
      <c r="H635" t="str">
        <f t="shared" si="71"/>
        <v>Flat</v>
      </c>
      <c r="I635" s="40" t="str">
        <f>IF($H635="Percent",_xlfn.XLOOKUP($E635,$A$5:$A$8,$F$5:$F$8,""),"")</f>
        <v/>
      </c>
      <c r="J635" s="38">
        <f t="shared" si="72"/>
        <v>30</v>
      </c>
      <c r="K635" t="str">
        <f t="shared" si="73"/>
        <v>Per pay period</v>
      </c>
      <c r="L635" t="str">
        <f t="shared" si="74"/>
        <v>Every pay period (ongoing)</v>
      </c>
      <c r="M635" s="39">
        <f t="array" ref="M635">MAX(_xlfn.XLOOKUP($A635,TRIM(SUBSTITUTE('worker file'!$A$2:$A$406,_xlfn.UNICHAR(160)," ")),'worker file'!$M$2:$M$406,0),_xlfn.XLOOKUP($B635,TRIM('pay group &amp; schedule'!$A$2:$A$6),'pay group &amp; schedule'!$D$2:$D$6,0))</f>
        <v>46311</v>
      </c>
      <c r="N635" s="39" t="str">
        <f t="array" ref="N635">_xlfn.LET(_xlpm.t,_xlfn.XLOOKUP($A635,TRIM(SUBSTITUTE('worker file'!$A$2:$A$406,_xlfn.UNICHAR(160)," ")),'worker file'!$N$2:$N$406,""),IF(N(_xlpm.t)=0,"",_xlpm.t))</f>
        <v/>
      </c>
    </row>
    <row r="636" spans="1:14" x14ac:dyDescent="0.2">
      <c r="A636" s="35" t="s">
        <v>321</v>
      </c>
      <c r="B636" s="36" t="str">
        <f t="array" ref="B636">_xlfn.XLOOKUP($A636,TRIM(SUBSTITUTE('worker file'!$A$2:$A$406,_xlfn.UNICHAR(160)," ")),'worker file'!$L$2:$L$406,"Not found")</f>
        <v>US Semi-monthly</v>
      </c>
      <c r="C636" s="36" t="str">
        <f t="array" ref="C636">_xlfn.XLOOKUP($A636,TRIM(SUBSTITUTE('worker file'!$A$2:$A$406,_xlfn.UNICHAR(160)," ")),'worker file'!$D$2:$D$406,"Not found")</f>
        <v>CA</v>
      </c>
      <c r="D636" s="36" t="str">
        <f t="array" ref="D636">_xlfn.XLOOKUP($A636,TRIM(SUBSTITUTE('worker file'!$A$2:$A$406,_xlfn.UNICHAR(160)," ")),'worker file'!$Q$2:$Q$406,"Not found")</f>
        <v>Active</v>
      </c>
      <c r="E636" s="35" t="s">
        <v>618</v>
      </c>
      <c r="F636" t="str">
        <f t="shared" si="69"/>
        <v>401(k) Employee Deferral</v>
      </c>
      <c r="G636" t="str">
        <f t="shared" si="70"/>
        <v>Pre-tax (exempt from FIT/SIT; subject to FICA)</v>
      </c>
      <c r="H636" t="str">
        <f t="shared" si="71"/>
        <v>Percent</v>
      </c>
      <c r="I636" s="37">
        <v>0.03</v>
      </c>
      <c r="J636" s="38" t="str">
        <f t="shared" si="72"/>
        <v/>
      </c>
      <c r="K636" t="str">
        <f t="shared" si="73"/>
        <v>Gross pay</v>
      </c>
      <c r="L636" t="str">
        <f t="shared" si="74"/>
        <v>Every pay period (ongoing)</v>
      </c>
      <c r="M636" s="39">
        <f t="array" ref="M636">MAX(_xlfn.XLOOKUP($A636,TRIM(SUBSTITUTE('worker file'!$A$2:$A$406,_xlfn.UNICHAR(160)," ")),'worker file'!$M$2:$M$406,0),_xlfn.XLOOKUP($B636,TRIM('pay group &amp; schedule'!$A$2:$A$6),'pay group &amp; schedule'!$D$2:$D$6,0))</f>
        <v>46311</v>
      </c>
      <c r="N636" s="39" t="str">
        <f t="array" ref="N636">_xlfn.LET(_xlpm.t,_xlfn.XLOOKUP($A636,TRIM(SUBSTITUTE('worker file'!$A$2:$A$406,_xlfn.UNICHAR(160)," ")),'worker file'!$N$2:$N$406,""),IF(N(_xlpm.t)=0,"",_xlpm.t))</f>
        <v/>
      </c>
    </row>
    <row r="637" spans="1:14" x14ac:dyDescent="0.2">
      <c r="A637" s="35" t="s">
        <v>321</v>
      </c>
      <c r="B637" s="36" t="str">
        <f t="array" ref="B637">_xlfn.XLOOKUP($A637,TRIM(SUBSTITUTE('worker file'!$A$2:$A$406,_xlfn.UNICHAR(160)," ")),'worker file'!$L$2:$L$406,"Not found")</f>
        <v>US Semi-monthly</v>
      </c>
      <c r="C637" s="36" t="str">
        <f t="array" ref="C637">_xlfn.XLOOKUP($A637,TRIM(SUBSTITUTE('worker file'!$A$2:$A$406,_xlfn.UNICHAR(160)," ")),'worker file'!$D$2:$D$406,"Not found")</f>
        <v>CA</v>
      </c>
      <c r="D637" s="36" t="str">
        <f t="array" ref="D637">_xlfn.XLOOKUP($A637,TRIM(SUBSTITUTE('worker file'!$A$2:$A$406,_xlfn.UNICHAR(160)," ")),'worker file'!$Q$2:$Q$406,"Not found")</f>
        <v>Active</v>
      </c>
      <c r="E637" s="35" t="s">
        <v>626</v>
      </c>
      <c r="F637" t="str">
        <f t="shared" si="69"/>
        <v>Medical (Health) – Employee</v>
      </c>
      <c r="G637" t="str">
        <f t="shared" si="70"/>
        <v>Pre-tax Section 125 (exempt from FIT/SIT/FICA)</v>
      </c>
      <c r="H637" t="str">
        <f t="shared" si="71"/>
        <v>Flat</v>
      </c>
      <c r="I637" s="40" t="str">
        <f t="shared" ref="I637:I642" si="76">IF($H637="Percent",_xlfn.XLOOKUP($E637,$A$5:$A$8,$F$5:$F$8,""),"")</f>
        <v/>
      </c>
      <c r="J637" s="38">
        <f t="shared" si="72"/>
        <v>200</v>
      </c>
      <c r="K637" t="str">
        <f t="shared" si="73"/>
        <v>Per pay period</v>
      </c>
      <c r="L637" t="str">
        <f t="shared" si="74"/>
        <v>Every pay period (ongoing)</v>
      </c>
      <c r="M637" s="39">
        <f t="array" ref="M637">MAX(_xlfn.XLOOKUP($A637,TRIM(SUBSTITUTE('worker file'!$A$2:$A$406,_xlfn.UNICHAR(160)," ")),'worker file'!$M$2:$M$406,0),_xlfn.XLOOKUP($B637,TRIM('pay group &amp; schedule'!$A$2:$A$6),'pay group &amp; schedule'!$D$2:$D$6,0))</f>
        <v>46311</v>
      </c>
      <c r="N637" s="39" t="str">
        <f t="array" ref="N637">_xlfn.LET(_xlpm.t,_xlfn.XLOOKUP($A637,TRIM(SUBSTITUTE('worker file'!$A$2:$A$406,_xlfn.UNICHAR(160)," ")),'worker file'!$N$2:$N$406,""),IF(N(_xlpm.t)=0,"",_xlpm.t))</f>
        <v/>
      </c>
    </row>
    <row r="638" spans="1:14" x14ac:dyDescent="0.2">
      <c r="A638" s="35" t="s">
        <v>321</v>
      </c>
      <c r="B638" s="36" t="str">
        <f t="array" ref="B638">_xlfn.XLOOKUP($A638,TRIM(SUBSTITUTE('worker file'!$A$2:$A$406,_xlfn.UNICHAR(160)," ")),'worker file'!$L$2:$L$406,"Not found")</f>
        <v>US Semi-monthly</v>
      </c>
      <c r="C638" s="36" t="str">
        <f t="array" ref="C638">_xlfn.XLOOKUP($A638,TRIM(SUBSTITUTE('worker file'!$A$2:$A$406,_xlfn.UNICHAR(160)," ")),'worker file'!$D$2:$D$406,"Not found")</f>
        <v>CA</v>
      </c>
      <c r="D638" s="36" t="str">
        <f t="array" ref="D638">_xlfn.XLOOKUP($A638,TRIM(SUBSTITUTE('worker file'!$A$2:$A$406,_xlfn.UNICHAR(160)," ")),'worker file'!$Q$2:$Q$406,"Not found")</f>
        <v>Active</v>
      </c>
      <c r="E638" s="35" t="s">
        <v>632</v>
      </c>
      <c r="F638" t="str">
        <f t="shared" si="69"/>
        <v>Dental – Employee</v>
      </c>
      <c r="G638" t="str">
        <f t="shared" si="70"/>
        <v>Pre-tax Section 125 (exempt from FIT/SIT/FICA)</v>
      </c>
      <c r="H638" t="str">
        <f t="shared" si="71"/>
        <v>Flat</v>
      </c>
      <c r="I638" s="40" t="str">
        <f t="shared" si="76"/>
        <v/>
      </c>
      <c r="J638" s="38">
        <f t="shared" si="72"/>
        <v>44</v>
      </c>
      <c r="K638" t="str">
        <f t="shared" si="73"/>
        <v>Per pay period</v>
      </c>
      <c r="L638" t="str">
        <f t="shared" si="74"/>
        <v>Every pay period (ongoing)</v>
      </c>
      <c r="M638" s="39">
        <f t="array" ref="M638">MAX(_xlfn.XLOOKUP($A638,TRIM(SUBSTITUTE('worker file'!$A$2:$A$406,_xlfn.UNICHAR(160)," ")),'worker file'!$M$2:$M$406,0),_xlfn.XLOOKUP($B638,TRIM('pay group &amp; schedule'!$A$2:$A$6),'pay group &amp; schedule'!$D$2:$D$6,0))</f>
        <v>46311</v>
      </c>
      <c r="N638" s="39" t="str">
        <f t="array" ref="N638">_xlfn.LET(_xlpm.t,_xlfn.XLOOKUP($A638,TRIM(SUBSTITUTE('worker file'!$A$2:$A$406,_xlfn.UNICHAR(160)," ")),'worker file'!$N$2:$N$406,""),IF(N(_xlpm.t)=0,"",_xlpm.t))</f>
        <v/>
      </c>
    </row>
    <row r="639" spans="1:14" x14ac:dyDescent="0.2">
      <c r="A639" s="35" t="s">
        <v>321</v>
      </c>
      <c r="B639" s="36" t="str">
        <f t="array" ref="B639">_xlfn.XLOOKUP($A639,TRIM(SUBSTITUTE('worker file'!$A$2:$A$406,_xlfn.UNICHAR(160)," ")),'worker file'!$L$2:$L$406,"Not found")</f>
        <v>US Semi-monthly</v>
      </c>
      <c r="C639" s="36" t="str">
        <f t="array" ref="C639">_xlfn.XLOOKUP($A639,TRIM(SUBSTITUTE('worker file'!$A$2:$A$406,_xlfn.UNICHAR(160)," ")),'worker file'!$D$2:$D$406,"Not found")</f>
        <v>CA</v>
      </c>
      <c r="D639" s="36" t="str">
        <f t="array" ref="D639">_xlfn.XLOOKUP($A639,TRIM(SUBSTITUTE('worker file'!$A$2:$A$406,_xlfn.UNICHAR(160)," ")),'worker file'!$Q$2:$Q$406,"Not found")</f>
        <v>Active</v>
      </c>
      <c r="E639" s="35" t="s">
        <v>634</v>
      </c>
      <c r="F639" t="str">
        <f t="shared" si="69"/>
        <v>Vision – Employee</v>
      </c>
      <c r="G639" t="str">
        <f t="shared" si="70"/>
        <v>Pre-tax Section 125 (exempt from FIT/SIT/FICA)</v>
      </c>
      <c r="H639" t="str">
        <f t="shared" si="71"/>
        <v>Flat</v>
      </c>
      <c r="I639" s="40" t="str">
        <f t="shared" si="76"/>
        <v/>
      </c>
      <c r="J639" s="38">
        <f t="shared" si="72"/>
        <v>30</v>
      </c>
      <c r="K639" t="str">
        <f t="shared" si="73"/>
        <v>Per pay period</v>
      </c>
      <c r="L639" t="str">
        <f t="shared" si="74"/>
        <v>Every pay period (ongoing)</v>
      </c>
      <c r="M639" s="39">
        <f t="array" ref="M639">MAX(_xlfn.XLOOKUP($A639,TRIM(SUBSTITUTE('worker file'!$A$2:$A$406,_xlfn.UNICHAR(160)," ")),'worker file'!$M$2:$M$406,0),_xlfn.XLOOKUP($B639,TRIM('pay group &amp; schedule'!$A$2:$A$6),'pay group &amp; schedule'!$D$2:$D$6,0))</f>
        <v>46311</v>
      </c>
      <c r="N639" s="39" t="str">
        <f t="array" ref="N639">_xlfn.LET(_xlpm.t,_xlfn.XLOOKUP($A639,TRIM(SUBSTITUTE('worker file'!$A$2:$A$406,_xlfn.UNICHAR(160)," ")),'worker file'!$N$2:$N$406,""),IF(N(_xlpm.t)=0,"",_xlpm.t))</f>
        <v/>
      </c>
    </row>
    <row r="640" spans="1:14" x14ac:dyDescent="0.2">
      <c r="A640" s="35" t="s">
        <v>322</v>
      </c>
      <c r="B640" s="36" t="str">
        <f t="array" ref="B640">_xlfn.XLOOKUP($A640,TRIM(SUBSTITUTE('worker file'!$A$2:$A$406,_xlfn.UNICHAR(160)," ")),'worker file'!$L$2:$L$406,"Not found")</f>
        <v>US Semi-monthly</v>
      </c>
      <c r="C640" s="36" t="str">
        <f t="array" ref="C640">_xlfn.XLOOKUP($A640,TRIM(SUBSTITUTE('worker file'!$A$2:$A$406,_xlfn.UNICHAR(160)," ")),'worker file'!$D$2:$D$406,"Not found")</f>
        <v>CA</v>
      </c>
      <c r="D640" s="36" t="str">
        <f t="array" ref="D640">_xlfn.XLOOKUP($A640,TRIM(SUBSTITUTE('worker file'!$A$2:$A$406,_xlfn.UNICHAR(160)," ")),'worker file'!$Q$2:$Q$406,"Not found")</f>
        <v>Active</v>
      </c>
      <c r="E640" s="35" t="s">
        <v>626</v>
      </c>
      <c r="F640" t="str">
        <f t="shared" si="69"/>
        <v>Medical (Health) – Employee</v>
      </c>
      <c r="G640" t="str">
        <f t="shared" si="70"/>
        <v>Pre-tax Section 125 (exempt from FIT/SIT/FICA)</v>
      </c>
      <c r="H640" t="str">
        <f t="shared" si="71"/>
        <v>Flat</v>
      </c>
      <c r="I640" s="40" t="str">
        <f t="shared" si="76"/>
        <v/>
      </c>
      <c r="J640" s="38">
        <f t="shared" si="72"/>
        <v>200</v>
      </c>
      <c r="K640" t="str">
        <f t="shared" si="73"/>
        <v>Per pay period</v>
      </c>
      <c r="L640" t="str">
        <f t="shared" si="74"/>
        <v>Every pay period (ongoing)</v>
      </c>
      <c r="M640" s="39">
        <f t="array" ref="M640">MAX(_xlfn.XLOOKUP($A640,TRIM(SUBSTITUTE('worker file'!$A$2:$A$406,_xlfn.UNICHAR(160)," ")),'worker file'!$M$2:$M$406,0),_xlfn.XLOOKUP($B640,TRIM('pay group &amp; schedule'!$A$2:$A$6),'pay group &amp; schedule'!$D$2:$D$6,0))</f>
        <v>46311</v>
      </c>
      <c r="N640" s="39" t="str">
        <f t="array" ref="N640">_xlfn.LET(_xlpm.t,_xlfn.XLOOKUP($A640,TRIM(SUBSTITUTE('worker file'!$A$2:$A$406,_xlfn.UNICHAR(160)," ")),'worker file'!$N$2:$N$406,""),IF(N(_xlpm.t)=0,"",_xlpm.t))</f>
        <v/>
      </c>
    </row>
    <row r="641" spans="1:14" x14ac:dyDescent="0.2">
      <c r="A641" s="35" t="s">
        <v>322</v>
      </c>
      <c r="B641" s="36" t="str">
        <f t="array" ref="B641">_xlfn.XLOOKUP($A641,TRIM(SUBSTITUTE('worker file'!$A$2:$A$406,_xlfn.UNICHAR(160)," ")),'worker file'!$L$2:$L$406,"Not found")</f>
        <v>US Semi-monthly</v>
      </c>
      <c r="C641" s="36" t="str">
        <f t="array" ref="C641">_xlfn.XLOOKUP($A641,TRIM(SUBSTITUTE('worker file'!$A$2:$A$406,_xlfn.UNICHAR(160)," ")),'worker file'!$D$2:$D$406,"Not found")</f>
        <v>CA</v>
      </c>
      <c r="D641" s="36" t="str">
        <f t="array" ref="D641">_xlfn.XLOOKUP($A641,TRIM(SUBSTITUTE('worker file'!$A$2:$A$406,_xlfn.UNICHAR(160)," ")),'worker file'!$Q$2:$Q$406,"Not found")</f>
        <v>Active</v>
      </c>
      <c r="E641" s="35" t="s">
        <v>632</v>
      </c>
      <c r="F641" t="str">
        <f t="shared" si="69"/>
        <v>Dental – Employee</v>
      </c>
      <c r="G641" t="str">
        <f t="shared" si="70"/>
        <v>Pre-tax Section 125 (exempt from FIT/SIT/FICA)</v>
      </c>
      <c r="H641" t="str">
        <f t="shared" si="71"/>
        <v>Flat</v>
      </c>
      <c r="I641" s="40" t="str">
        <f t="shared" si="76"/>
        <v/>
      </c>
      <c r="J641" s="38">
        <f t="shared" si="72"/>
        <v>44</v>
      </c>
      <c r="K641" t="str">
        <f t="shared" si="73"/>
        <v>Per pay period</v>
      </c>
      <c r="L641" t="str">
        <f t="shared" si="74"/>
        <v>Every pay period (ongoing)</v>
      </c>
      <c r="M641" s="39">
        <f t="array" ref="M641">MAX(_xlfn.XLOOKUP($A641,TRIM(SUBSTITUTE('worker file'!$A$2:$A$406,_xlfn.UNICHAR(160)," ")),'worker file'!$M$2:$M$406,0),_xlfn.XLOOKUP($B641,TRIM('pay group &amp; schedule'!$A$2:$A$6),'pay group &amp; schedule'!$D$2:$D$6,0))</f>
        <v>46311</v>
      </c>
      <c r="N641" s="39" t="str">
        <f t="array" ref="N641">_xlfn.LET(_xlpm.t,_xlfn.XLOOKUP($A641,TRIM(SUBSTITUTE('worker file'!$A$2:$A$406,_xlfn.UNICHAR(160)," ")),'worker file'!$N$2:$N$406,""),IF(N(_xlpm.t)=0,"",_xlpm.t))</f>
        <v/>
      </c>
    </row>
    <row r="642" spans="1:14" x14ac:dyDescent="0.2">
      <c r="A642" s="35" t="s">
        <v>322</v>
      </c>
      <c r="B642" s="36" t="str">
        <f t="array" ref="B642">_xlfn.XLOOKUP($A642,TRIM(SUBSTITUTE('worker file'!$A$2:$A$406,_xlfn.UNICHAR(160)," ")),'worker file'!$L$2:$L$406,"Not found")</f>
        <v>US Semi-monthly</v>
      </c>
      <c r="C642" s="36" t="str">
        <f t="array" ref="C642">_xlfn.XLOOKUP($A642,TRIM(SUBSTITUTE('worker file'!$A$2:$A$406,_xlfn.UNICHAR(160)," ")),'worker file'!$D$2:$D$406,"Not found")</f>
        <v>CA</v>
      </c>
      <c r="D642" s="36" t="str">
        <f t="array" ref="D642">_xlfn.XLOOKUP($A642,TRIM(SUBSTITUTE('worker file'!$A$2:$A$406,_xlfn.UNICHAR(160)," ")),'worker file'!$Q$2:$Q$406,"Not found")</f>
        <v>Active</v>
      </c>
      <c r="E642" s="35" t="s">
        <v>634</v>
      </c>
      <c r="F642" t="str">
        <f t="shared" si="69"/>
        <v>Vision – Employee</v>
      </c>
      <c r="G642" t="str">
        <f t="shared" si="70"/>
        <v>Pre-tax Section 125 (exempt from FIT/SIT/FICA)</v>
      </c>
      <c r="H642" t="str">
        <f t="shared" si="71"/>
        <v>Flat</v>
      </c>
      <c r="I642" s="40" t="str">
        <f t="shared" si="76"/>
        <v/>
      </c>
      <c r="J642" s="38">
        <f t="shared" si="72"/>
        <v>30</v>
      </c>
      <c r="K642" t="str">
        <f t="shared" si="73"/>
        <v>Per pay period</v>
      </c>
      <c r="L642" t="str">
        <f t="shared" si="74"/>
        <v>Every pay period (ongoing)</v>
      </c>
      <c r="M642" s="39">
        <f t="array" ref="M642">MAX(_xlfn.XLOOKUP($A642,TRIM(SUBSTITUTE('worker file'!$A$2:$A$406,_xlfn.UNICHAR(160)," ")),'worker file'!$M$2:$M$406,0),_xlfn.XLOOKUP($B642,TRIM('pay group &amp; schedule'!$A$2:$A$6),'pay group &amp; schedule'!$D$2:$D$6,0))</f>
        <v>46311</v>
      </c>
      <c r="N642" s="39" t="str">
        <f t="array" ref="N642">_xlfn.LET(_xlpm.t,_xlfn.XLOOKUP($A642,TRIM(SUBSTITUTE('worker file'!$A$2:$A$406,_xlfn.UNICHAR(160)," ")),'worker file'!$N$2:$N$406,""),IF(N(_xlpm.t)=0,"",_xlpm.t))</f>
        <v/>
      </c>
    </row>
    <row r="643" spans="1:14" x14ac:dyDescent="0.2">
      <c r="A643" s="35" t="s">
        <v>323</v>
      </c>
      <c r="B643" s="36" t="str">
        <f t="array" ref="B643">_xlfn.XLOOKUP($A643,TRIM(SUBSTITUTE('worker file'!$A$2:$A$406,_xlfn.UNICHAR(160)," ")),'worker file'!$L$2:$L$406,"Not found")</f>
        <v>US Semi-monthly</v>
      </c>
      <c r="C643" s="36" t="str">
        <f t="array" ref="C643">_xlfn.XLOOKUP($A643,TRIM(SUBSTITUTE('worker file'!$A$2:$A$406,_xlfn.UNICHAR(160)," ")),'worker file'!$D$2:$D$406,"Not found")</f>
        <v>CA</v>
      </c>
      <c r="D643" s="36" t="str">
        <f t="array" ref="D643">_xlfn.XLOOKUP($A643,TRIM(SUBSTITUTE('worker file'!$A$2:$A$406,_xlfn.UNICHAR(160)," ")),'worker file'!$Q$2:$Q$406,"Not found")</f>
        <v>Active</v>
      </c>
      <c r="E643" s="35" t="s">
        <v>618</v>
      </c>
      <c r="F643" t="str">
        <f t="shared" si="69"/>
        <v>401(k) Employee Deferral</v>
      </c>
      <c r="G643" t="str">
        <f t="shared" si="70"/>
        <v>Pre-tax (exempt from FIT/SIT; subject to FICA)</v>
      </c>
      <c r="H643" t="str">
        <f t="shared" si="71"/>
        <v>Percent</v>
      </c>
      <c r="I643" s="37">
        <v>0.05</v>
      </c>
      <c r="J643" s="38" t="str">
        <f t="shared" si="72"/>
        <v/>
      </c>
      <c r="K643" t="str">
        <f t="shared" si="73"/>
        <v>Gross pay</v>
      </c>
      <c r="L643" t="str">
        <f t="shared" si="74"/>
        <v>Every pay period (ongoing)</v>
      </c>
      <c r="M643" s="39">
        <f t="array" ref="M643">MAX(_xlfn.XLOOKUP($A643,TRIM(SUBSTITUTE('worker file'!$A$2:$A$406,_xlfn.UNICHAR(160)," ")),'worker file'!$M$2:$M$406,0),_xlfn.XLOOKUP($B643,TRIM('pay group &amp; schedule'!$A$2:$A$6),'pay group &amp; schedule'!$D$2:$D$6,0))</f>
        <v>46311</v>
      </c>
      <c r="N643" s="39" t="str">
        <f t="array" ref="N643">_xlfn.LET(_xlpm.t,_xlfn.XLOOKUP($A643,TRIM(SUBSTITUTE('worker file'!$A$2:$A$406,_xlfn.UNICHAR(160)," ")),'worker file'!$N$2:$N$406,""),IF(N(_xlpm.t)=0,"",_xlpm.t))</f>
        <v/>
      </c>
    </row>
    <row r="644" spans="1:14" x14ac:dyDescent="0.2">
      <c r="A644" s="35" t="s">
        <v>323</v>
      </c>
      <c r="B644" s="36" t="str">
        <f t="array" ref="B644">_xlfn.XLOOKUP($A644,TRIM(SUBSTITUTE('worker file'!$A$2:$A$406,_xlfn.UNICHAR(160)," ")),'worker file'!$L$2:$L$406,"Not found")</f>
        <v>US Semi-monthly</v>
      </c>
      <c r="C644" s="36" t="str">
        <f t="array" ref="C644">_xlfn.XLOOKUP($A644,TRIM(SUBSTITUTE('worker file'!$A$2:$A$406,_xlfn.UNICHAR(160)," ")),'worker file'!$D$2:$D$406,"Not found")</f>
        <v>CA</v>
      </c>
      <c r="D644" s="36" t="str">
        <f t="array" ref="D644">_xlfn.XLOOKUP($A644,TRIM(SUBSTITUTE('worker file'!$A$2:$A$406,_xlfn.UNICHAR(160)," ")),'worker file'!$Q$2:$Q$406,"Not found")</f>
        <v>Active</v>
      </c>
      <c r="E644" s="35" t="s">
        <v>626</v>
      </c>
      <c r="F644" t="str">
        <f t="shared" si="69"/>
        <v>Medical (Health) – Employee</v>
      </c>
      <c r="G644" t="str">
        <f t="shared" si="70"/>
        <v>Pre-tax Section 125 (exempt from FIT/SIT/FICA)</v>
      </c>
      <c r="H644" t="str">
        <f t="shared" si="71"/>
        <v>Flat</v>
      </c>
      <c r="I644" s="40" t="str">
        <f>IF($H644="Percent",_xlfn.XLOOKUP($E644,$A$5:$A$8,$F$5:$F$8,""),"")</f>
        <v/>
      </c>
      <c r="J644" s="38">
        <f t="shared" si="72"/>
        <v>200</v>
      </c>
      <c r="K644" t="str">
        <f t="shared" si="73"/>
        <v>Per pay period</v>
      </c>
      <c r="L644" t="str">
        <f t="shared" si="74"/>
        <v>Every pay period (ongoing)</v>
      </c>
      <c r="M644" s="39">
        <f t="array" ref="M644">MAX(_xlfn.XLOOKUP($A644,TRIM(SUBSTITUTE('worker file'!$A$2:$A$406,_xlfn.UNICHAR(160)," ")),'worker file'!$M$2:$M$406,0),_xlfn.XLOOKUP($B644,TRIM('pay group &amp; schedule'!$A$2:$A$6),'pay group &amp; schedule'!$D$2:$D$6,0))</f>
        <v>46311</v>
      </c>
      <c r="N644" s="39" t="str">
        <f t="array" ref="N644">_xlfn.LET(_xlpm.t,_xlfn.XLOOKUP($A644,TRIM(SUBSTITUTE('worker file'!$A$2:$A$406,_xlfn.UNICHAR(160)," ")),'worker file'!$N$2:$N$406,""),IF(N(_xlpm.t)=0,"",_xlpm.t))</f>
        <v/>
      </c>
    </row>
    <row r="645" spans="1:14" x14ac:dyDescent="0.2">
      <c r="A645" s="35" t="s">
        <v>323</v>
      </c>
      <c r="B645" s="36" t="str">
        <f t="array" ref="B645">_xlfn.XLOOKUP($A645,TRIM(SUBSTITUTE('worker file'!$A$2:$A$406,_xlfn.UNICHAR(160)," ")),'worker file'!$L$2:$L$406,"Not found")</f>
        <v>US Semi-monthly</v>
      </c>
      <c r="C645" s="36" t="str">
        <f t="array" ref="C645">_xlfn.XLOOKUP($A645,TRIM(SUBSTITUTE('worker file'!$A$2:$A$406,_xlfn.UNICHAR(160)," ")),'worker file'!$D$2:$D$406,"Not found")</f>
        <v>CA</v>
      </c>
      <c r="D645" s="36" t="str">
        <f t="array" ref="D645">_xlfn.XLOOKUP($A645,TRIM(SUBSTITUTE('worker file'!$A$2:$A$406,_xlfn.UNICHAR(160)," ")),'worker file'!$Q$2:$Q$406,"Not found")</f>
        <v>Active</v>
      </c>
      <c r="E645" s="35" t="s">
        <v>632</v>
      </c>
      <c r="F645" t="str">
        <f t="shared" si="69"/>
        <v>Dental – Employee</v>
      </c>
      <c r="G645" t="str">
        <f t="shared" si="70"/>
        <v>Pre-tax Section 125 (exempt from FIT/SIT/FICA)</v>
      </c>
      <c r="H645" t="str">
        <f t="shared" si="71"/>
        <v>Flat</v>
      </c>
      <c r="I645" s="40" t="str">
        <f>IF($H645="Percent",_xlfn.XLOOKUP($E645,$A$5:$A$8,$F$5:$F$8,""),"")</f>
        <v/>
      </c>
      <c r="J645" s="38">
        <f t="shared" si="72"/>
        <v>44</v>
      </c>
      <c r="K645" t="str">
        <f t="shared" si="73"/>
        <v>Per pay period</v>
      </c>
      <c r="L645" t="str">
        <f t="shared" si="74"/>
        <v>Every pay period (ongoing)</v>
      </c>
      <c r="M645" s="39">
        <f t="array" ref="M645">MAX(_xlfn.XLOOKUP($A645,TRIM(SUBSTITUTE('worker file'!$A$2:$A$406,_xlfn.UNICHAR(160)," ")),'worker file'!$M$2:$M$406,0),_xlfn.XLOOKUP($B645,TRIM('pay group &amp; schedule'!$A$2:$A$6),'pay group &amp; schedule'!$D$2:$D$6,0))</f>
        <v>46311</v>
      </c>
      <c r="N645" s="39" t="str">
        <f t="array" ref="N645">_xlfn.LET(_xlpm.t,_xlfn.XLOOKUP($A645,TRIM(SUBSTITUTE('worker file'!$A$2:$A$406,_xlfn.UNICHAR(160)," ")),'worker file'!$N$2:$N$406,""),IF(N(_xlpm.t)=0,"",_xlpm.t))</f>
        <v/>
      </c>
    </row>
    <row r="646" spans="1:14" x14ac:dyDescent="0.2">
      <c r="A646" s="35" t="s">
        <v>323</v>
      </c>
      <c r="B646" s="36" t="str">
        <f t="array" ref="B646">_xlfn.XLOOKUP($A646,TRIM(SUBSTITUTE('worker file'!$A$2:$A$406,_xlfn.UNICHAR(160)," ")),'worker file'!$L$2:$L$406,"Not found")</f>
        <v>US Semi-monthly</v>
      </c>
      <c r="C646" s="36" t="str">
        <f t="array" ref="C646">_xlfn.XLOOKUP($A646,TRIM(SUBSTITUTE('worker file'!$A$2:$A$406,_xlfn.UNICHAR(160)," ")),'worker file'!$D$2:$D$406,"Not found")</f>
        <v>CA</v>
      </c>
      <c r="D646" s="36" t="str">
        <f t="array" ref="D646">_xlfn.XLOOKUP($A646,TRIM(SUBSTITUTE('worker file'!$A$2:$A$406,_xlfn.UNICHAR(160)," ")),'worker file'!$Q$2:$Q$406,"Not found")</f>
        <v>Active</v>
      </c>
      <c r="E646" s="35" t="s">
        <v>634</v>
      </c>
      <c r="F646" t="str">
        <f t="shared" si="69"/>
        <v>Vision – Employee</v>
      </c>
      <c r="G646" t="str">
        <f t="shared" si="70"/>
        <v>Pre-tax Section 125 (exempt from FIT/SIT/FICA)</v>
      </c>
      <c r="H646" t="str">
        <f t="shared" si="71"/>
        <v>Flat</v>
      </c>
      <c r="I646" s="40" t="str">
        <f>IF($H646="Percent",_xlfn.XLOOKUP($E646,$A$5:$A$8,$F$5:$F$8,""),"")</f>
        <v/>
      </c>
      <c r="J646" s="38">
        <f t="shared" si="72"/>
        <v>30</v>
      </c>
      <c r="K646" t="str">
        <f t="shared" si="73"/>
        <v>Per pay period</v>
      </c>
      <c r="L646" t="str">
        <f t="shared" si="74"/>
        <v>Every pay period (ongoing)</v>
      </c>
      <c r="M646" s="39">
        <f t="array" ref="M646">MAX(_xlfn.XLOOKUP($A646,TRIM(SUBSTITUTE('worker file'!$A$2:$A$406,_xlfn.UNICHAR(160)," ")),'worker file'!$M$2:$M$406,0),_xlfn.XLOOKUP($B646,TRIM('pay group &amp; schedule'!$A$2:$A$6),'pay group &amp; schedule'!$D$2:$D$6,0))</f>
        <v>46311</v>
      </c>
      <c r="N646" s="39" t="str">
        <f t="array" ref="N646">_xlfn.LET(_xlpm.t,_xlfn.XLOOKUP($A646,TRIM(SUBSTITUTE('worker file'!$A$2:$A$406,_xlfn.UNICHAR(160)," ")),'worker file'!$N$2:$N$406,""),IF(N(_xlpm.t)=0,"",_xlpm.t))</f>
        <v/>
      </c>
    </row>
    <row r="647" spans="1:14" x14ac:dyDescent="0.2">
      <c r="A647" s="35" t="s">
        <v>324</v>
      </c>
      <c r="B647" s="36" t="str">
        <f t="array" ref="B647">_xlfn.XLOOKUP($A647,TRIM(SUBSTITUTE('worker file'!$A$2:$A$406,_xlfn.UNICHAR(160)," ")),'worker file'!$L$2:$L$406,"Not found")</f>
        <v>US Biweekly</v>
      </c>
      <c r="C647" s="36" t="str">
        <f t="array" ref="C647">_xlfn.XLOOKUP($A647,TRIM(SUBSTITUTE('worker file'!$A$2:$A$406,_xlfn.UNICHAR(160)," ")),'worker file'!$D$2:$D$406,"Not found")</f>
        <v>CA</v>
      </c>
      <c r="D647" s="36" t="str">
        <f t="array" ref="D647">_xlfn.XLOOKUP($A647,TRIM(SUBSTITUTE('worker file'!$A$2:$A$406,_xlfn.UNICHAR(160)," ")),'worker file'!$Q$2:$Q$406,"Not found")</f>
        <v>Active</v>
      </c>
      <c r="E647" s="35" t="s">
        <v>618</v>
      </c>
      <c r="F647" t="str">
        <f t="shared" si="69"/>
        <v>401(k) Employee Deferral</v>
      </c>
      <c r="G647" t="str">
        <f t="shared" si="70"/>
        <v>Pre-tax (exempt from FIT/SIT; subject to FICA)</v>
      </c>
      <c r="H647" t="str">
        <f t="shared" si="71"/>
        <v>Percent</v>
      </c>
      <c r="I647" s="37">
        <v>0.02</v>
      </c>
      <c r="J647" s="38" t="str">
        <f t="shared" si="72"/>
        <v/>
      </c>
      <c r="K647" t="str">
        <f t="shared" si="73"/>
        <v>Gross pay</v>
      </c>
      <c r="L647" t="str">
        <f t="shared" si="74"/>
        <v>Every pay period (ongoing)</v>
      </c>
      <c r="M647" s="39">
        <f t="array" ref="M647">MAX(_xlfn.XLOOKUP($A647,TRIM(SUBSTITUTE('worker file'!$A$2:$A$406,_xlfn.UNICHAR(160)," ")),'worker file'!$M$2:$M$406,0),_xlfn.XLOOKUP($B647,TRIM('pay group &amp; schedule'!$A$2:$A$6),'pay group &amp; schedule'!$D$2:$D$6,0))</f>
        <v>46299</v>
      </c>
      <c r="N647" s="39" t="str">
        <f t="array" ref="N647">_xlfn.LET(_xlpm.t,_xlfn.XLOOKUP($A647,TRIM(SUBSTITUTE('worker file'!$A$2:$A$406,_xlfn.UNICHAR(160)," ")),'worker file'!$N$2:$N$406,""),IF(N(_xlpm.t)=0,"",_xlpm.t))</f>
        <v/>
      </c>
    </row>
    <row r="648" spans="1:14" x14ac:dyDescent="0.2">
      <c r="A648" s="35" t="s">
        <v>324</v>
      </c>
      <c r="B648" s="36" t="str">
        <f t="array" ref="B648">_xlfn.XLOOKUP($A648,TRIM(SUBSTITUTE('worker file'!$A$2:$A$406,_xlfn.UNICHAR(160)," ")),'worker file'!$L$2:$L$406,"Not found")</f>
        <v>US Biweekly</v>
      </c>
      <c r="C648" s="36" t="str">
        <f t="array" ref="C648">_xlfn.XLOOKUP($A648,TRIM(SUBSTITUTE('worker file'!$A$2:$A$406,_xlfn.UNICHAR(160)," ")),'worker file'!$D$2:$D$406,"Not found")</f>
        <v>CA</v>
      </c>
      <c r="D648" s="36" t="str">
        <f t="array" ref="D648">_xlfn.XLOOKUP($A648,TRIM(SUBSTITUTE('worker file'!$A$2:$A$406,_xlfn.UNICHAR(160)," ")),'worker file'!$Q$2:$Q$406,"Not found")</f>
        <v>Active</v>
      </c>
      <c r="E648" s="35" t="s">
        <v>626</v>
      </c>
      <c r="F648" t="str">
        <f t="shared" si="69"/>
        <v>Medical (Health) – Employee</v>
      </c>
      <c r="G648" t="str">
        <f t="shared" si="70"/>
        <v>Pre-tax Section 125 (exempt from FIT/SIT/FICA)</v>
      </c>
      <c r="H648" t="str">
        <f t="shared" si="71"/>
        <v>Flat</v>
      </c>
      <c r="I648" s="40" t="str">
        <f>IF($H648="Percent",_xlfn.XLOOKUP($E648,$A$5:$A$8,$F$5:$F$8,""),"")</f>
        <v/>
      </c>
      <c r="J648" s="38">
        <f t="shared" si="72"/>
        <v>200</v>
      </c>
      <c r="K648" t="str">
        <f t="shared" si="73"/>
        <v>Per pay period</v>
      </c>
      <c r="L648" t="str">
        <f t="shared" si="74"/>
        <v>Every pay period (ongoing)</v>
      </c>
      <c r="M648" s="39">
        <f t="array" ref="M648">MAX(_xlfn.XLOOKUP($A648,TRIM(SUBSTITUTE('worker file'!$A$2:$A$406,_xlfn.UNICHAR(160)," ")),'worker file'!$M$2:$M$406,0),_xlfn.XLOOKUP($B648,TRIM('pay group &amp; schedule'!$A$2:$A$6),'pay group &amp; schedule'!$D$2:$D$6,0))</f>
        <v>46299</v>
      </c>
      <c r="N648" s="39" t="str">
        <f t="array" ref="N648">_xlfn.LET(_xlpm.t,_xlfn.XLOOKUP($A648,TRIM(SUBSTITUTE('worker file'!$A$2:$A$406,_xlfn.UNICHAR(160)," ")),'worker file'!$N$2:$N$406,""),IF(N(_xlpm.t)=0,"",_xlpm.t))</f>
        <v/>
      </c>
    </row>
    <row r="649" spans="1:14" x14ac:dyDescent="0.2">
      <c r="A649" s="35" t="s">
        <v>324</v>
      </c>
      <c r="B649" s="36" t="str">
        <f t="array" ref="B649">_xlfn.XLOOKUP($A649,TRIM(SUBSTITUTE('worker file'!$A$2:$A$406,_xlfn.UNICHAR(160)," ")),'worker file'!$L$2:$L$406,"Not found")</f>
        <v>US Biweekly</v>
      </c>
      <c r="C649" s="36" t="str">
        <f t="array" ref="C649">_xlfn.XLOOKUP($A649,TRIM(SUBSTITUTE('worker file'!$A$2:$A$406,_xlfn.UNICHAR(160)," ")),'worker file'!$D$2:$D$406,"Not found")</f>
        <v>CA</v>
      </c>
      <c r="D649" s="36" t="str">
        <f t="array" ref="D649">_xlfn.XLOOKUP($A649,TRIM(SUBSTITUTE('worker file'!$A$2:$A$406,_xlfn.UNICHAR(160)," ")),'worker file'!$Q$2:$Q$406,"Not found")</f>
        <v>Active</v>
      </c>
      <c r="E649" s="35" t="s">
        <v>632</v>
      </c>
      <c r="F649" t="str">
        <f t="shared" si="69"/>
        <v>Dental – Employee</v>
      </c>
      <c r="G649" t="str">
        <f t="shared" si="70"/>
        <v>Pre-tax Section 125 (exempt from FIT/SIT/FICA)</v>
      </c>
      <c r="H649" t="str">
        <f t="shared" si="71"/>
        <v>Flat</v>
      </c>
      <c r="I649" s="40" t="str">
        <f>IF($H649="Percent",_xlfn.XLOOKUP($E649,$A$5:$A$8,$F$5:$F$8,""),"")</f>
        <v/>
      </c>
      <c r="J649" s="38">
        <f t="shared" si="72"/>
        <v>44</v>
      </c>
      <c r="K649" t="str">
        <f t="shared" si="73"/>
        <v>Per pay period</v>
      </c>
      <c r="L649" t="str">
        <f t="shared" si="74"/>
        <v>Every pay period (ongoing)</v>
      </c>
      <c r="M649" s="39">
        <f t="array" ref="M649">MAX(_xlfn.XLOOKUP($A649,TRIM(SUBSTITUTE('worker file'!$A$2:$A$406,_xlfn.UNICHAR(160)," ")),'worker file'!$M$2:$M$406,0),_xlfn.XLOOKUP($B649,TRIM('pay group &amp; schedule'!$A$2:$A$6),'pay group &amp; schedule'!$D$2:$D$6,0))</f>
        <v>46299</v>
      </c>
      <c r="N649" s="39" t="str">
        <f t="array" ref="N649">_xlfn.LET(_xlpm.t,_xlfn.XLOOKUP($A649,TRIM(SUBSTITUTE('worker file'!$A$2:$A$406,_xlfn.UNICHAR(160)," ")),'worker file'!$N$2:$N$406,""),IF(N(_xlpm.t)=0,"",_xlpm.t))</f>
        <v/>
      </c>
    </row>
    <row r="650" spans="1:14" x14ac:dyDescent="0.2">
      <c r="A650" s="35" t="s">
        <v>324</v>
      </c>
      <c r="B650" s="36" t="str">
        <f t="array" ref="B650">_xlfn.XLOOKUP($A650,TRIM(SUBSTITUTE('worker file'!$A$2:$A$406,_xlfn.UNICHAR(160)," ")),'worker file'!$L$2:$L$406,"Not found")</f>
        <v>US Biweekly</v>
      </c>
      <c r="C650" s="36" t="str">
        <f t="array" ref="C650">_xlfn.XLOOKUP($A650,TRIM(SUBSTITUTE('worker file'!$A$2:$A$406,_xlfn.UNICHAR(160)," ")),'worker file'!$D$2:$D$406,"Not found")</f>
        <v>CA</v>
      </c>
      <c r="D650" s="36" t="str">
        <f t="array" ref="D650">_xlfn.XLOOKUP($A650,TRIM(SUBSTITUTE('worker file'!$A$2:$A$406,_xlfn.UNICHAR(160)," ")),'worker file'!$Q$2:$Q$406,"Not found")</f>
        <v>Active</v>
      </c>
      <c r="E650" s="35" t="s">
        <v>634</v>
      </c>
      <c r="F650" t="str">
        <f t="shared" si="69"/>
        <v>Vision – Employee</v>
      </c>
      <c r="G650" t="str">
        <f t="shared" si="70"/>
        <v>Pre-tax Section 125 (exempt from FIT/SIT/FICA)</v>
      </c>
      <c r="H650" t="str">
        <f t="shared" si="71"/>
        <v>Flat</v>
      </c>
      <c r="I650" s="40" t="str">
        <f>IF($H650="Percent",_xlfn.XLOOKUP($E650,$A$5:$A$8,$F$5:$F$8,""),"")</f>
        <v/>
      </c>
      <c r="J650" s="38">
        <f t="shared" si="72"/>
        <v>30</v>
      </c>
      <c r="K650" t="str">
        <f t="shared" si="73"/>
        <v>Per pay period</v>
      </c>
      <c r="L650" t="str">
        <f t="shared" si="74"/>
        <v>Every pay period (ongoing)</v>
      </c>
      <c r="M650" s="39">
        <f t="array" ref="M650">MAX(_xlfn.XLOOKUP($A650,TRIM(SUBSTITUTE('worker file'!$A$2:$A$406,_xlfn.UNICHAR(160)," ")),'worker file'!$M$2:$M$406,0),_xlfn.XLOOKUP($B650,TRIM('pay group &amp; schedule'!$A$2:$A$6),'pay group &amp; schedule'!$D$2:$D$6,0))</f>
        <v>46299</v>
      </c>
      <c r="N650" s="39" t="str">
        <f t="array" ref="N650">_xlfn.LET(_xlpm.t,_xlfn.XLOOKUP($A650,TRIM(SUBSTITUTE('worker file'!$A$2:$A$406,_xlfn.UNICHAR(160)," ")),'worker file'!$N$2:$N$406,""),IF(N(_xlpm.t)=0,"",_xlpm.t))</f>
        <v/>
      </c>
    </row>
    <row r="651" spans="1:14" x14ac:dyDescent="0.2">
      <c r="A651" s="35" t="s">
        <v>326</v>
      </c>
      <c r="B651" s="36" t="str">
        <f t="array" ref="B651">_xlfn.XLOOKUP($A651,TRIM(SUBSTITUTE('worker file'!$A$2:$A$406,_xlfn.UNICHAR(160)," ")),'worker file'!$L$2:$L$406,"Not found")</f>
        <v>US Semi-monthly</v>
      </c>
      <c r="C651" s="36" t="str">
        <f t="array" ref="C651">_xlfn.XLOOKUP($A651,TRIM(SUBSTITUTE('worker file'!$A$2:$A$406,_xlfn.UNICHAR(160)," ")),'worker file'!$D$2:$D$406,"Not found")</f>
        <v>CA</v>
      </c>
      <c r="D651" s="36" t="str">
        <f t="array" ref="D651">_xlfn.XLOOKUP($A651,TRIM(SUBSTITUTE('worker file'!$A$2:$A$406,_xlfn.UNICHAR(160)," ")),'worker file'!$Q$2:$Q$406,"Not found")</f>
        <v>Active</v>
      </c>
      <c r="E651" s="35" t="s">
        <v>618</v>
      </c>
      <c r="F651" t="str">
        <f t="shared" si="69"/>
        <v>401(k) Employee Deferral</v>
      </c>
      <c r="G651" t="str">
        <f t="shared" si="70"/>
        <v>Pre-tax (exempt from FIT/SIT; subject to FICA)</v>
      </c>
      <c r="H651" t="str">
        <f t="shared" si="71"/>
        <v>Percent</v>
      </c>
      <c r="I651" s="37">
        <v>7.0000000000000007E-2</v>
      </c>
      <c r="J651" s="38" t="str">
        <f t="shared" si="72"/>
        <v/>
      </c>
      <c r="K651" t="str">
        <f t="shared" si="73"/>
        <v>Gross pay</v>
      </c>
      <c r="L651" t="str">
        <f t="shared" si="74"/>
        <v>Every pay period (ongoing)</v>
      </c>
      <c r="M651" s="39">
        <f t="array" ref="M651">MAX(_xlfn.XLOOKUP($A651,TRIM(SUBSTITUTE('worker file'!$A$2:$A$406,_xlfn.UNICHAR(160)," ")),'worker file'!$M$2:$M$406,0),_xlfn.XLOOKUP($B651,TRIM('pay group &amp; schedule'!$A$2:$A$6),'pay group &amp; schedule'!$D$2:$D$6,0))</f>
        <v>46311</v>
      </c>
      <c r="N651" s="39" t="str">
        <f t="array" ref="N651">_xlfn.LET(_xlpm.t,_xlfn.XLOOKUP($A651,TRIM(SUBSTITUTE('worker file'!$A$2:$A$406,_xlfn.UNICHAR(160)," ")),'worker file'!$N$2:$N$406,""),IF(N(_xlpm.t)=0,"",_xlpm.t))</f>
        <v/>
      </c>
    </row>
    <row r="652" spans="1:14" x14ac:dyDescent="0.2">
      <c r="A652" s="35" t="s">
        <v>326</v>
      </c>
      <c r="B652" s="36" t="str">
        <f t="array" ref="B652">_xlfn.XLOOKUP($A652,TRIM(SUBSTITUTE('worker file'!$A$2:$A$406,_xlfn.UNICHAR(160)," ")),'worker file'!$L$2:$L$406,"Not found")</f>
        <v>US Semi-monthly</v>
      </c>
      <c r="C652" s="36" t="str">
        <f t="array" ref="C652">_xlfn.XLOOKUP($A652,TRIM(SUBSTITUTE('worker file'!$A$2:$A$406,_xlfn.UNICHAR(160)," ")),'worker file'!$D$2:$D$406,"Not found")</f>
        <v>CA</v>
      </c>
      <c r="D652" s="36" t="str">
        <f t="array" ref="D652">_xlfn.XLOOKUP($A652,TRIM(SUBSTITUTE('worker file'!$A$2:$A$406,_xlfn.UNICHAR(160)," ")),'worker file'!$Q$2:$Q$406,"Not found")</f>
        <v>Active</v>
      </c>
      <c r="E652" s="35" t="s">
        <v>626</v>
      </c>
      <c r="F652" t="str">
        <f t="shared" ref="F652:F715" si="77">_xlfn.XLOOKUP($E652,$A$5:$A$8,$B$5:$B$8,"")</f>
        <v>Medical (Health) – Employee</v>
      </c>
      <c r="G652" t="str">
        <f t="shared" ref="G652:G715" si="78">_xlfn.XLOOKUP($E652,$A$5:$A$8,$D$5:$D$8,"")</f>
        <v>Pre-tax Section 125 (exempt from FIT/SIT/FICA)</v>
      </c>
      <c r="H652" t="str">
        <f t="shared" ref="H652:H715" si="79">_xlfn.XLOOKUP($E652,$A$5:$A$8,$E$5:$E$8,"")</f>
        <v>Flat</v>
      </c>
      <c r="I652" s="40" t="str">
        <f>IF($H652="Percent",_xlfn.XLOOKUP($E652,$A$5:$A$8,$F$5:$F$8,""),"")</f>
        <v/>
      </c>
      <c r="J652" s="38">
        <f t="shared" ref="J652:J715" si="80">IF($H652="Flat",_xlfn.XLOOKUP($E652,$A$5:$A$8,$F$5:$F$8,""),"")</f>
        <v>200</v>
      </c>
      <c r="K652" t="str">
        <f t="shared" ref="K652:K715" si="81">_xlfn.XLOOKUP($E652,$A$5:$A$8,$G$5:$G$8,"")</f>
        <v>Per pay period</v>
      </c>
      <c r="L652" t="str">
        <f t="shared" ref="L652:L715" si="82">_xlfn.XLOOKUP($E652,$A$5:$A$8,$H$5:$H$8,"")</f>
        <v>Every pay period (ongoing)</v>
      </c>
      <c r="M652" s="39">
        <f t="array" ref="M652">MAX(_xlfn.XLOOKUP($A652,TRIM(SUBSTITUTE('worker file'!$A$2:$A$406,_xlfn.UNICHAR(160)," ")),'worker file'!$M$2:$M$406,0),_xlfn.XLOOKUP($B652,TRIM('pay group &amp; schedule'!$A$2:$A$6),'pay group &amp; schedule'!$D$2:$D$6,0))</f>
        <v>46311</v>
      </c>
      <c r="N652" s="39" t="str">
        <f t="array" ref="N652">_xlfn.LET(_xlpm.t,_xlfn.XLOOKUP($A652,TRIM(SUBSTITUTE('worker file'!$A$2:$A$406,_xlfn.UNICHAR(160)," ")),'worker file'!$N$2:$N$406,""),IF(N(_xlpm.t)=0,"",_xlpm.t))</f>
        <v/>
      </c>
    </row>
    <row r="653" spans="1:14" x14ac:dyDescent="0.2">
      <c r="A653" s="35" t="s">
        <v>326</v>
      </c>
      <c r="B653" s="36" t="str">
        <f t="array" ref="B653">_xlfn.XLOOKUP($A653,TRIM(SUBSTITUTE('worker file'!$A$2:$A$406,_xlfn.UNICHAR(160)," ")),'worker file'!$L$2:$L$406,"Not found")</f>
        <v>US Semi-monthly</v>
      </c>
      <c r="C653" s="36" t="str">
        <f t="array" ref="C653">_xlfn.XLOOKUP($A653,TRIM(SUBSTITUTE('worker file'!$A$2:$A$406,_xlfn.UNICHAR(160)," ")),'worker file'!$D$2:$D$406,"Not found")</f>
        <v>CA</v>
      </c>
      <c r="D653" s="36" t="str">
        <f t="array" ref="D653">_xlfn.XLOOKUP($A653,TRIM(SUBSTITUTE('worker file'!$A$2:$A$406,_xlfn.UNICHAR(160)," ")),'worker file'!$Q$2:$Q$406,"Not found")</f>
        <v>Active</v>
      </c>
      <c r="E653" s="35" t="s">
        <v>632</v>
      </c>
      <c r="F653" t="str">
        <f t="shared" si="77"/>
        <v>Dental – Employee</v>
      </c>
      <c r="G653" t="str">
        <f t="shared" si="78"/>
        <v>Pre-tax Section 125 (exempt from FIT/SIT/FICA)</v>
      </c>
      <c r="H653" t="str">
        <f t="shared" si="79"/>
        <v>Flat</v>
      </c>
      <c r="I653" s="40" t="str">
        <f>IF($H653="Percent",_xlfn.XLOOKUP($E653,$A$5:$A$8,$F$5:$F$8,""),"")</f>
        <v/>
      </c>
      <c r="J653" s="38">
        <f t="shared" si="80"/>
        <v>44</v>
      </c>
      <c r="K653" t="str">
        <f t="shared" si="81"/>
        <v>Per pay period</v>
      </c>
      <c r="L653" t="str">
        <f t="shared" si="82"/>
        <v>Every pay period (ongoing)</v>
      </c>
      <c r="M653" s="39">
        <f t="array" ref="M653">MAX(_xlfn.XLOOKUP($A653,TRIM(SUBSTITUTE('worker file'!$A$2:$A$406,_xlfn.UNICHAR(160)," ")),'worker file'!$M$2:$M$406,0),_xlfn.XLOOKUP($B653,TRIM('pay group &amp; schedule'!$A$2:$A$6),'pay group &amp; schedule'!$D$2:$D$6,0))</f>
        <v>46311</v>
      </c>
      <c r="N653" s="39" t="str">
        <f t="array" ref="N653">_xlfn.LET(_xlpm.t,_xlfn.XLOOKUP($A653,TRIM(SUBSTITUTE('worker file'!$A$2:$A$406,_xlfn.UNICHAR(160)," ")),'worker file'!$N$2:$N$406,""),IF(N(_xlpm.t)=0,"",_xlpm.t))</f>
        <v/>
      </c>
    </row>
    <row r="654" spans="1:14" x14ac:dyDescent="0.2">
      <c r="A654" s="35" t="s">
        <v>326</v>
      </c>
      <c r="B654" s="36" t="str">
        <f t="array" ref="B654">_xlfn.XLOOKUP($A654,TRIM(SUBSTITUTE('worker file'!$A$2:$A$406,_xlfn.UNICHAR(160)," ")),'worker file'!$L$2:$L$406,"Not found")</f>
        <v>US Semi-monthly</v>
      </c>
      <c r="C654" s="36" t="str">
        <f t="array" ref="C654">_xlfn.XLOOKUP($A654,TRIM(SUBSTITUTE('worker file'!$A$2:$A$406,_xlfn.UNICHAR(160)," ")),'worker file'!$D$2:$D$406,"Not found")</f>
        <v>CA</v>
      </c>
      <c r="D654" s="36" t="str">
        <f t="array" ref="D654">_xlfn.XLOOKUP($A654,TRIM(SUBSTITUTE('worker file'!$A$2:$A$406,_xlfn.UNICHAR(160)," ")),'worker file'!$Q$2:$Q$406,"Not found")</f>
        <v>Active</v>
      </c>
      <c r="E654" s="35" t="s">
        <v>634</v>
      </c>
      <c r="F654" t="str">
        <f t="shared" si="77"/>
        <v>Vision – Employee</v>
      </c>
      <c r="G654" t="str">
        <f t="shared" si="78"/>
        <v>Pre-tax Section 125 (exempt from FIT/SIT/FICA)</v>
      </c>
      <c r="H654" t="str">
        <f t="shared" si="79"/>
        <v>Flat</v>
      </c>
      <c r="I654" s="40" t="str">
        <f>IF($H654="Percent",_xlfn.XLOOKUP($E654,$A$5:$A$8,$F$5:$F$8,""),"")</f>
        <v/>
      </c>
      <c r="J654" s="38">
        <f t="shared" si="80"/>
        <v>30</v>
      </c>
      <c r="K654" t="str">
        <f t="shared" si="81"/>
        <v>Per pay period</v>
      </c>
      <c r="L654" t="str">
        <f t="shared" si="82"/>
        <v>Every pay period (ongoing)</v>
      </c>
      <c r="M654" s="39">
        <f t="array" ref="M654">MAX(_xlfn.XLOOKUP($A654,TRIM(SUBSTITUTE('worker file'!$A$2:$A$406,_xlfn.UNICHAR(160)," ")),'worker file'!$M$2:$M$406,0),_xlfn.XLOOKUP($B654,TRIM('pay group &amp; schedule'!$A$2:$A$6),'pay group &amp; schedule'!$D$2:$D$6,0))</f>
        <v>46311</v>
      </c>
      <c r="N654" s="39" t="str">
        <f t="array" ref="N654">_xlfn.LET(_xlpm.t,_xlfn.XLOOKUP($A654,TRIM(SUBSTITUTE('worker file'!$A$2:$A$406,_xlfn.UNICHAR(160)," ")),'worker file'!$N$2:$N$406,""),IF(N(_xlpm.t)=0,"",_xlpm.t))</f>
        <v/>
      </c>
    </row>
    <row r="655" spans="1:14" x14ac:dyDescent="0.2">
      <c r="A655" s="35" t="s">
        <v>327</v>
      </c>
      <c r="B655" s="36" t="str">
        <f t="array" ref="B655">_xlfn.XLOOKUP($A655,TRIM(SUBSTITUTE('worker file'!$A$2:$A$406,_xlfn.UNICHAR(160)," ")),'worker file'!$L$2:$L$406,"Not found")</f>
        <v>US Semi-monthly</v>
      </c>
      <c r="C655" s="36" t="str">
        <f t="array" ref="C655">_xlfn.XLOOKUP($A655,TRIM(SUBSTITUTE('worker file'!$A$2:$A$406,_xlfn.UNICHAR(160)," ")),'worker file'!$D$2:$D$406,"Not found")</f>
        <v>TX</v>
      </c>
      <c r="D655" s="36" t="str">
        <f t="array" ref="D655">_xlfn.XLOOKUP($A655,TRIM(SUBSTITUTE('worker file'!$A$2:$A$406,_xlfn.UNICHAR(160)," ")),'worker file'!$Q$2:$Q$406,"Not found")</f>
        <v>Active</v>
      </c>
      <c r="E655" s="35" t="s">
        <v>618</v>
      </c>
      <c r="F655" t="str">
        <f t="shared" si="77"/>
        <v>401(k) Employee Deferral</v>
      </c>
      <c r="G655" t="str">
        <f t="shared" si="78"/>
        <v>Pre-tax (exempt from FIT/SIT; subject to FICA)</v>
      </c>
      <c r="H655" t="str">
        <f t="shared" si="79"/>
        <v>Percent</v>
      </c>
      <c r="I655" s="37">
        <v>0.04</v>
      </c>
      <c r="J655" s="38" t="str">
        <f t="shared" si="80"/>
        <v/>
      </c>
      <c r="K655" t="str">
        <f t="shared" si="81"/>
        <v>Gross pay</v>
      </c>
      <c r="L655" t="str">
        <f t="shared" si="82"/>
        <v>Every pay period (ongoing)</v>
      </c>
      <c r="M655" s="39">
        <f t="array" ref="M655">MAX(_xlfn.XLOOKUP($A655,TRIM(SUBSTITUTE('worker file'!$A$2:$A$406,_xlfn.UNICHAR(160)," ")),'worker file'!$M$2:$M$406,0),_xlfn.XLOOKUP($B655,TRIM('pay group &amp; schedule'!$A$2:$A$6),'pay group &amp; schedule'!$D$2:$D$6,0))</f>
        <v>46311</v>
      </c>
      <c r="N655" s="39" t="str">
        <f t="array" ref="N655">_xlfn.LET(_xlpm.t,_xlfn.XLOOKUP($A655,TRIM(SUBSTITUTE('worker file'!$A$2:$A$406,_xlfn.UNICHAR(160)," ")),'worker file'!$N$2:$N$406,""),IF(N(_xlpm.t)=0,"",_xlpm.t))</f>
        <v/>
      </c>
    </row>
    <row r="656" spans="1:14" x14ac:dyDescent="0.2">
      <c r="A656" s="35" t="s">
        <v>327</v>
      </c>
      <c r="B656" s="36" t="str">
        <f t="array" ref="B656">_xlfn.XLOOKUP($A656,TRIM(SUBSTITUTE('worker file'!$A$2:$A$406,_xlfn.UNICHAR(160)," ")),'worker file'!$L$2:$L$406,"Not found")</f>
        <v>US Semi-monthly</v>
      </c>
      <c r="C656" s="36" t="str">
        <f t="array" ref="C656">_xlfn.XLOOKUP($A656,TRIM(SUBSTITUTE('worker file'!$A$2:$A$406,_xlfn.UNICHAR(160)," ")),'worker file'!$D$2:$D$406,"Not found")</f>
        <v>TX</v>
      </c>
      <c r="D656" s="36" t="str">
        <f t="array" ref="D656">_xlfn.XLOOKUP($A656,TRIM(SUBSTITUTE('worker file'!$A$2:$A$406,_xlfn.UNICHAR(160)," ")),'worker file'!$Q$2:$Q$406,"Not found")</f>
        <v>Active</v>
      </c>
      <c r="E656" s="35" t="s">
        <v>626</v>
      </c>
      <c r="F656" t="str">
        <f t="shared" si="77"/>
        <v>Medical (Health) – Employee</v>
      </c>
      <c r="G656" t="str">
        <f t="shared" si="78"/>
        <v>Pre-tax Section 125 (exempt from FIT/SIT/FICA)</v>
      </c>
      <c r="H656" t="str">
        <f t="shared" si="79"/>
        <v>Flat</v>
      </c>
      <c r="I656" s="40" t="str">
        <f>IF($H656="Percent",_xlfn.XLOOKUP($E656,$A$5:$A$8,$F$5:$F$8,""),"")</f>
        <v/>
      </c>
      <c r="J656" s="38">
        <f t="shared" si="80"/>
        <v>200</v>
      </c>
      <c r="K656" t="str">
        <f t="shared" si="81"/>
        <v>Per pay period</v>
      </c>
      <c r="L656" t="str">
        <f t="shared" si="82"/>
        <v>Every pay period (ongoing)</v>
      </c>
      <c r="M656" s="39">
        <f t="array" ref="M656">MAX(_xlfn.XLOOKUP($A656,TRIM(SUBSTITUTE('worker file'!$A$2:$A$406,_xlfn.UNICHAR(160)," ")),'worker file'!$M$2:$M$406,0),_xlfn.XLOOKUP($B656,TRIM('pay group &amp; schedule'!$A$2:$A$6),'pay group &amp; schedule'!$D$2:$D$6,0))</f>
        <v>46311</v>
      </c>
      <c r="N656" s="39" t="str">
        <f t="array" ref="N656">_xlfn.LET(_xlpm.t,_xlfn.XLOOKUP($A656,TRIM(SUBSTITUTE('worker file'!$A$2:$A$406,_xlfn.UNICHAR(160)," ")),'worker file'!$N$2:$N$406,""),IF(N(_xlpm.t)=0,"",_xlpm.t))</f>
        <v/>
      </c>
    </row>
    <row r="657" spans="1:14" x14ac:dyDescent="0.2">
      <c r="A657" s="35" t="s">
        <v>327</v>
      </c>
      <c r="B657" s="36" t="str">
        <f t="array" ref="B657">_xlfn.XLOOKUP($A657,TRIM(SUBSTITUTE('worker file'!$A$2:$A$406,_xlfn.UNICHAR(160)," ")),'worker file'!$L$2:$L$406,"Not found")</f>
        <v>US Semi-monthly</v>
      </c>
      <c r="C657" s="36" t="str">
        <f t="array" ref="C657">_xlfn.XLOOKUP($A657,TRIM(SUBSTITUTE('worker file'!$A$2:$A$406,_xlfn.UNICHAR(160)," ")),'worker file'!$D$2:$D$406,"Not found")</f>
        <v>TX</v>
      </c>
      <c r="D657" s="36" t="str">
        <f t="array" ref="D657">_xlfn.XLOOKUP($A657,TRIM(SUBSTITUTE('worker file'!$A$2:$A$406,_xlfn.UNICHAR(160)," ")),'worker file'!$Q$2:$Q$406,"Not found")</f>
        <v>Active</v>
      </c>
      <c r="E657" s="35" t="s">
        <v>632</v>
      </c>
      <c r="F657" t="str">
        <f t="shared" si="77"/>
        <v>Dental – Employee</v>
      </c>
      <c r="G657" t="str">
        <f t="shared" si="78"/>
        <v>Pre-tax Section 125 (exempt from FIT/SIT/FICA)</v>
      </c>
      <c r="H657" t="str">
        <f t="shared" si="79"/>
        <v>Flat</v>
      </c>
      <c r="I657" s="40" t="str">
        <f>IF($H657="Percent",_xlfn.XLOOKUP($E657,$A$5:$A$8,$F$5:$F$8,""),"")</f>
        <v/>
      </c>
      <c r="J657" s="38">
        <f t="shared" si="80"/>
        <v>44</v>
      </c>
      <c r="K657" t="str">
        <f t="shared" si="81"/>
        <v>Per pay period</v>
      </c>
      <c r="L657" t="str">
        <f t="shared" si="82"/>
        <v>Every pay period (ongoing)</v>
      </c>
      <c r="M657" s="39">
        <f t="array" ref="M657">MAX(_xlfn.XLOOKUP($A657,TRIM(SUBSTITUTE('worker file'!$A$2:$A$406,_xlfn.UNICHAR(160)," ")),'worker file'!$M$2:$M$406,0),_xlfn.XLOOKUP($B657,TRIM('pay group &amp; schedule'!$A$2:$A$6),'pay group &amp; schedule'!$D$2:$D$6,0))</f>
        <v>46311</v>
      </c>
      <c r="N657" s="39" t="str">
        <f t="array" ref="N657">_xlfn.LET(_xlpm.t,_xlfn.XLOOKUP($A657,TRIM(SUBSTITUTE('worker file'!$A$2:$A$406,_xlfn.UNICHAR(160)," ")),'worker file'!$N$2:$N$406,""),IF(N(_xlpm.t)=0,"",_xlpm.t))</f>
        <v/>
      </c>
    </row>
    <row r="658" spans="1:14" x14ac:dyDescent="0.2">
      <c r="A658" s="35" t="s">
        <v>327</v>
      </c>
      <c r="B658" s="36" t="str">
        <f t="array" ref="B658">_xlfn.XLOOKUP($A658,TRIM(SUBSTITUTE('worker file'!$A$2:$A$406,_xlfn.UNICHAR(160)," ")),'worker file'!$L$2:$L$406,"Not found")</f>
        <v>US Semi-monthly</v>
      </c>
      <c r="C658" s="36" t="str">
        <f t="array" ref="C658">_xlfn.XLOOKUP($A658,TRIM(SUBSTITUTE('worker file'!$A$2:$A$406,_xlfn.UNICHAR(160)," ")),'worker file'!$D$2:$D$406,"Not found")</f>
        <v>TX</v>
      </c>
      <c r="D658" s="36" t="str">
        <f t="array" ref="D658">_xlfn.XLOOKUP($A658,TRIM(SUBSTITUTE('worker file'!$A$2:$A$406,_xlfn.UNICHAR(160)," ")),'worker file'!$Q$2:$Q$406,"Not found")</f>
        <v>Active</v>
      </c>
      <c r="E658" s="35" t="s">
        <v>634</v>
      </c>
      <c r="F658" t="str">
        <f t="shared" si="77"/>
        <v>Vision – Employee</v>
      </c>
      <c r="G658" t="str">
        <f t="shared" si="78"/>
        <v>Pre-tax Section 125 (exempt from FIT/SIT/FICA)</v>
      </c>
      <c r="H658" t="str">
        <f t="shared" si="79"/>
        <v>Flat</v>
      </c>
      <c r="I658" s="40" t="str">
        <f>IF($H658="Percent",_xlfn.XLOOKUP($E658,$A$5:$A$8,$F$5:$F$8,""),"")</f>
        <v/>
      </c>
      <c r="J658" s="38">
        <f t="shared" si="80"/>
        <v>30</v>
      </c>
      <c r="K658" t="str">
        <f t="shared" si="81"/>
        <v>Per pay period</v>
      </c>
      <c r="L658" t="str">
        <f t="shared" si="82"/>
        <v>Every pay period (ongoing)</v>
      </c>
      <c r="M658" s="39">
        <f t="array" ref="M658">MAX(_xlfn.XLOOKUP($A658,TRIM(SUBSTITUTE('worker file'!$A$2:$A$406,_xlfn.UNICHAR(160)," ")),'worker file'!$M$2:$M$406,0),_xlfn.XLOOKUP($B658,TRIM('pay group &amp; schedule'!$A$2:$A$6),'pay group &amp; schedule'!$D$2:$D$6,0))</f>
        <v>46311</v>
      </c>
      <c r="N658" s="39" t="str">
        <f t="array" ref="N658">_xlfn.LET(_xlpm.t,_xlfn.XLOOKUP($A658,TRIM(SUBSTITUTE('worker file'!$A$2:$A$406,_xlfn.UNICHAR(160)," ")),'worker file'!$N$2:$N$406,""),IF(N(_xlpm.t)=0,"",_xlpm.t))</f>
        <v/>
      </c>
    </row>
    <row r="659" spans="1:14" x14ac:dyDescent="0.2">
      <c r="A659" s="35" t="s">
        <v>329</v>
      </c>
      <c r="B659" s="36" t="str">
        <f t="array" ref="B659">_xlfn.XLOOKUP($A659,TRIM(SUBSTITUTE('worker file'!$A$2:$A$406,_xlfn.UNICHAR(160)," ")),'worker file'!$L$2:$L$406,"Not found")</f>
        <v>US Semi-monthly</v>
      </c>
      <c r="C659" s="36" t="str">
        <f t="array" ref="C659">_xlfn.XLOOKUP($A659,TRIM(SUBSTITUTE('worker file'!$A$2:$A$406,_xlfn.UNICHAR(160)," ")),'worker file'!$D$2:$D$406,"Not found")</f>
        <v>CA</v>
      </c>
      <c r="D659" s="36" t="str">
        <f t="array" ref="D659">_xlfn.XLOOKUP($A659,TRIM(SUBSTITUTE('worker file'!$A$2:$A$406,_xlfn.UNICHAR(160)," ")),'worker file'!$Q$2:$Q$406,"Not found")</f>
        <v>Active</v>
      </c>
      <c r="E659" s="35" t="s">
        <v>618</v>
      </c>
      <c r="F659" t="str">
        <f t="shared" si="77"/>
        <v>401(k) Employee Deferral</v>
      </c>
      <c r="G659" t="str">
        <f t="shared" si="78"/>
        <v>Pre-tax (exempt from FIT/SIT; subject to FICA)</v>
      </c>
      <c r="H659" t="str">
        <f t="shared" si="79"/>
        <v>Percent</v>
      </c>
      <c r="I659" s="37">
        <v>0.01</v>
      </c>
      <c r="J659" s="38" t="str">
        <f t="shared" si="80"/>
        <v/>
      </c>
      <c r="K659" t="str">
        <f t="shared" si="81"/>
        <v>Gross pay</v>
      </c>
      <c r="L659" t="str">
        <f t="shared" si="82"/>
        <v>Every pay period (ongoing)</v>
      </c>
      <c r="M659" s="39">
        <f t="array" ref="M659">MAX(_xlfn.XLOOKUP($A659,TRIM(SUBSTITUTE('worker file'!$A$2:$A$406,_xlfn.UNICHAR(160)," ")),'worker file'!$M$2:$M$406,0),_xlfn.XLOOKUP($B659,TRIM('pay group &amp; schedule'!$A$2:$A$6),'pay group &amp; schedule'!$D$2:$D$6,0))</f>
        <v>46311</v>
      </c>
      <c r="N659" s="39" t="str">
        <f t="array" ref="N659">_xlfn.LET(_xlpm.t,_xlfn.XLOOKUP($A659,TRIM(SUBSTITUTE('worker file'!$A$2:$A$406,_xlfn.UNICHAR(160)," ")),'worker file'!$N$2:$N$406,""),IF(N(_xlpm.t)=0,"",_xlpm.t))</f>
        <v/>
      </c>
    </row>
    <row r="660" spans="1:14" x14ac:dyDescent="0.2">
      <c r="A660" s="35" t="s">
        <v>329</v>
      </c>
      <c r="B660" s="36" t="str">
        <f t="array" ref="B660">_xlfn.XLOOKUP($A660,TRIM(SUBSTITUTE('worker file'!$A$2:$A$406,_xlfn.UNICHAR(160)," ")),'worker file'!$L$2:$L$406,"Not found")</f>
        <v>US Semi-monthly</v>
      </c>
      <c r="C660" s="36" t="str">
        <f t="array" ref="C660">_xlfn.XLOOKUP($A660,TRIM(SUBSTITUTE('worker file'!$A$2:$A$406,_xlfn.UNICHAR(160)," ")),'worker file'!$D$2:$D$406,"Not found")</f>
        <v>CA</v>
      </c>
      <c r="D660" s="36" t="str">
        <f t="array" ref="D660">_xlfn.XLOOKUP($A660,TRIM(SUBSTITUTE('worker file'!$A$2:$A$406,_xlfn.UNICHAR(160)," ")),'worker file'!$Q$2:$Q$406,"Not found")</f>
        <v>Active</v>
      </c>
      <c r="E660" s="35" t="s">
        <v>626</v>
      </c>
      <c r="F660" t="str">
        <f t="shared" si="77"/>
        <v>Medical (Health) – Employee</v>
      </c>
      <c r="G660" t="str">
        <f t="shared" si="78"/>
        <v>Pre-tax Section 125 (exempt from FIT/SIT/FICA)</v>
      </c>
      <c r="H660" t="str">
        <f t="shared" si="79"/>
        <v>Flat</v>
      </c>
      <c r="I660" s="40" t="str">
        <f>IF($H660="Percent",_xlfn.XLOOKUP($E660,$A$5:$A$8,$F$5:$F$8,""),"")</f>
        <v/>
      </c>
      <c r="J660" s="38">
        <f t="shared" si="80"/>
        <v>200</v>
      </c>
      <c r="K660" t="str">
        <f t="shared" si="81"/>
        <v>Per pay period</v>
      </c>
      <c r="L660" t="str">
        <f t="shared" si="82"/>
        <v>Every pay period (ongoing)</v>
      </c>
      <c r="M660" s="39">
        <f t="array" ref="M660">MAX(_xlfn.XLOOKUP($A660,TRIM(SUBSTITUTE('worker file'!$A$2:$A$406,_xlfn.UNICHAR(160)," ")),'worker file'!$M$2:$M$406,0),_xlfn.XLOOKUP($B660,TRIM('pay group &amp; schedule'!$A$2:$A$6),'pay group &amp; schedule'!$D$2:$D$6,0))</f>
        <v>46311</v>
      </c>
      <c r="N660" s="39" t="str">
        <f t="array" ref="N660">_xlfn.LET(_xlpm.t,_xlfn.XLOOKUP($A660,TRIM(SUBSTITUTE('worker file'!$A$2:$A$406,_xlfn.UNICHAR(160)," ")),'worker file'!$N$2:$N$406,""),IF(N(_xlpm.t)=0,"",_xlpm.t))</f>
        <v/>
      </c>
    </row>
    <row r="661" spans="1:14" x14ac:dyDescent="0.2">
      <c r="A661" s="35" t="s">
        <v>329</v>
      </c>
      <c r="B661" s="36" t="str">
        <f t="array" ref="B661">_xlfn.XLOOKUP($A661,TRIM(SUBSTITUTE('worker file'!$A$2:$A$406,_xlfn.UNICHAR(160)," ")),'worker file'!$L$2:$L$406,"Not found")</f>
        <v>US Semi-monthly</v>
      </c>
      <c r="C661" s="36" t="str">
        <f t="array" ref="C661">_xlfn.XLOOKUP($A661,TRIM(SUBSTITUTE('worker file'!$A$2:$A$406,_xlfn.UNICHAR(160)," ")),'worker file'!$D$2:$D$406,"Not found")</f>
        <v>CA</v>
      </c>
      <c r="D661" s="36" t="str">
        <f t="array" ref="D661">_xlfn.XLOOKUP($A661,TRIM(SUBSTITUTE('worker file'!$A$2:$A$406,_xlfn.UNICHAR(160)," ")),'worker file'!$Q$2:$Q$406,"Not found")</f>
        <v>Active</v>
      </c>
      <c r="E661" s="35" t="s">
        <v>632</v>
      </c>
      <c r="F661" t="str">
        <f t="shared" si="77"/>
        <v>Dental – Employee</v>
      </c>
      <c r="G661" t="str">
        <f t="shared" si="78"/>
        <v>Pre-tax Section 125 (exempt from FIT/SIT/FICA)</v>
      </c>
      <c r="H661" t="str">
        <f t="shared" si="79"/>
        <v>Flat</v>
      </c>
      <c r="I661" s="40" t="str">
        <f>IF($H661="Percent",_xlfn.XLOOKUP($E661,$A$5:$A$8,$F$5:$F$8,""),"")</f>
        <v/>
      </c>
      <c r="J661" s="38">
        <f t="shared" si="80"/>
        <v>44</v>
      </c>
      <c r="K661" t="str">
        <f t="shared" si="81"/>
        <v>Per pay period</v>
      </c>
      <c r="L661" t="str">
        <f t="shared" si="82"/>
        <v>Every pay period (ongoing)</v>
      </c>
      <c r="M661" s="39">
        <f t="array" ref="M661">MAX(_xlfn.XLOOKUP($A661,TRIM(SUBSTITUTE('worker file'!$A$2:$A$406,_xlfn.UNICHAR(160)," ")),'worker file'!$M$2:$M$406,0),_xlfn.XLOOKUP($B661,TRIM('pay group &amp; schedule'!$A$2:$A$6),'pay group &amp; schedule'!$D$2:$D$6,0))</f>
        <v>46311</v>
      </c>
      <c r="N661" s="39" t="str">
        <f t="array" ref="N661">_xlfn.LET(_xlpm.t,_xlfn.XLOOKUP($A661,TRIM(SUBSTITUTE('worker file'!$A$2:$A$406,_xlfn.UNICHAR(160)," ")),'worker file'!$N$2:$N$406,""),IF(N(_xlpm.t)=0,"",_xlpm.t))</f>
        <v/>
      </c>
    </row>
    <row r="662" spans="1:14" x14ac:dyDescent="0.2">
      <c r="A662" s="35" t="s">
        <v>329</v>
      </c>
      <c r="B662" s="36" t="str">
        <f t="array" ref="B662">_xlfn.XLOOKUP($A662,TRIM(SUBSTITUTE('worker file'!$A$2:$A$406,_xlfn.UNICHAR(160)," ")),'worker file'!$L$2:$L$406,"Not found")</f>
        <v>US Semi-monthly</v>
      </c>
      <c r="C662" s="36" t="str">
        <f t="array" ref="C662">_xlfn.XLOOKUP($A662,TRIM(SUBSTITUTE('worker file'!$A$2:$A$406,_xlfn.UNICHAR(160)," ")),'worker file'!$D$2:$D$406,"Not found")</f>
        <v>CA</v>
      </c>
      <c r="D662" s="36" t="str">
        <f t="array" ref="D662">_xlfn.XLOOKUP($A662,TRIM(SUBSTITUTE('worker file'!$A$2:$A$406,_xlfn.UNICHAR(160)," ")),'worker file'!$Q$2:$Q$406,"Not found")</f>
        <v>Active</v>
      </c>
      <c r="E662" s="35" t="s">
        <v>634</v>
      </c>
      <c r="F662" t="str">
        <f t="shared" si="77"/>
        <v>Vision – Employee</v>
      </c>
      <c r="G662" t="str">
        <f t="shared" si="78"/>
        <v>Pre-tax Section 125 (exempt from FIT/SIT/FICA)</v>
      </c>
      <c r="H662" t="str">
        <f t="shared" si="79"/>
        <v>Flat</v>
      </c>
      <c r="I662" s="40" t="str">
        <f>IF($H662="Percent",_xlfn.XLOOKUP($E662,$A$5:$A$8,$F$5:$F$8,""),"")</f>
        <v/>
      </c>
      <c r="J662" s="38">
        <f t="shared" si="80"/>
        <v>30</v>
      </c>
      <c r="K662" t="str">
        <f t="shared" si="81"/>
        <v>Per pay period</v>
      </c>
      <c r="L662" t="str">
        <f t="shared" si="82"/>
        <v>Every pay period (ongoing)</v>
      </c>
      <c r="M662" s="39">
        <f t="array" ref="M662">MAX(_xlfn.XLOOKUP($A662,TRIM(SUBSTITUTE('worker file'!$A$2:$A$406,_xlfn.UNICHAR(160)," ")),'worker file'!$M$2:$M$406,0),_xlfn.XLOOKUP($B662,TRIM('pay group &amp; schedule'!$A$2:$A$6),'pay group &amp; schedule'!$D$2:$D$6,0))</f>
        <v>46311</v>
      </c>
      <c r="N662" s="39" t="str">
        <f t="array" ref="N662">_xlfn.LET(_xlpm.t,_xlfn.XLOOKUP($A662,TRIM(SUBSTITUTE('worker file'!$A$2:$A$406,_xlfn.UNICHAR(160)," ")),'worker file'!$N$2:$N$406,""),IF(N(_xlpm.t)=0,"",_xlpm.t))</f>
        <v/>
      </c>
    </row>
    <row r="663" spans="1:14" x14ac:dyDescent="0.2">
      <c r="A663" s="35" t="s">
        <v>331</v>
      </c>
      <c r="B663" s="36" t="str">
        <f t="array" ref="B663">_xlfn.XLOOKUP($A663,TRIM(SUBSTITUTE('worker file'!$A$2:$A$406,_xlfn.UNICHAR(160)," ")),'worker file'!$L$2:$L$406,"Not found")</f>
        <v>US Semi-monthly</v>
      </c>
      <c r="C663" s="36" t="str">
        <f t="array" ref="C663">_xlfn.XLOOKUP($A663,TRIM(SUBSTITUTE('worker file'!$A$2:$A$406,_xlfn.UNICHAR(160)," ")),'worker file'!$D$2:$D$406,"Not found")</f>
        <v>WA</v>
      </c>
      <c r="D663" s="36" t="str">
        <f t="array" ref="D663">_xlfn.XLOOKUP($A663,TRIM(SUBSTITUTE('worker file'!$A$2:$A$406,_xlfn.UNICHAR(160)," ")),'worker file'!$Q$2:$Q$406,"Not found")</f>
        <v>Active</v>
      </c>
      <c r="E663" s="35" t="s">
        <v>618</v>
      </c>
      <c r="F663" t="str">
        <f t="shared" si="77"/>
        <v>401(k) Employee Deferral</v>
      </c>
      <c r="G663" t="str">
        <f t="shared" si="78"/>
        <v>Pre-tax (exempt from FIT/SIT; subject to FICA)</v>
      </c>
      <c r="H663" t="str">
        <f t="shared" si="79"/>
        <v>Percent</v>
      </c>
      <c r="I663" s="37">
        <v>0.06</v>
      </c>
      <c r="J663" s="38" t="str">
        <f t="shared" si="80"/>
        <v/>
      </c>
      <c r="K663" t="str">
        <f t="shared" si="81"/>
        <v>Gross pay</v>
      </c>
      <c r="L663" t="str">
        <f t="shared" si="82"/>
        <v>Every pay period (ongoing)</v>
      </c>
      <c r="M663" s="39">
        <f t="array" ref="M663">MAX(_xlfn.XLOOKUP($A663,TRIM(SUBSTITUTE('worker file'!$A$2:$A$406,_xlfn.UNICHAR(160)," ")),'worker file'!$M$2:$M$406,0),_xlfn.XLOOKUP($B663,TRIM('pay group &amp; schedule'!$A$2:$A$6),'pay group &amp; schedule'!$D$2:$D$6,0))</f>
        <v>46311</v>
      </c>
      <c r="N663" s="39" t="str">
        <f t="array" ref="N663">_xlfn.LET(_xlpm.t,_xlfn.XLOOKUP($A663,TRIM(SUBSTITUTE('worker file'!$A$2:$A$406,_xlfn.UNICHAR(160)," ")),'worker file'!$N$2:$N$406,""),IF(N(_xlpm.t)=0,"",_xlpm.t))</f>
        <v/>
      </c>
    </row>
    <row r="664" spans="1:14" x14ac:dyDescent="0.2">
      <c r="A664" s="35" t="s">
        <v>331</v>
      </c>
      <c r="B664" s="36" t="str">
        <f t="array" ref="B664">_xlfn.XLOOKUP($A664,TRIM(SUBSTITUTE('worker file'!$A$2:$A$406,_xlfn.UNICHAR(160)," ")),'worker file'!$L$2:$L$406,"Not found")</f>
        <v>US Semi-monthly</v>
      </c>
      <c r="C664" s="36" t="str">
        <f t="array" ref="C664">_xlfn.XLOOKUP($A664,TRIM(SUBSTITUTE('worker file'!$A$2:$A$406,_xlfn.UNICHAR(160)," ")),'worker file'!$D$2:$D$406,"Not found")</f>
        <v>WA</v>
      </c>
      <c r="D664" s="36" t="str">
        <f t="array" ref="D664">_xlfn.XLOOKUP($A664,TRIM(SUBSTITUTE('worker file'!$A$2:$A$406,_xlfn.UNICHAR(160)," ")),'worker file'!$Q$2:$Q$406,"Not found")</f>
        <v>Active</v>
      </c>
      <c r="E664" s="35" t="s">
        <v>626</v>
      </c>
      <c r="F664" t="str">
        <f t="shared" si="77"/>
        <v>Medical (Health) – Employee</v>
      </c>
      <c r="G664" t="str">
        <f t="shared" si="78"/>
        <v>Pre-tax Section 125 (exempt from FIT/SIT/FICA)</v>
      </c>
      <c r="H664" t="str">
        <f t="shared" si="79"/>
        <v>Flat</v>
      </c>
      <c r="I664" s="40" t="str">
        <f>IF($H664="Percent",_xlfn.XLOOKUP($E664,$A$5:$A$8,$F$5:$F$8,""),"")</f>
        <v/>
      </c>
      <c r="J664" s="38">
        <f t="shared" si="80"/>
        <v>200</v>
      </c>
      <c r="K664" t="str">
        <f t="shared" si="81"/>
        <v>Per pay period</v>
      </c>
      <c r="L664" t="str">
        <f t="shared" si="82"/>
        <v>Every pay period (ongoing)</v>
      </c>
      <c r="M664" s="39">
        <f t="array" ref="M664">MAX(_xlfn.XLOOKUP($A664,TRIM(SUBSTITUTE('worker file'!$A$2:$A$406,_xlfn.UNICHAR(160)," ")),'worker file'!$M$2:$M$406,0),_xlfn.XLOOKUP($B664,TRIM('pay group &amp; schedule'!$A$2:$A$6),'pay group &amp; schedule'!$D$2:$D$6,0))</f>
        <v>46311</v>
      </c>
      <c r="N664" s="39" t="str">
        <f t="array" ref="N664">_xlfn.LET(_xlpm.t,_xlfn.XLOOKUP($A664,TRIM(SUBSTITUTE('worker file'!$A$2:$A$406,_xlfn.UNICHAR(160)," ")),'worker file'!$N$2:$N$406,""),IF(N(_xlpm.t)=0,"",_xlpm.t))</f>
        <v/>
      </c>
    </row>
    <row r="665" spans="1:14" x14ac:dyDescent="0.2">
      <c r="A665" s="35" t="s">
        <v>331</v>
      </c>
      <c r="B665" s="36" t="str">
        <f t="array" ref="B665">_xlfn.XLOOKUP($A665,TRIM(SUBSTITUTE('worker file'!$A$2:$A$406,_xlfn.UNICHAR(160)," ")),'worker file'!$L$2:$L$406,"Not found")</f>
        <v>US Semi-monthly</v>
      </c>
      <c r="C665" s="36" t="str">
        <f t="array" ref="C665">_xlfn.XLOOKUP($A665,TRIM(SUBSTITUTE('worker file'!$A$2:$A$406,_xlfn.UNICHAR(160)," ")),'worker file'!$D$2:$D$406,"Not found")</f>
        <v>WA</v>
      </c>
      <c r="D665" s="36" t="str">
        <f t="array" ref="D665">_xlfn.XLOOKUP($A665,TRIM(SUBSTITUTE('worker file'!$A$2:$A$406,_xlfn.UNICHAR(160)," ")),'worker file'!$Q$2:$Q$406,"Not found")</f>
        <v>Active</v>
      </c>
      <c r="E665" s="35" t="s">
        <v>632</v>
      </c>
      <c r="F665" t="str">
        <f t="shared" si="77"/>
        <v>Dental – Employee</v>
      </c>
      <c r="G665" t="str">
        <f t="shared" si="78"/>
        <v>Pre-tax Section 125 (exempt from FIT/SIT/FICA)</v>
      </c>
      <c r="H665" t="str">
        <f t="shared" si="79"/>
        <v>Flat</v>
      </c>
      <c r="I665" s="40" t="str">
        <f>IF($H665="Percent",_xlfn.XLOOKUP($E665,$A$5:$A$8,$F$5:$F$8,""),"")</f>
        <v/>
      </c>
      <c r="J665" s="38">
        <f t="shared" si="80"/>
        <v>44</v>
      </c>
      <c r="K665" t="str">
        <f t="shared" si="81"/>
        <v>Per pay period</v>
      </c>
      <c r="L665" t="str">
        <f t="shared" si="82"/>
        <v>Every pay period (ongoing)</v>
      </c>
      <c r="M665" s="39">
        <f t="array" ref="M665">MAX(_xlfn.XLOOKUP($A665,TRIM(SUBSTITUTE('worker file'!$A$2:$A$406,_xlfn.UNICHAR(160)," ")),'worker file'!$M$2:$M$406,0),_xlfn.XLOOKUP($B665,TRIM('pay group &amp; schedule'!$A$2:$A$6),'pay group &amp; schedule'!$D$2:$D$6,0))</f>
        <v>46311</v>
      </c>
      <c r="N665" s="39" t="str">
        <f t="array" ref="N665">_xlfn.LET(_xlpm.t,_xlfn.XLOOKUP($A665,TRIM(SUBSTITUTE('worker file'!$A$2:$A$406,_xlfn.UNICHAR(160)," ")),'worker file'!$N$2:$N$406,""),IF(N(_xlpm.t)=0,"",_xlpm.t))</f>
        <v/>
      </c>
    </row>
    <row r="666" spans="1:14" x14ac:dyDescent="0.2">
      <c r="A666" s="35" t="s">
        <v>331</v>
      </c>
      <c r="B666" s="36" t="str">
        <f t="array" ref="B666">_xlfn.XLOOKUP($A666,TRIM(SUBSTITUTE('worker file'!$A$2:$A$406,_xlfn.UNICHAR(160)," ")),'worker file'!$L$2:$L$406,"Not found")</f>
        <v>US Semi-monthly</v>
      </c>
      <c r="C666" s="36" t="str">
        <f t="array" ref="C666">_xlfn.XLOOKUP($A666,TRIM(SUBSTITUTE('worker file'!$A$2:$A$406,_xlfn.UNICHAR(160)," ")),'worker file'!$D$2:$D$406,"Not found")</f>
        <v>WA</v>
      </c>
      <c r="D666" s="36" t="str">
        <f t="array" ref="D666">_xlfn.XLOOKUP($A666,TRIM(SUBSTITUTE('worker file'!$A$2:$A$406,_xlfn.UNICHAR(160)," ")),'worker file'!$Q$2:$Q$406,"Not found")</f>
        <v>Active</v>
      </c>
      <c r="E666" s="35" t="s">
        <v>634</v>
      </c>
      <c r="F666" t="str">
        <f t="shared" si="77"/>
        <v>Vision – Employee</v>
      </c>
      <c r="G666" t="str">
        <f t="shared" si="78"/>
        <v>Pre-tax Section 125 (exempt from FIT/SIT/FICA)</v>
      </c>
      <c r="H666" t="str">
        <f t="shared" si="79"/>
        <v>Flat</v>
      </c>
      <c r="I666" s="40" t="str">
        <f>IF($H666="Percent",_xlfn.XLOOKUP($E666,$A$5:$A$8,$F$5:$F$8,""),"")</f>
        <v/>
      </c>
      <c r="J666" s="38">
        <f t="shared" si="80"/>
        <v>30</v>
      </c>
      <c r="K666" t="str">
        <f t="shared" si="81"/>
        <v>Per pay period</v>
      </c>
      <c r="L666" t="str">
        <f t="shared" si="82"/>
        <v>Every pay period (ongoing)</v>
      </c>
      <c r="M666" s="39">
        <f t="array" ref="M666">MAX(_xlfn.XLOOKUP($A666,TRIM(SUBSTITUTE('worker file'!$A$2:$A$406,_xlfn.UNICHAR(160)," ")),'worker file'!$M$2:$M$406,0),_xlfn.XLOOKUP($B666,TRIM('pay group &amp; schedule'!$A$2:$A$6),'pay group &amp; schedule'!$D$2:$D$6,0))</f>
        <v>46311</v>
      </c>
      <c r="N666" s="39" t="str">
        <f t="array" ref="N666">_xlfn.LET(_xlpm.t,_xlfn.XLOOKUP($A666,TRIM(SUBSTITUTE('worker file'!$A$2:$A$406,_xlfn.UNICHAR(160)," ")),'worker file'!$N$2:$N$406,""),IF(N(_xlpm.t)=0,"",_xlpm.t))</f>
        <v/>
      </c>
    </row>
    <row r="667" spans="1:14" x14ac:dyDescent="0.2">
      <c r="A667" s="35" t="s">
        <v>332</v>
      </c>
      <c r="B667" s="36" t="str">
        <f t="array" ref="B667">_xlfn.XLOOKUP($A667,TRIM(SUBSTITUTE('worker file'!$A$2:$A$406,_xlfn.UNICHAR(160)," ")),'worker file'!$L$2:$L$406,"Not found")</f>
        <v>US Semi-monthly</v>
      </c>
      <c r="C667" s="36" t="str">
        <f t="array" ref="C667">_xlfn.XLOOKUP($A667,TRIM(SUBSTITUTE('worker file'!$A$2:$A$406,_xlfn.UNICHAR(160)," ")),'worker file'!$D$2:$D$406,"Not found")</f>
        <v>CA</v>
      </c>
      <c r="D667" s="36" t="str">
        <f t="array" ref="D667">_xlfn.XLOOKUP($A667,TRIM(SUBSTITUTE('worker file'!$A$2:$A$406,_xlfn.UNICHAR(160)," ")),'worker file'!$Q$2:$Q$406,"Not found")</f>
        <v>Active</v>
      </c>
      <c r="E667" s="35" t="s">
        <v>618</v>
      </c>
      <c r="F667" t="str">
        <f t="shared" si="77"/>
        <v>401(k) Employee Deferral</v>
      </c>
      <c r="G667" t="str">
        <f t="shared" si="78"/>
        <v>Pre-tax (exempt from FIT/SIT; subject to FICA)</v>
      </c>
      <c r="H667" t="str">
        <f t="shared" si="79"/>
        <v>Percent</v>
      </c>
      <c r="I667" s="37">
        <v>0.03</v>
      </c>
      <c r="J667" s="38" t="str">
        <f t="shared" si="80"/>
        <v/>
      </c>
      <c r="K667" t="str">
        <f t="shared" si="81"/>
        <v>Gross pay</v>
      </c>
      <c r="L667" t="str">
        <f t="shared" si="82"/>
        <v>Every pay period (ongoing)</v>
      </c>
      <c r="M667" s="39">
        <f t="array" ref="M667">MAX(_xlfn.XLOOKUP($A667,TRIM(SUBSTITUTE('worker file'!$A$2:$A$406,_xlfn.UNICHAR(160)," ")),'worker file'!$M$2:$M$406,0),_xlfn.XLOOKUP($B667,TRIM('pay group &amp; schedule'!$A$2:$A$6),'pay group &amp; schedule'!$D$2:$D$6,0))</f>
        <v>46311</v>
      </c>
      <c r="N667" s="39" t="str">
        <f t="array" ref="N667">_xlfn.LET(_xlpm.t,_xlfn.XLOOKUP($A667,TRIM(SUBSTITUTE('worker file'!$A$2:$A$406,_xlfn.UNICHAR(160)," ")),'worker file'!$N$2:$N$406,""),IF(N(_xlpm.t)=0,"",_xlpm.t))</f>
        <v/>
      </c>
    </row>
    <row r="668" spans="1:14" x14ac:dyDescent="0.2">
      <c r="A668" s="35" t="s">
        <v>332</v>
      </c>
      <c r="B668" s="36" t="str">
        <f t="array" ref="B668">_xlfn.XLOOKUP($A668,TRIM(SUBSTITUTE('worker file'!$A$2:$A$406,_xlfn.UNICHAR(160)," ")),'worker file'!$L$2:$L$406,"Not found")</f>
        <v>US Semi-monthly</v>
      </c>
      <c r="C668" s="36" t="str">
        <f t="array" ref="C668">_xlfn.XLOOKUP($A668,TRIM(SUBSTITUTE('worker file'!$A$2:$A$406,_xlfn.UNICHAR(160)," ")),'worker file'!$D$2:$D$406,"Not found")</f>
        <v>CA</v>
      </c>
      <c r="D668" s="36" t="str">
        <f t="array" ref="D668">_xlfn.XLOOKUP($A668,TRIM(SUBSTITUTE('worker file'!$A$2:$A$406,_xlfn.UNICHAR(160)," ")),'worker file'!$Q$2:$Q$406,"Not found")</f>
        <v>Active</v>
      </c>
      <c r="E668" s="35" t="s">
        <v>626</v>
      </c>
      <c r="F668" t="str">
        <f t="shared" si="77"/>
        <v>Medical (Health) – Employee</v>
      </c>
      <c r="G668" t="str">
        <f t="shared" si="78"/>
        <v>Pre-tax Section 125 (exempt from FIT/SIT/FICA)</v>
      </c>
      <c r="H668" t="str">
        <f t="shared" si="79"/>
        <v>Flat</v>
      </c>
      <c r="I668" s="40" t="str">
        <f>IF($H668="Percent",_xlfn.XLOOKUP($E668,$A$5:$A$8,$F$5:$F$8,""),"")</f>
        <v/>
      </c>
      <c r="J668" s="38">
        <f t="shared" si="80"/>
        <v>200</v>
      </c>
      <c r="K668" t="str">
        <f t="shared" si="81"/>
        <v>Per pay period</v>
      </c>
      <c r="L668" t="str">
        <f t="shared" si="82"/>
        <v>Every pay period (ongoing)</v>
      </c>
      <c r="M668" s="39">
        <f t="array" ref="M668">MAX(_xlfn.XLOOKUP($A668,TRIM(SUBSTITUTE('worker file'!$A$2:$A$406,_xlfn.UNICHAR(160)," ")),'worker file'!$M$2:$M$406,0),_xlfn.XLOOKUP($B668,TRIM('pay group &amp; schedule'!$A$2:$A$6),'pay group &amp; schedule'!$D$2:$D$6,0))</f>
        <v>46311</v>
      </c>
      <c r="N668" s="39" t="str">
        <f t="array" ref="N668">_xlfn.LET(_xlpm.t,_xlfn.XLOOKUP($A668,TRIM(SUBSTITUTE('worker file'!$A$2:$A$406,_xlfn.UNICHAR(160)," ")),'worker file'!$N$2:$N$406,""),IF(N(_xlpm.t)=0,"",_xlpm.t))</f>
        <v/>
      </c>
    </row>
    <row r="669" spans="1:14" x14ac:dyDescent="0.2">
      <c r="A669" s="35" t="s">
        <v>332</v>
      </c>
      <c r="B669" s="36" t="str">
        <f t="array" ref="B669">_xlfn.XLOOKUP($A669,TRIM(SUBSTITUTE('worker file'!$A$2:$A$406,_xlfn.UNICHAR(160)," ")),'worker file'!$L$2:$L$406,"Not found")</f>
        <v>US Semi-monthly</v>
      </c>
      <c r="C669" s="36" t="str">
        <f t="array" ref="C669">_xlfn.XLOOKUP($A669,TRIM(SUBSTITUTE('worker file'!$A$2:$A$406,_xlfn.UNICHAR(160)," ")),'worker file'!$D$2:$D$406,"Not found")</f>
        <v>CA</v>
      </c>
      <c r="D669" s="36" t="str">
        <f t="array" ref="D669">_xlfn.XLOOKUP($A669,TRIM(SUBSTITUTE('worker file'!$A$2:$A$406,_xlfn.UNICHAR(160)," ")),'worker file'!$Q$2:$Q$406,"Not found")</f>
        <v>Active</v>
      </c>
      <c r="E669" s="35" t="s">
        <v>632</v>
      </c>
      <c r="F669" t="str">
        <f t="shared" si="77"/>
        <v>Dental – Employee</v>
      </c>
      <c r="G669" t="str">
        <f t="shared" si="78"/>
        <v>Pre-tax Section 125 (exempt from FIT/SIT/FICA)</v>
      </c>
      <c r="H669" t="str">
        <f t="shared" si="79"/>
        <v>Flat</v>
      </c>
      <c r="I669" s="40" t="str">
        <f>IF($H669="Percent",_xlfn.XLOOKUP($E669,$A$5:$A$8,$F$5:$F$8,""),"")</f>
        <v/>
      </c>
      <c r="J669" s="38">
        <f t="shared" si="80"/>
        <v>44</v>
      </c>
      <c r="K669" t="str">
        <f t="shared" si="81"/>
        <v>Per pay period</v>
      </c>
      <c r="L669" t="str">
        <f t="shared" si="82"/>
        <v>Every pay period (ongoing)</v>
      </c>
      <c r="M669" s="39">
        <f t="array" ref="M669">MAX(_xlfn.XLOOKUP($A669,TRIM(SUBSTITUTE('worker file'!$A$2:$A$406,_xlfn.UNICHAR(160)," ")),'worker file'!$M$2:$M$406,0),_xlfn.XLOOKUP($B669,TRIM('pay group &amp; schedule'!$A$2:$A$6),'pay group &amp; schedule'!$D$2:$D$6,0))</f>
        <v>46311</v>
      </c>
      <c r="N669" s="39" t="str">
        <f t="array" ref="N669">_xlfn.LET(_xlpm.t,_xlfn.XLOOKUP($A669,TRIM(SUBSTITUTE('worker file'!$A$2:$A$406,_xlfn.UNICHAR(160)," ")),'worker file'!$N$2:$N$406,""),IF(N(_xlpm.t)=0,"",_xlpm.t))</f>
        <v/>
      </c>
    </row>
    <row r="670" spans="1:14" x14ac:dyDescent="0.2">
      <c r="A670" s="35" t="s">
        <v>332</v>
      </c>
      <c r="B670" s="36" t="str">
        <f t="array" ref="B670">_xlfn.XLOOKUP($A670,TRIM(SUBSTITUTE('worker file'!$A$2:$A$406,_xlfn.UNICHAR(160)," ")),'worker file'!$L$2:$L$406,"Not found")</f>
        <v>US Semi-monthly</v>
      </c>
      <c r="C670" s="36" t="str">
        <f t="array" ref="C670">_xlfn.XLOOKUP($A670,TRIM(SUBSTITUTE('worker file'!$A$2:$A$406,_xlfn.UNICHAR(160)," ")),'worker file'!$D$2:$D$406,"Not found")</f>
        <v>CA</v>
      </c>
      <c r="D670" s="36" t="str">
        <f t="array" ref="D670">_xlfn.XLOOKUP($A670,TRIM(SUBSTITUTE('worker file'!$A$2:$A$406,_xlfn.UNICHAR(160)," ")),'worker file'!$Q$2:$Q$406,"Not found")</f>
        <v>Active</v>
      </c>
      <c r="E670" s="35" t="s">
        <v>634</v>
      </c>
      <c r="F670" t="str">
        <f t="shared" si="77"/>
        <v>Vision – Employee</v>
      </c>
      <c r="G670" t="str">
        <f t="shared" si="78"/>
        <v>Pre-tax Section 125 (exempt from FIT/SIT/FICA)</v>
      </c>
      <c r="H670" t="str">
        <f t="shared" si="79"/>
        <v>Flat</v>
      </c>
      <c r="I670" s="40" t="str">
        <f>IF($H670="Percent",_xlfn.XLOOKUP($E670,$A$5:$A$8,$F$5:$F$8,""),"")</f>
        <v/>
      </c>
      <c r="J670" s="38">
        <f t="shared" si="80"/>
        <v>30</v>
      </c>
      <c r="K670" t="str">
        <f t="shared" si="81"/>
        <v>Per pay period</v>
      </c>
      <c r="L670" t="str">
        <f t="shared" si="82"/>
        <v>Every pay period (ongoing)</v>
      </c>
      <c r="M670" s="39">
        <f t="array" ref="M670">MAX(_xlfn.XLOOKUP($A670,TRIM(SUBSTITUTE('worker file'!$A$2:$A$406,_xlfn.UNICHAR(160)," ")),'worker file'!$M$2:$M$406,0),_xlfn.XLOOKUP($B670,TRIM('pay group &amp; schedule'!$A$2:$A$6),'pay group &amp; schedule'!$D$2:$D$6,0))</f>
        <v>46311</v>
      </c>
      <c r="N670" s="39" t="str">
        <f t="array" ref="N670">_xlfn.LET(_xlpm.t,_xlfn.XLOOKUP($A670,TRIM(SUBSTITUTE('worker file'!$A$2:$A$406,_xlfn.UNICHAR(160)," ")),'worker file'!$N$2:$N$406,""),IF(N(_xlpm.t)=0,"",_xlpm.t))</f>
        <v/>
      </c>
    </row>
    <row r="671" spans="1:14" x14ac:dyDescent="0.2">
      <c r="A671" s="35" t="s">
        <v>333</v>
      </c>
      <c r="B671" s="36" t="str">
        <f t="array" ref="B671">_xlfn.XLOOKUP($A671,TRIM(SUBSTITUTE('worker file'!$A$2:$A$406,_xlfn.UNICHAR(160)," ")),'worker file'!$L$2:$L$406,"Not found")</f>
        <v>US Semi-monthly</v>
      </c>
      <c r="C671" s="36" t="str">
        <f t="array" ref="C671">_xlfn.XLOOKUP($A671,TRIM(SUBSTITUTE('worker file'!$A$2:$A$406,_xlfn.UNICHAR(160)," ")),'worker file'!$D$2:$D$406,"Not found")</f>
        <v>WA</v>
      </c>
      <c r="D671" s="36" t="str">
        <f t="array" ref="D671">_xlfn.XLOOKUP($A671,TRIM(SUBSTITUTE('worker file'!$A$2:$A$406,_xlfn.UNICHAR(160)," ")),'worker file'!$Q$2:$Q$406,"Not found")</f>
        <v>Active</v>
      </c>
      <c r="E671" s="35" t="s">
        <v>618</v>
      </c>
      <c r="F671" t="str">
        <f t="shared" si="77"/>
        <v>401(k) Employee Deferral</v>
      </c>
      <c r="G671" t="str">
        <f t="shared" si="78"/>
        <v>Pre-tax (exempt from FIT/SIT; subject to FICA)</v>
      </c>
      <c r="H671" t="str">
        <f t="shared" si="79"/>
        <v>Percent</v>
      </c>
      <c r="I671" s="37">
        <v>0</v>
      </c>
      <c r="J671" s="38" t="str">
        <f t="shared" si="80"/>
        <v/>
      </c>
      <c r="K671" t="str">
        <f t="shared" si="81"/>
        <v>Gross pay</v>
      </c>
      <c r="L671" t="str">
        <f t="shared" si="82"/>
        <v>Every pay period (ongoing)</v>
      </c>
      <c r="M671" s="39">
        <f t="array" ref="M671">MAX(_xlfn.XLOOKUP($A671,TRIM(SUBSTITUTE('worker file'!$A$2:$A$406,_xlfn.UNICHAR(160)," ")),'worker file'!$M$2:$M$406,0),_xlfn.XLOOKUP($B671,TRIM('pay group &amp; schedule'!$A$2:$A$6),'pay group &amp; schedule'!$D$2:$D$6,0))</f>
        <v>46311</v>
      </c>
      <c r="N671" s="39" t="str">
        <f t="array" ref="N671">_xlfn.LET(_xlpm.t,_xlfn.XLOOKUP($A671,TRIM(SUBSTITUTE('worker file'!$A$2:$A$406,_xlfn.UNICHAR(160)," ")),'worker file'!$N$2:$N$406,""),IF(N(_xlpm.t)=0,"",_xlpm.t))</f>
        <v/>
      </c>
    </row>
    <row r="672" spans="1:14" x14ac:dyDescent="0.2">
      <c r="A672" s="35" t="s">
        <v>333</v>
      </c>
      <c r="B672" s="36" t="str">
        <f t="array" ref="B672">_xlfn.XLOOKUP($A672,TRIM(SUBSTITUTE('worker file'!$A$2:$A$406,_xlfn.UNICHAR(160)," ")),'worker file'!$L$2:$L$406,"Not found")</f>
        <v>US Semi-monthly</v>
      </c>
      <c r="C672" s="36" t="str">
        <f t="array" ref="C672">_xlfn.XLOOKUP($A672,TRIM(SUBSTITUTE('worker file'!$A$2:$A$406,_xlfn.UNICHAR(160)," ")),'worker file'!$D$2:$D$406,"Not found")</f>
        <v>WA</v>
      </c>
      <c r="D672" s="36" t="str">
        <f t="array" ref="D672">_xlfn.XLOOKUP($A672,TRIM(SUBSTITUTE('worker file'!$A$2:$A$406,_xlfn.UNICHAR(160)," ")),'worker file'!$Q$2:$Q$406,"Not found")</f>
        <v>Active</v>
      </c>
      <c r="E672" s="35" t="s">
        <v>626</v>
      </c>
      <c r="F672" t="str">
        <f t="shared" si="77"/>
        <v>Medical (Health) – Employee</v>
      </c>
      <c r="G672" t="str">
        <f t="shared" si="78"/>
        <v>Pre-tax Section 125 (exempt from FIT/SIT/FICA)</v>
      </c>
      <c r="H672" t="str">
        <f t="shared" si="79"/>
        <v>Flat</v>
      </c>
      <c r="I672" s="40" t="str">
        <f>IF($H672="Percent",_xlfn.XLOOKUP($E672,$A$5:$A$8,$F$5:$F$8,""),"")</f>
        <v/>
      </c>
      <c r="J672" s="38">
        <f t="shared" si="80"/>
        <v>200</v>
      </c>
      <c r="K672" t="str">
        <f t="shared" si="81"/>
        <v>Per pay period</v>
      </c>
      <c r="L672" t="str">
        <f t="shared" si="82"/>
        <v>Every pay period (ongoing)</v>
      </c>
      <c r="M672" s="39">
        <f t="array" ref="M672">MAX(_xlfn.XLOOKUP($A672,TRIM(SUBSTITUTE('worker file'!$A$2:$A$406,_xlfn.UNICHAR(160)," ")),'worker file'!$M$2:$M$406,0),_xlfn.XLOOKUP($B672,TRIM('pay group &amp; schedule'!$A$2:$A$6),'pay group &amp; schedule'!$D$2:$D$6,0))</f>
        <v>46311</v>
      </c>
      <c r="N672" s="39" t="str">
        <f t="array" ref="N672">_xlfn.LET(_xlpm.t,_xlfn.XLOOKUP($A672,TRIM(SUBSTITUTE('worker file'!$A$2:$A$406,_xlfn.UNICHAR(160)," ")),'worker file'!$N$2:$N$406,""),IF(N(_xlpm.t)=0,"",_xlpm.t))</f>
        <v/>
      </c>
    </row>
    <row r="673" spans="1:15" x14ac:dyDescent="0.2">
      <c r="A673" s="35" t="s">
        <v>333</v>
      </c>
      <c r="B673" s="36" t="str">
        <f t="array" ref="B673">_xlfn.XLOOKUP($A673,TRIM(SUBSTITUTE('worker file'!$A$2:$A$406,_xlfn.UNICHAR(160)," ")),'worker file'!$L$2:$L$406,"Not found")</f>
        <v>US Semi-monthly</v>
      </c>
      <c r="C673" s="36" t="str">
        <f t="array" ref="C673">_xlfn.XLOOKUP($A673,TRIM(SUBSTITUTE('worker file'!$A$2:$A$406,_xlfn.UNICHAR(160)," ")),'worker file'!$D$2:$D$406,"Not found")</f>
        <v>WA</v>
      </c>
      <c r="D673" s="36" t="str">
        <f t="array" ref="D673">_xlfn.XLOOKUP($A673,TRIM(SUBSTITUTE('worker file'!$A$2:$A$406,_xlfn.UNICHAR(160)," ")),'worker file'!$Q$2:$Q$406,"Not found")</f>
        <v>Active</v>
      </c>
      <c r="E673" s="35" t="s">
        <v>632</v>
      </c>
      <c r="F673" t="str">
        <f t="shared" si="77"/>
        <v>Dental – Employee</v>
      </c>
      <c r="G673" t="str">
        <f t="shared" si="78"/>
        <v>Pre-tax Section 125 (exempt from FIT/SIT/FICA)</v>
      </c>
      <c r="H673" t="str">
        <f t="shared" si="79"/>
        <v>Flat</v>
      </c>
      <c r="I673" s="40" t="str">
        <f>IF($H673="Percent",_xlfn.XLOOKUP($E673,$A$5:$A$8,$F$5:$F$8,""),"")</f>
        <v/>
      </c>
      <c r="J673" s="38">
        <f t="shared" si="80"/>
        <v>44</v>
      </c>
      <c r="K673" t="str">
        <f t="shared" si="81"/>
        <v>Per pay period</v>
      </c>
      <c r="L673" t="str">
        <f t="shared" si="82"/>
        <v>Every pay period (ongoing)</v>
      </c>
      <c r="M673" s="39">
        <f t="array" ref="M673">MAX(_xlfn.XLOOKUP($A673,TRIM(SUBSTITUTE('worker file'!$A$2:$A$406,_xlfn.UNICHAR(160)," ")),'worker file'!$M$2:$M$406,0),_xlfn.XLOOKUP($B673,TRIM('pay group &amp; schedule'!$A$2:$A$6),'pay group &amp; schedule'!$D$2:$D$6,0))</f>
        <v>46311</v>
      </c>
      <c r="N673" s="39" t="str">
        <f t="array" ref="N673">_xlfn.LET(_xlpm.t,_xlfn.XLOOKUP($A673,TRIM(SUBSTITUTE('worker file'!$A$2:$A$406,_xlfn.UNICHAR(160)," ")),'worker file'!$N$2:$N$406,""),IF(N(_xlpm.t)=0,"",_xlpm.t))</f>
        <v/>
      </c>
    </row>
    <row r="674" spans="1:15" x14ac:dyDescent="0.2">
      <c r="A674" s="35" t="s">
        <v>333</v>
      </c>
      <c r="B674" s="36" t="str">
        <f t="array" ref="B674">_xlfn.XLOOKUP($A674,TRIM(SUBSTITUTE('worker file'!$A$2:$A$406,_xlfn.UNICHAR(160)," ")),'worker file'!$L$2:$L$406,"Not found")</f>
        <v>US Semi-monthly</v>
      </c>
      <c r="C674" s="36" t="str">
        <f t="array" ref="C674">_xlfn.XLOOKUP($A674,TRIM(SUBSTITUTE('worker file'!$A$2:$A$406,_xlfn.UNICHAR(160)," ")),'worker file'!$D$2:$D$406,"Not found")</f>
        <v>WA</v>
      </c>
      <c r="D674" s="36" t="str">
        <f t="array" ref="D674">_xlfn.XLOOKUP($A674,TRIM(SUBSTITUTE('worker file'!$A$2:$A$406,_xlfn.UNICHAR(160)," ")),'worker file'!$Q$2:$Q$406,"Not found")</f>
        <v>Active</v>
      </c>
      <c r="E674" s="35" t="s">
        <v>634</v>
      </c>
      <c r="F674" t="str">
        <f t="shared" si="77"/>
        <v>Vision – Employee</v>
      </c>
      <c r="G674" t="str">
        <f t="shared" si="78"/>
        <v>Pre-tax Section 125 (exempt from FIT/SIT/FICA)</v>
      </c>
      <c r="H674" t="str">
        <f t="shared" si="79"/>
        <v>Flat</v>
      </c>
      <c r="I674" s="40" t="str">
        <f>IF($H674="Percent",_xlfn.XLOOKUP($E674,$A$5:$A$8,$F$5:$F$8,""),"")</f>
        <v/>
      </c>
      <c r="J674" s="38">
        <f t="shared" si="80"/>
        <v>30</v>
      </c>
      <c r="K674" t="str">
        <f t="shared" si="81"/>
        <v>Per pay period</v>
      </c>
      <c r="L674" t="str">
        <f t="shared" si="82"/>
        <v>Every pay period (ongoing)</v>
      </c>
      <c r="M674" s="39">
        <f t="array" ref="M674">MAX(_xlfn.XLOOKUP($A674,TRIM(SUBSTITUTE('worker file'!$A$2:$A$406,_xlfn.UNICHAR(160)," ")),'worker file'!$M$2:$M$406,0),_xlfn.XLOOKUP($B674,TRIM('pay group &amp; schedule'!$A$2:$A$6),'pay group &amp; schedule'!$D$2:$D$6,0))</f>
        <v>46311</v>
      </c>
      <c r="N674" s="39" t="str">
        <f t="array" ref="N674">_xlfn.LET(_xlpm.t,_xlfn.XLOOKUP($A674,TRIM(SUBSTITUTE('worker file'!$A$2:$A$406,_xlfn.UNICHAR(160)," ")),'worker file'!$N$2:$N$406,""),IF(N(_xlpm.t)=0,"",_xlpm.t))</f>
        <v/>
      </c>
    </row>
    <row r="675" spans="1:15" x14ac:dyDescent="0.2">
      <c r="A675" s="35" t="s">
        <v>335</v>
      </c>
      <c r="B675" s="36" t="str">
        <f t="array" ref="B675">_xlfn.XLOOKUP($A675,TRIM(SUBSTITUTE('worker file'!$A$2:$A$406,_xlfn.UNICHAR(160)," ")),'worker file'!$L$2:$L$406,"Not found")</f>
        <v>US Semi-monthly</v>
      </c>
      <c r="C675" s="36" t="str">
        <f t="array" ref="C675">_xlfn.XLOOKUP($A675,TRIM(SUBSTITUTE('worker file'!$A$2:$A$406,_xlfn.UNICHAR(160)," ")),'worker file'!$D$2:$D$406,"Not found")</f>
        <v>CA</v>
      </c>
      <c r="D675" s="36" t="str">
        <f t="array" ref="D675">_xlfn.XLOOKUP($A675,TRIM(SUBSTITUTE('worker file'!$A$2:$A$406,_xlfn.UNICHAR(160)," ")),'worker file'!$Q$2:$Q$406,"Not found")</f>
        <v>Active</v>
      </c>
      <c r="E675" s="35" t="s">
        <v>618</v>
      </c>
      <c r="F675" t="str">
        <f t="shared" si="77"/>
        <v>401(k) Employee Deferral</v>
      </c>
      <c r="G675" t="str">
        <f t="shared" si="78"/>
        <v>Pre-tax (exempt from FIT/SIT; subject to FICA)</v>
      </c>
      <c r="H675" t="str">
        <f t="shared" si="79"/>
        <v>Percent</v>
      </c>
      <c r="I675" s="37">
        <v>0.05</v>
      </c>
      <c r="J675" s="38" t="str">
        <f t="shared" si="80"/>
        <v/>
      </c>
      <c r="K675" t="str">
        <f t="shared" si="81"/>
        <v>Gross pay</v>
      </c>
      <c r="L675" t="str">
        <f t="shared" si="82"/>
        <v>Every pay period (ongoing)</v>
      </c>
      <c r="M675" s="39">
        <f t="array" ref="M675">MAX(_xlfn.XLOOKUP($A675,TRIM(SUBSTITUTE('worker file'!$A$2:$A$406,_xlfn.UNICHAR(160)," ")),'worker file'!$M$2:$M$406,0),_xlfn.XLOOKUP($B675,TRIM('pay group &amp; schedule'!$A$2:$A$6),'pay group &amp; schedule'!$D$2:$D$6,0))</f>
        <v>46311</v>
      </c>
      <c r="N675" s="39" t="str">
        <f t="array" ref="N675">_xlfn.LET(_xlpm.t,_xlfn.XLOOKUP($A675,TRIM(SUBSTITUTE('worker file'!$A$2:$A$406,_xlfn.UNICHAR(160)," ")),'worker file'!$N$2:$N$406,""),IF(N(_xlpm.t)=0,"",_xlpm.t))</f>
        <v/>
      </c>
    </row>
    <row r="676" spans="1:15" x14ac:dyDescent="0.2">
      <c r="A676" s="35" t="s">
        <v>335</v>
      </c>
      <c r="B676" s="36" t="str">
        <f t="array" ref="B676">_xlfn.XLOOKUP($A676,TRIM(SUBSTITUTE('worker file'!$A$2:$A$406,_xlfn.UNICHAR(160)," ")),'worker file'!$L$2:$L$406,"Not found")</f>
        <v>US Semi-monthly</v>
      </c>
      <c r="C676" s="36" t="str">
        <f t="array" ref="C676">_xlfn.XLOOKUP($A676,TRIM(SUBSTITUTE('worker file'!$A$2:$A$406,_xlfn.UNICHAR(160)," ")),'worker file'!$D$2:$D$406,"Not found")</f>
        <v>CA</v>
      </c>
      <c r="D676" s="36" t="str">
        <f t="array" ref="D676">_xlfn.XLOOKUP($A676,TRIM(SUBSTITUTE('worker file'!$A$2:$A$406,_xlfn.UNICHAR(160)," ")),'worker file'!$Q$2:$Q$406,"Not found")</f>
        <v>Active</v>
      </c>
      <c r="E676" s="35" t="s">
        <v>626</v>
      </c>
      <c r="F676" t="str">
        <f t="shared" si="77"/>
        <v>Medical (Health) – Employee</v>
      </c>
      <c r="G676" t="str">
        <f t="shared" si="78"/>
        <v>Pre-tax Section 125 (exempt from FIT/SIT/FICA)</v>
      </c>
      <c r="H676" t="str">
        <f t="shared" si="79"/>
        <v>Flat</v>
      </c>
      <c r="I676" s="40" t="str">
        <f t="shared" ref="I676:I681" si="83">IF($H676="Percent",_xlfn.XLOOKUP($E676,$A$5:$A$8,$F$5:$F$8,""),"")</f>
        <v/>
      </c>
      <c r="J676" s="38">
        <f t="shared" si="80"/>
        <v>200</v>
      </c>
      <c r="K676" t="str">
        <f t="shared" si="81"/>
        <v>Per pay period</v>
      </c>
      <c r="L676" t="str">
        <f t="shared" si="82"/>
        <v>Every pay period (ongoing)</v>
      </c>
      <c r="M676" s="39">
        <f t="array" ref="M676">MAX(_xlfn.XLOOKUP($A676,TRIM(SUBSTITUTE('worker file'!$A$2:$A$406,_xlfn.UNICHAR(160)," ")),'worker file'!$M$2:$M$406,0),_xlfn.XLOOKUP($B676,TRIM('pay group &amp; schedule'!$A$2:$A$6),'pay group &amp; schedule'!$D$2:$D$6,0))</f>
        <v>46311</v>
      </c>
      <c r="N676" s="39" t="str">
        <f t="array" ref="N676">_xlfn.LET(_xlpm.t,_xlfn.XLOOKUP($A676,TRIM(SUBSTITUTE('worker file'!$A$2:$A$406,_xlfn.UNICHAR(160)," ")),'worker file'!$N$2:$N$406,""),IF(N(_xlpm.t)=0,"",_xlpm.t))</f>
        <v/>
      </c>
    </row>
    <row r="677" spans="1:15" x14ac:dyDescent="0.2">
      <c r="A677" s="35" t="s">
        <v>335</v>
      </c>
      <c r="B677" s="36" t="str">
        <f t="array" ref="B677">_xlfn.XLOOKUP($A677,TRIM(SUBSTITUTE('worker file'!$A$2:$A$406,_xlfn.UNICHAR(160)," ")),'worker file'!$L$2:$L$406,"Not found")</f>
        <v>US Semi-monthly</v>
      </c>
      <c r="C677" s="36" t="str">
        <f t="array" ref="C677">_xlfn.XLOOKUP($A677,TRIM(SUBSTITUTE('worker file'!$A$2:$A$406,_xlfn.UNICHAR(160)," ")),'worker file'!$D$2:$D$406,"Not found")</f>
        <v>CA</v>
      </c>
      <c r="D677" s="36" t="str">
        <f t="array" ref="D677">_xlfn.XLOOKUP($A677,TRIM(SUBSTITUTE('worker file'!$A$2:$A$406,_xlfn.UNICHAR(160)," ")),'worker file'!$Q$2:$Q$406,"Not found")</f>
        <v>Active</v>
      </c>
      <c r="E677" s="35" t="s">
        <v>632</v>
      </c>
      <c r="F677" t="str">
        <f t="shared" si="77"/>
        <v>Dental – Employee</v>
      </c>
      <c r="G677" t="str">
        <f t="shared" si="78"/>
        <v>Pre-tax Section 125 (exempt from FIT/SIT/FICA)</v>
      </c>
      <c r="H677" t="str">
        <f t="shared" si="79"/>
        <v>Flat</v>
      </c>
      <c r="I677" s="40" t="str">
        <f t="shared" si="83"/>
        <v/>
      </c>
      <c r="J677" s="38">
        <f t="shared" si="80"/>
        <v>44</v>
      </c>
      <c r="K677" t="str">
        <f t="shared" si="81"/>
        <v>Per pay period</v>
      </c>
      <c r="L677" t="str">
        <f t="shared" si="82"/>
        <v>Every pay period (ongoing)</v>
      </c>
      <c r="M677" s="39">
        <f t="array" ref="M677">MAX(_xlfn.XLOOKUP($A677,TRIM(SUBSTITUTE('worker file'!$A$2:$A$406,_xlfn.UNICHAR(160)," ")),'worker file'!$M$2:$M$406,0),_xlfn.XLOOKUP($B677,TRIM('pay group &amp; schedule'!$A$2:$A$6),'pay group &amp; schedule'!$D$2:$D$6,0))</f>
        <v>46311</v>
      </c>
      <c r="N677" s="39" t="str">
        <f t="array" ref="N677">_xlfn.LET(_xlpm.t,_xlfn.XLOOKUP($A677,TRIM(SUBSTITUTE('worker file'!$A$2:$A$406,_xlfn.UNICHAR(160)," ")),'worker file'!$N$2:$N$406,""),IF(N(_xlpm.t)=0,"",_xlpm.t))</f>
        <v/>
      </c>
    </row>
    <row r="678" spans="1:15" x14ac:dyDescent="0.2">
      <c r="A678" s="35" t="s">
        <v>335</v>
      </c>
      <c r="B678" s="36" t="str">
        <f t="array" ref="B678">_xlfn.XLOOKUP($A678,TRIM(SUBSTITUTE('worker file'!$A$2:$A$406,_xlfn.UNICHAR(160)," ")),'worker file'!$L$2:$L$406,"Not found")</f>
        <v>US Semi-monthly</v>
      </c>
      <c r="C678" s="36" t="str">
        <f t="array" ref="C678">_xlfn.XLOOKUP($A678,TRIM(SUBSTITUTE('worker file'!$A$2:$A$406,_xlfn.UNICHAR(160)," ")),'worker file'!$D$2:$D$406,"Not found")</f>
        <v>CA</v>
      </c>
      <c r="D678" s="36" t="str">
        <f t="array" ref="D678">_xlfn.XLOOKUP($A678,TRIM(SUBSTITUTE('worker file'!$A$2:$A$406,_xlfn.UNICHAR(160)," ")),'worker file'!$Q$2:$Q$406,"Not found")</f>
        <v>Active</v>
      </c>
      <c r="E678" s="35" t="s">
        <v>634</v>
      </c>
      <c r="F678" t="str">
        <f t="shared" si="77"/>
        <v>Vision – Employee</v>
      </c>
      <c r="G678" t="str">
        <f t="shared" si="78"/>
        <v>Pre-tax Section 125 (exempt from FIT/SIT/FICA)</v>
      </c>
      <c r="H678" t="str">
        <f t="shared" si="79"/>
        <v>Flat</v>
      </c>
      <c r="I678" s="40" t="str">
        <f t="shared" si="83"/>
        <v/>
      </c>
      <c r="J678" s="38">
        <f t="shared" si="80"/>
        <v>30</v>
      </c>
      <c r="K678" t="str">
        <f t="shared" si="81"/>
        <v>Per pay period</v>
      </c>
      <c r="L678" t="str">
        <f t="shared" si="82"/>
        <v>Every pay period (ongoing)</v>
      </c>
      <c r="M678" s="39">
        <f t="array" ref="M678">MAX(_xlfn.XLOOKUP($A678,TRIM(SUBSTITUTE('worker file'!$A$2:$A$406,_xlfn.UNICHAR(160)," ")),'worker file'!$M$2:$M$406,0),_xlfn.XLOOKUP($B678,TRIM('pay group &amp; schedule'!$A$2:$A$6),'pay group &amp; schedule'!$D$2:$D$6,0))</f>
        <v>46311</v>
      </c>
      <c r="N678" s="39" t="str">
        <f t="array" ref="N678">_xlfn.LET(_xlpm.t,_xlfn.XLOOKUP($A678,TRIM(SUBSTITUTE('worker file'!$A$2:$A$406,_xlfn.UNICHAR(160)," ")),'worker file'!$N$2:$N$406,""),IF(N(_xlpm.t)=0,"",_xlpm.t))</f>
        <v/>
      </c>
    </row>
    <row r="679" spans="1:15" x14ac:dyDescent="0.2">
      <c r="A679" s="35" t="s">
        <v>337</v>
      </c>
      <c r="B679" s="36" t="str">
        <f t="array" ref="B679">_xlfn.XLOOKUP($A679,TRIM(SUBSTITUTE('worker file'!$A$2:$A$406,_xlfn.UNICHAR(160)," ")),'worker file'!$L$2:$L$406,"Not found")</f>
        <v>US Biweekly</v>
      </c>
      <c r="C679" s="36" t="str">
        <f t="array" ref="C679">_xlfn.XLOOKUP($A679,TRIM(SUBSTITUTE('worker file'!$A$2:$A$406,_xlfn.UNICHAR(160)," ")),'worker file'!$D$2:$D$406,"Not found")</f>
        <v>CA</v>
      </c>
      <c r="D679" s="36" t="str">
        <f t="array" ref="D679">_xlfn.XLOOKUP($A679,TRIM(SUBSTITUTE('worker file'!$A$2:$A$406,_xlfn.UNICHAR(160)," ")),'worker file'!$Q$2:$Q$406,"Not found")</f>
        <v>On Leave(paid)</v>
      </c>
      <c r="E679" s="35" t="s">
        <v>626</v>
      </c>
      <c r="F679" t="str">
        <f t="shared" si="77"/>
        <v>Medical (Health) – Employee</v>
      </c>
      <c r="G679" t="str">
        <f t="shared" si="78"/>
        <v>Pre-tax Section 125 (exempt from FIT/SIT/FICA)</v>
      </c>
      <c r="H679" t="str">
        <f t="shared" si="79"/>
        <v>Flat</v>
      </c>
      <c r="I679" s="40" t="str">
        <f t="shared" si="83"/>
        <v/>
      </c>
      <c r="J679" s="38">
        <f t="shared" si="80"/>
        <v>200</v>
      </c>
      <c r="K679" t="str">
        <f t="shared" si="81"/>
        <v>Per pay period</v>
      </c>
      <c r="L679" t="str">
        <f t="shared" si="82"/>
        <v>Every pay period (ongoing)</v>
      </c>
      <c r="M679" s="39">
        <f t="array" ref="M679">MAX(_xlfn.XLOOKUP($A679,TRIM(SUBSTITUTE('worker file'!$A$2:$A$406,_xlfn.UNICHAR(160)," ")),'worker file'!$M$2:$M$406,0),_xlfn.XLOOKUP($B679,TRIM('pay group &amp; schedule'!$A$2:$A$6),'pay group &amp; schedule'!$D$2:$D$6,0))</f>
        <v>46299</v>
      </c>
      <c r="N679" s="39" t="str">
        <f t="array" ref="N679">_xlfn.LET(_xlpm.t,_xlfn.XLOOKUP($A679,TRIM(SUBSTITUTE('worker file'!$A$2:$A$406,_xlfn.UNICHAR(160)," ")),'worker file'!$N$2:$N$406,""),IF(N(_xlpm.t)=0,"",_xlpm.t))</f>
        <v/>
      </c>
      <c r="O679" t="s">
        <v>648</v>
      </c>
    </row>
    <row r="680" spans="1:15" x14ac:dyDescent="0.2">
      <c r="A680" s="35" t="s">
        <v>337</v>
      </c>
      <c r="B680" s="36" t="str">
        <f t="array" ref="B680">_xlfn.XLOOKUP($A680,TRIM(SUBSTITUTE('worker file'!$A$2:$A$406,_xlfn.UNICHAR(160)," ")),'worker file'!$L$2:$L$406,"Not found")</f>
        <v>US Biweekly</v>
      </c>
      <c r="C680" s="36" t="str">
        <f t="array" ref="C680">_xlfn.XLOOKUP($A680,TRIM(SUBSTITUTE('worker file'!$A$2:$A$406,_xlfn.UNICHAR(160)," ")),'worker file'!$D$2:$D$406,"Not found")</f>
        <v>CA</v>
      </c>
      <c r="D680" s="36" t="str">
        <f t="array" ref="D680">_xlfn.XLOOKUP($A680,TRIM(SUBSTITUTE('worker file'!$A$2:$A$406,_xlfn.UNICHAR(160)," ")),'worker file'!$Q$2:$Q$406,"Not found")</f>
        <v>On Leave(paid)</v>
      </c>
      <c r="E680" s="35" t="s">
        <v>632</v>
      </c>
      <c r="F680" t="str">
        <f t="shared" si="77"/>
        <v>Dental – Employee</v>
      </c>
      <c r="G680" t="str">
        <f t="shared" si="78"/>
        <v>Pre-tax Section 125 (exempt from FIT/SIT/FICA)</v>
      </c>
      <c r="H680" t="str">
        <f t="shared" si="79"/>
        <v>Flat</v>
      </c>
      <c r="I680" s="40" t="str">
        <f t="shared" si="83"/>
        <v/>
      </c>
      <c r="J680" s="38">
        <f t="shared" si="80"/>
        <v>44</v>
      </c>
      <c r="K680" t="str">
        <f t="shared" si="81"/>
        <v>Per pay period</v>
      </c>
      <c r="L680" t="str">
        <f t="shared" si="82"/>
        <v>Every pay period (ongoing)</v>
      </c>
      <c r="M680" s="39">
        <f t="array" ref="M680">MAX(_xlfn.XLOOKUP($A680,TRIM(SUBSTITUTE('worker file'!$A$2:$A$406,_xlfn.UNICHAR(160)," ")),'worker file'!$M$2:$M$406,0),_xlfn.XLOOKUP($B680,TRIM('pay group &amp; schedule'!$A$2:$A$6),'pay group &amp; schedule'!$D$2:$D$6,0))</f>
        <v>46299</v>
      </c>
      <c r="N680" s="39" t="str">
        <f t="array" ref="N680">_xlfn.LET(_xlpm.t,_xlfn.XLOOKUP($A680,TRIM(SUBSTITUTE('worker file'!$A$2:$A$406,_xlfn.UNICHAR(160)," ")),'worker file'!$N$2:$N$406,""),IF(N(_xlpm.t)=0,"",_xlpm.t))</f>
        <v/>
      </c>
      <c r="O680" t="s">
        <v>648</v>
      </c>
    </row>
    <row r="681" spans="1:15" x14ac:dyDescent="0.2">
      <c r="A681" s="35" t="s">
        <v>337</v>
      </c>
      <c r="B681" s="36" t="str">
        <f t="array" ref="B681">_xlfn.XLOOKUP($A681,TRIM(SUBSTITUTE('worker file'!$A$2:$A$406,_xlfn.UNICHAR(160)," ")),'worker file'!$L$2:$L$406,"Not found")</f>
        <v>US Biweekly</v>
      </c>
      <c r="C681" s="36" t="str">
        <f t="array" ref="C681">_xlfn.XLOOKUP($A681,TRIM(SUBSTITUTE('worker file'!$A$2:$A$406,_xlfn.UNICHAR(160)," ")),'worker file'!$D$2:$D$406,"Not found")</f>
        <v>CA</v>
      </c>
      <c r="D681" s="36" t="str">
        <f t="array" ref="D681">_xlfn.XLOOKUP($A681,TRIM(SUBSTITUTE('worker file'!$A$2:$A$406,_xlfn.UNICHAR(160)," ")),'worker file'!$Q$2:$Q$406,"Not found")</f>
        <v>On Leave(paid)</v>
      </c>
      <c r="E681" s="35" t="s">
        <v>634</v>
      </c>
      <c r="F681" t="str">
        <f t="shared" si="77"/>
        <v>Vision – Employee</v>
      </c>
      <c r="G681" t="str">
        <f t="shared" si="78"/>
        <v>Pre-tax Section 125 (exempt from FIT/SIT/FICA)</v>
      </c>
      <c r="H681" t="str">
        <f t="shared" si="79"/>
        <v>Flat</v>
      </c>
      <c r="I681" s="40" t="str">
        <f t="shared" si="83"/>
        <v/>
      </c>
      <c r="J681" s="38">
        <f t="shared" si="80"/>
        <v>30</v>
      </c>
      <c r="K681" t="str">
        <f t="shared" si="81"/>
        <v>Per pay period</v>
      </c>
      <c r="L681" t="str">
        <f t="shared" si="82"/>
        <v>Every pay period (ongoing)</v>
      </c>
      <c r="M681" s="39">
        <f t="array" ref="M681">MAX(_xlfn.XLOOKUP($A681,TRIM(SUBSTITUTE('worker file'!$A$2:$A$406,_xlfn.UNICHAR(160)," ")),'worker file'!$M$2:$M$406,0),_xlfn.XLOOKUP($B681,TRIM('pay group &amp; schedule'!$A$2:$A$6),'pay group &amp; schedule'!$D$2:$D$6,0))</f>
        <v>46299</v>
      </c>
      <c r="N681" s="39" t="str">
        <f t="array" ref="N681">_xlfn.LET(_xlpm.t,_xlfn.XLOOKUP($A681,TRIM(SUBSTITUTE('worker file'!$A$2:$A$406,_xlfn.UNICHAR(160)," ")),'worker file'!$N$2:$N$406,""),IF(N(_xlpm.t)=0,"",_xlpm.t))</f>
        <v/>
      </c>
      <c r="O681" t="s">
        <v>648</v>
      </c>
    </row>
    <row r="682" spans="1:15" x14ac:dyDescent="0.2">
      <c r="A682" s="35" t="s">
        <v>338</v>
      </c>
      <c r="B682" s="36" t="str">
        <f t="array" ref="B682">_xlfn.XLOOKUP($A682,TRIM(SUBSTITUTE('worker file'!$A$2:$A$406,_xlfn.UNICHAR(160)," ")),'worker file'!$L$2:$L$406,"Not found")</f>
        <v>US Biweekly</v>
      </c>
      <c r="C682" s="36" t="str">
        <f t="array" ref="C682">_xlfn.XLOOKUP($A682,TRIM(SUBSTITUTE('worker file'!$A$2:$A$406,_xlfn.UNICHAR(160)," ")),'worker file'!$D$2:$D$406,"Not found")</f>
        <v>TX</v>
      </c>
      <c r="D682" s="36" t="str">
        <f t="array" ref="D682">_xlfn.XLOOKUP($A682,TRIM(SUBSTITUTE('worker file'!$A$2:$A$406,_xlfn.UNICHAR(160)," ")),'worker file'!$Q$2:$Q$406,"Not found")</f>
        <v>Active</v>
      </c>
      <c r="E682" s="35" t="s">
        <v>618</v>
      </c>
      <c r="F682" t="str">
        <f t="shared" si="77"/>
        <v>401(k) Employee Deferral</v>
      </c>
      <c r="G682" t="str">
        <f t="shared" si="78"/>
        <v>Pre-tax (exempt from FIT/SIT; subject to FICA)</v>
      </c>
      <c r="H682" t="str">
        <f t="shared" si="79"/>
        <v>Percent</v>
      </c>
      <c r="I682" s="37">
        <v>7.0000000000000007E-2</v>
      </c>
      <c r="J682" s="38" t="str">
        <f t="shared" si="80"/>
        <v/>
      </c>
      <c r="K682" t="str">
        <f t="shared" si="81"/>
        <v>Gross pay</v>
      </c>
      <c r="L682" t="str">
        <f t="shared" si="82"/>
        <v>Every pay period (ongoing)</v>
      </c>
      <c r="M682" s="39">
        <f t="array" ref="M682">MAX(_xlfn.XLOOKUP($A682,TRIM(SUBSTITUTE('worker file'!$A$2:$A$406,_xlfn.UNICHAR(160)," ")),'worker file'!$M$2:$M$406,0),_xlfn.XLOOKUP($B682,TRIM('pay group &amp; schedule'!$A$2:$A$6),'pay group &amp; schedule'!$D$2:$D$6,0))</f>
        <v>46299</v>
      </c>
      <c r="N682" s="39" t="str">
        <f t="array" ref="N682">_xlfn.LET(_xlpm.t,_xlfn.XLOOKUP($A682,TRIM(SUBSTITUTE('worker file'!$A$2:$A$406,_xlfn.UNICHAR(160)," ")),'worker file'!$N$2:$N$406,""),IF(N(_xlpm.t)=0,"",_xlpm.t))</f>
        <v/>
      </c>
    </row>
    <row r="683" spans="1:15" x14ac:dyDescent="0.2">
      <c r="A683" s="35" t="s">
        <v>338</v>
      </c>
      <c r="B683" s="36" t="str">
        <f t="array" ref="B683">_xlfn.XLOOKUP($A683,TRIM(SUBSTITUTE('worker file'!$A$2:$A$406,_xlfn.UNICHAR(160)," ")),'worker file'!$L$2:$L$406,"Not found")</f>
        <v>US Biweekly</v>
      </c>
      <c r="C683" s="36" t="str">
        <f t="array" ref="C683">_xlfn.XLOOKUP($A683,TRIM(SUBSTITUTE('worker file'!$A$2:$A$406,_xlfn.UNICHAR(160)," ")),'worker file'!$D$2:$D$406,"Not found")</f>
        <v>TX</v>
      </c>
      <c r="D683" s="36" t="str">
        <f t="array" ref="D683">_xlfn.XLOOKUP($A683,TRIM(SUBSTITUTE('worker file'!$A$2:$A$406,_xlfn.UNICHAR(160)," ")),'worker file'!$Q$2:$Q$406,"Not found")</f>
        <v>Active</v>
      </c>
      <c r="E683" s="35" t="s">
        <v>626</v>
      </c>
      <c r="F683" t="str">
        <f t="shared" si="77"/>
        <v>Medical (Health) – Employee</v>
      </c>
      <c r="G683" t="str">
        <f t="shared" si="78"/>
        <v>Pre-tax Section 125 (exempt from FIT/SIT/FICA)</v>
      </c>
      <c r="H683" t="str">
        <f t="shared" si="79"/>
        <v>Flat</v>
      </c>
      <c r="I683" s="40" t="str">
        <f>IF($H683="Percent",_xlfn.XLOOKUP($E683,$A$5:$A$8,$F$5:$F$8,""),"")</f>
        <v/>
      </c>
      <c r="J683" s="38">
        <f t="shared" si="80"/>
        <v>200</v>
      </c>
      <c r="K683" t="str">
        <f t="shared" si="81"/>
        <v>Per pay period</v>
      </c>
      <c r="L683" t="str">
        <f t="shared" si="82"/>
        <v>Every pay period (ongoing)</v>
      </c>
      <c r="M683" s="39">
        <f t="array" ref="M683">MAX(_xlfn.XLOOKUP($A683,TRIM(SUBSTITUTE('worker file'!$A$2:$A$406,_xlfn.UNICHAR(160)," ")),'worker file'!$M$2:$M$406,0),_xlfn.XLOOKUP($B683,TRIM('pay group &amp; schedule'!$A$2:$A$6),'pay group &amp; schedule'!$D$2:$D$6,0))</f>
        <v>46299</v>
      </c>
      <c r="N683" s="39" t="str">
        <f t="array" ref="N683">_xlfn.LET(_xlpm.t,_xlfn.XLOOKUP($A683,TRIM(SUBSTITUTE('worker file'!$A$2:$A$406,_xlfn.UNICHAR(160)," ")),'worker file'!$N$2:$N$406,""),IF(N(_xlpm.t)=0,"",_xlpm.t))</f>
        <v/>
      </c>
    </row>
    <row r="684" spans="1:15" x14ac:dyDescent="0.2">
      <c r="A684" s="35" t="s">
        <v>338</v>
      </c>
      <c r="B684" s="36" t="str">
        <f t="array" ref="B684">_xlfn.XLOOKUP($A684,TRIM(SUBSTITUTE('worker file'!$A$2:$A$406,_xlfn.UNICHAR(160)," ")),'worker file'!$L$2:$L$406,"Not found")</f>
        <v>US Biweekly</v>
      </c>
      <c r="C684" s="36" t="str">
        <f t="array" ref="C684">_xlfn.XLOOKUP($A684,TRIM(SUBSTITUTE('worker file'!$A$2:$A$406,_xlfn.UNICHAR(160)," ")),'worker file'!$D$2:$D$406,"Not found")</f>
        <v>TX</v>
      </c>
      <c r="D684" s="36" t="str">
        <f t="array" ref="D684">_xlfn.XLOOKUP($A684,TRIM(SUBSTITUTE('worker file'!$A$2:$A$406,_xlfn.UNICHAR(160)," ")),'worker file'!$Q$2:$Q$406,"Not found")</f>
        <v>Active</v>
      </c>
      <c r="E684" s="35" t="s">
        <v>632</v>
      </c>
      <c r="F684" t="str">
        <f t="shared" si="77"/>
        <v>Dental – Employee</v>
      </c>
      <c r="G684" t="str">
        <f t="shared" si="78"/>
        <v>Pre-tax Section 125 (exempt from FIT/SIT/FICA)</v>
      </c>
      <c r="H684" t="str">
        <f t="shared" si="79"/>
        <v>Flat</v>
      </c>
      <c r="I684" s="40" t="str">
        <f>IF($H684="Percent",_xlfn.XLOOKUP($E684,$A$5:$A$8,$F$5:$F$8,""),"")</f>
        <v/>
      </c>
      <c r="J684" s="38">
        <f t="shared" si="80"/>
        <v>44</v>
      </c>
      <c r="K684" t="str">
        <f t="shared" si="81"/>
        <v>Per pay period</v>
      </c>
      <c r="L684" t="str">
        <f t="shared" si="82"/>
        <v>Every pay period (ongoing)</v>
      </c>
      <c r="M684" s="39">
        <f t="array" ref="M684">MAX(_xlfn.XLOOKUP($A684,TRIM(SUBSTITUTE('worker file'!$A$2:$A$406,_xlfn.UNICHAR(160)," ")),'worker file'!$M$2:$M$406,0),_xlfn.XLOOKUP($B684,TRIM('pay group &amp; schedule'!$A$2:$A$6),'pay group &amp; schedule'!$D$2:$D$6,0))</f>
        <v>46299</v>
      </c>
      <c r="N684" s="39" t="str">
        <f t="array" ref="N684">_xlfn.LET(_xlpm.t,_xlfn.XLOOKUP($A684,TRIM(SUBSTITUTE('worker file'!$A$2:$A$406,_xlfn.UNICHAR(160)," ")),'worker file'!$N$2:$N$406,""),IF(N(_xlpm.t)=0,"",_xlpm.t))</f>
        <v/>
      </c>
    </row>
    <row r="685" spans="1:15" x14ac:dyDescent="0.2">
      <c r="A685" s="35" t="s">
        <v>338</v>
      </c>
      <c r="B685" s="36" t="str">
        <f t="array" ref="B685">_xlfn.XLOOKUP($A685,TRIM(SUBSTITUTE('worker file'!$A$2:$A$406,_xlfn.UNICHAR(160)," ")),'worker file'!$L$2:$L$406,"Not found")</f>
        <v>US Biweekly</v>
      </c>
      <c r="C685" s="36" t="str">
        <f t="array" ref="C685">_xlfn.XLOOKUP($A685,TRIM(SUBSTITUTE('worker file'!$A$2:$A$406,_xlfn.UNICHAR(160)," ")),'worker file'!$D$2:$D$406,"Not found")</f>
        <v>TX</v>
      </c>
      <c r="D685" s="36" t="str">
        <f t="array" ref="D685">_xlfn.XLOOKUP($A685,TRIM(SUBSTITUTE('worker file'!$A$2:$A$406,_xlfn.UNICHAR(160)," ")),'worker file'!$Q$2:$Q$406,"Not found")</f>
        <v>Active</v>
      </c>
      <c r="E685" s="35" t="s">
        <v>634</v>
      </c>
      <c r="F685" t="str">
        <f t="shared" si="77"/>
        <v>Vision – Employee</v>
      </c>
      <c r="G685" t="str">
        <f t="shared" si="78"/>
        <v>Pre-tax Section 125 (exempt from FIT/SIT/FICA)</v>
      </c>
      <c r="H685" t="str">
        <f t="shared" si="79"/>
        <v>Flat</v>
      </c>
      <c r="I685" s="40" t="str">
        <f>IF($H685="Percent",_xlfn.XLOOKUP($E685,$A$5:$A$8,$F$5:$F$8,""),"")</f>
        <v/>
      </c>
      <c r="J685" s="38">
        <f t="shared" si="80"/>
        <v>30</v>
      </c>
      <c r="K685" t="str">
        <f t="shared" si="81"/>
        <v>Per pay period</v>
      </c>
      <c r="L685" t="str">
        <f t="shared" si="82"/>
        <v>Every pay period (ongoing)</v>
      </c>
      <c r="M685" s="39">
        <f t="array" ref="M685">MAX(_xlfn.XLOOKUP($A685,TRIM(SUBSTITUTE('worker file'!$A$2:$A$406,_xlfn.UNICHAR(160)," ")),'worker file'!$M$2:$M$406,0),_xlfn.XLOOKUP($B685,TRIM('pay group &amp; schedule'!$A$2:$A$6),'pay group &amp; schedule'!$D$2:$D$6,0))</f>
        <v>46299</v>
      </c>
      <c r="N685" s="39" t="str">
        <f t="array" ref="N685">_xlfn.LET(_xlpm.t,_xlfn.XLOOKUP($A685,TRIM(SUBSTITUTE('worker file'!$A$2:$A$406,_xlfn.UNICHAR(160)," ")),'worker file'!$N$2:$N$406,""),IF(N(_xlpm.t)=0,"",_xlpm.t))</f>
        <v/>
      </c>
    </row>
    <row r="686" spans="1:15" x14ac:dyDescent="0.2">
      <c r="A686" s="35" t="s">
        <v>339</v>
      </c>
      <c r="B686" s="36" t="str">
        <f t="array" ref="B686">_xlfn.XLOOKUP($A686,TRIM(SUBSTITUTE('worker file'!$A$2:$A$406,_xlfn.UNICHAR(160)," ")),'worker file'!$L$2:$L$406,"Not found")</f>
        <v>US Semi-monthly</v>
      </c>
      <c r="C686" s="36" t="str">
        <f t="array" ref="C686">_xlfn.XLOOKUP($A686,TRIM(SUBSTITUTE('worker file'!$A$2:$A$406,_xlfn.UNICHAR(160)," ")),'worker file'!$D$2:$D$406,"Not found")</f>
        <v>GA</v>
      </c>
      <c r="D686" s="36" t="str">
        <f t="array" ref="D686">_xlfn.XLOOKUP($A686,TRIM(SUBSTITUTE('worker file'!$A$2:$A$406,_xlfn.UNICHAR(160)," ")),'worker file'!$Q$2:$Q$406,"Not found")</f>
        <v>Active</v>
      </c>
      <c r="E686" s="35" t="s">
        <v>618</v>
      </c>
      <c r="F686" t="str">
        <f t="shared" si="77"/>
        <v>401(k) Employee Deferral</v>
      </c>
      <c r="G686" t="str">
        <f t="shared" si="78"/>
        <v>Pre-tax (exempt from FIT/SIT; subject to FICA)</v>
      </c>
      <c r="H686" t="str">
        <f t="shared" si="79"/>
        <v>Percent</v>
      </c>
      <c r="I686" s="37">
        <v>0.04</v>
      </c>
      <c r="J686" s="38" t="str">
        <f t="shared" si="80"/>
        <v/>
      </c>
      <c r="K686" t="str">
        <f t="shared" si="81"/>
        <v>Gross pay</v>
      </c>
      <c r="L686" t="str">
        <f t="shared" si="82"/>
        <v>Every pay period (ongoing)</v>
      </c>
      <c r="M686" s="39">
        <f t="array" ref="M686">MAX(_xlfn.XLOOKUP($A686,TRIM(SUBSTITUTE('worker file'!$A$2:$A$406,_xlfn.UNICHAR(160)," ")),'worker file'!$M$2:$M$406,0),_xlfn.XLOOKUP($B686,TRIM('pay group &amp; schedule'!$A$2:$A$6),'pay group &amp; schedule'!$D$2:$D$6,0))</f>
        <v>46311</v>
      </c>
      <c r="N686" s="39" t="str">
        <f t="array" ref="N686">_xlfn.LET(_xlpm.t,_xlfn.XLOOKUP($A686,TRIM(SUBSTITUTE('worker file'!$A$2:$A$406,_xlfn.UNICHAR(160)," ")),'worker file'!$N$2:$N$406,""),IF(N(_xlpm.t)=0,"",_xlpm.t))</f>
        <v/>
      </c>
    </row>
    <row r="687" spans="1:15" x14ac:dyDescent="0.2">
      <c r="A687" s="35" t="s">
        <v>339</v>
      </c>
      <c r="B687" s="36" t="str">
        <f t="array" ref="B687">_xlfn.XLOOKUP($A687,TRIM(SUBSTITUTE('worker file'!$A$2:$A$406,_xlfn.UNICHAR(160)," ")),'worker file'!$L$2:$L$406,"Not found")</f>
        <v>US Semi-monthly</v>
      </c>
      <c r="C687" s="36" t="str">
        <f t="array" ref="C687">_xlfn.XLOOKUP($A687,TRIM(SUBSTITUTE('worker file'!$A$2:$A$406,_xlfn.UNICHAR(160)," ")),'worker file'!$D$2:$D$406,"Not found")</f>
        <v>GA</v>
      </c>
      <c r="D687" s="36" t="str">
        <f t="array" ref="D687">_xlfn.XLOOKUP($A687,TRIM(SUBSTITUTE('worker file'!$A$2:$A$406,_xlfn.UNICHAR(160)," ")),'worker file'!$Q$2:$Q$406,"Not found")</f>
        <v>Active</v>
      </c>
      <c r="E687" s="35" t="s">
        <v>626</v>
      </c>
      <c r="F687" t="str">
        <f t="shared" si="77"/>
        <v>Medical (Health) – Employee</v>
      </c>
      <c r="G687" t="str">
        <f t="shared" si="78"/>
        <v>Pre-tax Section 125 (exempt from FIT/SIT/FICA)</v>
      </c>
      <c r="H687" t="str">
        <f t="shared" si="79"/>
        <v>Flat</v>
      </c>
      <c r="I687" s="40" t="str">
        <f>IF($H687="Percent",_xlfn.XLOOKUP($E687,$A$5:$A$8,$F$5:$F$8,""),"")</f>
        <v/>
      </c>
      <c r="J687" s="38">
        <f t="shared" si="80"/>
        <v>200</v>
      </c>
      <c r="K687" t="str">
        <f t="shared" si="81"/>
        <v>Per pay period</v>
      </c>
      <c r="L687" t="str">
        <f t="shared" si="82"/>
        <v>Every pay period (ongoing)</v>
      </c>
      <c r="M687" s="39">
        <f t="array" ref="M687">MAX(_xlfn.XLOOKUP($A687,TRIM(SUBSTITUTE('worker file'!$A$2:$A$406,_xlfn.UNICHAR(160)," ")),'worker file'!$M$2:$M$406,0),_xlfn.XLOOKUP($B687,TRIM('pay group &amp; schedule'!$A$2:$A$6),'pay group &amp; schedule'!$D$2:$D$6,0))</f>
        <v>46311</v>
      </c>
      <c r="N687" s="39" t="str">
        <f t="array" ref="N687">_xlfn.LET(_xlpm.t,_xlfn.XLOOKUP($A687,TRIM(SUBSTITUTE('worker file'!$A$2:$A$406,_xlfn.UNICHAR(160)," ")),'worker file'!$N$2:$N$406,""),IF(N(_xlpm.t)=0,"",_xlpm.t))</f>
        <v/>
      </c>
    </row>
    <row r="688" spans="1:15" x14ac:dyDescent="0.2">
      <c r="A688" s="35" t="s">
        <v>339</v>
      </c>
      <c r="B688" s="36" t="str">
        <f t="array" ref="B688">_xlfn.XLOOKUP($A688,TRIM(SUBSTITUTE('worker file'!$A$2:$A$406,_xlfn.UNICHAR(160)," ")),'worker file'!$L$2:$L$406,"Not found")</f>
        <v>US Semi-monthly</v>
      </c>
      <c r="C688" s="36" t="str">
        <f t="array" ref="C688">_xlfn.XLOOKUP($A688,TRIM(SUBSTITUTE('worker file'!$A$2:$A$406,_xlfn.UNICHAR(160)," ")),'worker file'!$D$2:$D$406,"Not found")</f>
        <v>GA</v>
      </c>
      <c r="D688" s="36" t="str">
        <f t="array" ref="D688">_xlfn.XLOOKUP($A688,TRIM(SUBSTITUTE('worker file'!$A$2:$A$406,_xlfn.UNICHAR(160)," ")),'worker file'!$Q$2:$Q$406,"Not found")</f>
        <v>Active</v>
      </c>
      <c r="E688" s="35" t="s">
        <v>632</v>
      </c>
      <c r="F688" t="str">
        <f t="shared" si="77"/>
        <v>Dental – Employee</v>
      </c>
      <c r="G688" t="str">
        <f t="shared" si="78"/>
        <v>Pre-tax Section 125 (exempt from FIT/SIT/FICA)</v>
      </c>
      <c r="H688" t="str">
        <f t="shared" si="79"/>
        <v>Flat</v>
      </c>
      <c r="I688" s="40" t="str">
        <f>IF($H688="Percent",_xlfn.XLOOKUP($E688,$A$5:$A$8,$F$5:$F$8,""),"")</f>
        <v/>
      </c>
      <c r="J688" s="38">
        <f t="shared" si="80"/>
        <v>44</v>
      </c>
      <c r="K688" t="str">
        <f t="shared" si="81"/>
        <v>Per pay period</v>
      </c>
      <c r="L688" t="str">
        <f t="shared" si="82"/>
        <v>Every pay period (ongoing)</v>
      </c>
      <c r="M688" s="39">
        <f t="array" ref="M688">MAX(_xlfn.XLOOKUP($A688,TRIM(SUBSTITUTE('worker file'!$A$2:$A$406,_xlfn.UNICHAR(160)," ")),'worker file'!$M$2:$M$406,0),_xlfn.XLOOKUP($B688,TRIM('pay group &amp; schedule'!$A$2:$A$6),'pay group &amp; schedule'!$D$2:$D$6,0))</f>
        <v>46311</v>
      </c>
      <c r="N688" s="39" t="str">
        <f t="array" ref="N688">_xlfn.LET(_xlpm.t,_xlfn.XLOOKUP($A688,TRIM(SUBSTITUTE('worker file'!$A$2:$A$406,_xlfn.UNICHAR(160)," ")),'worker file'!$N$2:$N$406,""),IF(N(_xlpm.t)=0,"",_xlpm.t))</f>
        <v/>
      </c>
    </row>
    <row r="689" spans="1:14" x14ac:dyDescent="0.2">
      <c r="A689" s="35" t="s">
        <v>339</v>
      </c>
      <c r="B689" s="36" t="str">
        <f t="array" ref="B689">_xlfn.XLOOKUP($A689,TRIM(SUBSTITUTE('worker file'!$A$2:$A$406,_xlfn.UNICHAR(160)," ")),'worker file'!$L$2:$L$406,"Not found")</f>
        <v>US Semi-monthly</v>
      </c>
      <c r="C689" s="36" t="str">
        <f t="array" ref="C689">_xlfn.XLOOKUP($A689,TRIM(SUBSTITUTE('worker file'!$A$2:$A$406,_xlfn.UNICHAR(160)," ")),'worker file'!$D$2:$D$406,"Not found")</f>
        <v>GA</v>
      </c>
      <c r="D689" s="36" t="str">
        <f t="array" ref="D689">_xlfn.XLOOKUP($A689,TRIM(SUBSTITUTE('worker file'!$A$2:$A$406,_xlfn.UNICHAR(160)," ")),'worker file'!$Q$2:$Q$406,"Not found")</f>
        <v>Active</v>
      </c>
      <c r="E689" s="35" t="s">
        <v>634</v>
      </c>
      <c r="F689" t="str">
        <f t="shared" si="77"/>
        <v>Vision – Employee</v>
      </c>
      <c r="G689" t="str">
        <f t="shared" si="78"/>
        <v>Pre-tax Section 125 (exempt from FIT/SIT/FICA)</v>
      </c>
      <c r="H689" t="str">
        <f t="shared" si="79"/>
        <v>Flat</v>
      </c>
      <c r="I689" s="40" t="str">
        <f>IF($H689="Percent",_xlfn.XLOOKUP($E689,$A$5:$A$8,$F$5:$F$8,""),"")</f>
        <v/>
      </c>
      <c r="J689" s="38">
        <f t="shared" si="80"/>
        <v>30</v>
      </c>
      <c r="K689" t="str">
        <f t="shared" si="81"/>
        <v>Per pay period</v>
      </c>
      <c r="L689" t="str">
        <f t="shared" si="82"/>
        <v>Every pay period (ongoing)</v>
      </c>
      <c r="M689" s="39">
        <f t="array" ref="M689">MAX(_xlfn.XLOOKUP($A689,TRIM(SUBSTITUTE('worker file'!$A$2:$A$406,_xlfn.UNICHAR(160)," ")),'worker file'!$M$2:$M$406,0),_xlfn.XLOOKUP($B689,TRIM('pay group &amp; schedule'!$A$2:$A$6),'pay group &amp; schedule'!$D$2:$D$6,0))</f>
        <v>46311</v>
      </c>
      <c r="N689" s="39" t="str">
        <f t="array" ref="N689">_xlfn.LET(_xlpm.t,_xlfn.XLOOKUP($A689,TRIM(SUBSTITUTE('worker file'!$A$2:$A$406,_xlfn.UNICHAR(160)," ")),'worker file'!$N$2:$N$406,""),IF(N(_xlpm.t)=0,"",_xlpm.t))</f>
        <v/>
      </c>
    </row>
    <row r="690" spans="1:14" x14ac:dyDescent="0.2">
      <c r="A690" s="35" t="s">
        <v>340</v>
      </c>
      <c r="B690" s="36" t="str">
        <f t="array" ref="B690">_xlfn.XLOOKUP($A690,TRIM(SUBSTITUTE('worker file'!$A$2:$A$406,_xlfn.UNICHAR(160)," ")),'worker file'!$L$2:$L$406,"Not found")</f>
        <v>US Semi-monthly</v>
      </c>
      <c r="C690" s="36" t="str">
        <f t="array" ref="C690">_xlfn.XLOOKUP($A690,TRIM(SUBSTITUTE('worker file'!$A$2:$A$406,_xlfn.UNICHAR(160)," ")),'worker file'!$D$2:$D$406,"Not found")</f>
        <v>CA</v>
      </c>
      <c r="D690" s="36" t="str">
        <f t="array" ref="D690">_xlfn.XLOOKUP($A690,TRIM(SUBSTITUTE('worker file'!$A$2:$A$406,_xlfn.UNICHAR(160)," ")),'worker file'!$Q$2:$Q$406,"Not found")</f>
        <v>Active</v>
      </c>
      <c r="E690" s="35" t="s">
        <v>618</v>
      </c>
      <c r="F690" t="str">
        <f t="shared" si="77"/>
        <v>401(k) Employee Deferral</v>
      </c>
      <c r="G690" t="str">
        <f t="shared" si="78"/>
        <v>Pre-tax (exempt from FIT/SIT; subject to FICA)</v>
      </c>
      <c r="H690" t="str">
        <f t="shared" si="79"/>
        <v>Percent</v>
      </c>
      <c r="I690" s="37">
        <v>0.01</v>
      </c>
      <c r="J690" s="38" t="str">
        <f t="shared" si="80"/>
        <v/>
      </c>
      <c r="K690" t="str">
        <f t="shared" si="81"/>
        <v>Gross pay</v>
      </c>
      <c r="L690" t="str">
        <f t="shared" si="82"/>
        <v>Every pay period (ongoing)</v>
      </c>
      <c r="M690" s="39">
        <f t="array" ref="M690">MAX(_xlfn.XLOOKUP($A690,TRIM(SUBSTITUTE('worker file'!$A$2:$A$406,_xlfn.UNICHAR(160)," ")),'worker file'!$M$2:$M$406,0),_xlfn.XLOOKUP($B690,TRIM('pay group &amp; schedule'!$A$2:$A$6),'pay group &amp; schedule'!$D$2:$D$6,0))</f>
        <v>46311</v>
      </c>
      <c r="N690" s="39" t="str">
        <f t="array" ref="N690">_xlfn.LET(_xlpm.t,_xlfn.XLOOKUP($A690,TRIM(SUBSTITUTE('worker file'!$A$2:$A$406,_xlfn.UNICHAR(160)," ")),'worker file'!$N$2:$N$406,""),IF(N(_xlpm.t)=0,"",_xlpm.t))</f>
        <v/>
      </c>
    </row>
    <row r="691" spans="1:14" x14ac:dyDescent="0.2">
      <c r="A691" s="35" t="s">
        <v>340</v>
      </c>
      <c r="B691" s="36" t="str">
        <f t="array" ref="B691">_xlfn.XLOOKUP($A691,TRIM(SUBSTITUTE('worker file'!$A$2:$A$406,_xlfn.UNICHAR(160)," ")),'worker file'!$L$2:$L$406,"Not found")</f>
        <v>US Semi-monthly</v>
      </c>
      <c r="C691" s="36" t="str">
        <f t="array" ref="C691">_xlfn.XLOOKUP($A691,TRIM(SUBSTITUTE('worker file'!$A$2:$A$406,_xlfn.UNICHAR(160)," ")),'worker file'!$D$2:$D$406,"Not found")</f>
        <v>CA</v>
      </c>
      <c r="D691" s="36" t="str">
        <f t="array" ref="D691">_xlfn.XLOOKUP($A691,TRIM(SUBSTITUTE('worker file'!$A$2:$A$406,_xlfn.UNICHAR(160)," ")),'worker file'!$Q$2:$Q$406,"Not found")</f>
        <v>Active</v>
      </c>
      <c r="E691" s="35" t="s">
        <v>626</v>
      </c>
      <c r="F691" t="str">
        <f t="shared" si="77"/>
        <v>Medical (Health) – Employee</v>
      </c>
      <c r="G691" t="str">
        <f t="shared" si="78"/>
        <v>Pre-tax Section 125 (exempt from FIT/SIT/FICA)</v>
      </c>
      <c r="H691" t="str">
        <f t="shared" si="79"/>
        <v>Flat</v>
      </c>
      <c r="I691" s="40" t="str">
        <f>IF($H691="Percent",_xlfn.XLOOKUP($E691,$A$5:$A$8,$F$5:$F$8,""),"")</f>
        <v/>
      </c>
      <c r="J691" s="38">
        <f t="shared" si="80"/>
        <v>200</v>
      </c>
      <c r="K691" t="str">
        <f t="shared" si="81"/>
        <v>Per pay period</v>
      </c>
      <c r="L691" t="str">
        <f t="shared" si="82"/>
        <v>Every pay period (ongoing)</v>
      </c>
      <c r="M691" s="39">
        <f t="array" ref="M691">MAX(_xlfn.XLOOKUP($A691,TRIM(SUBSTITUTE('worker file'!$A$2:$A$406,_xlfn.UNICHAR(160)," ")),'worker file'!$M$2:$M$406,0),_xlfn.XLOOKUP($B691,TRIM('pay group &amp; schedule'!$A$2:$A$6),'pay group &amp; schedule'!$D$2:$D$6,0))</f>
        <v>46311</v>
      </c>
      <c r="N691" s="39" t="str">
        <f t="array" ref="N691">_xlfn.LET(_xlpm.t,_xlfn.XLOOKUP($A691,TRIM(SUBSTITUTE('worker file'!$A$2:$A$406,_xlfn.UNICHAR(160)," ")),'worker file'!$N$2:$N$406,""),IF(N(_xlpm.t)=0,"",_xlpm.t))</f>
        <v/>
      </c>
    </row>
    <row r="692" spans="1:14" x14ac:dyDescent="0.2">
      <c r="A692" s="35" t="s">
        <v>340</v>
      </c>
      <c r="B692" s="36" t="str">
        <f t="array" ref="B692">_xlfn.XLOOKUP($A692,TRIM(SUBSTITUTE('worker file'!$A$2:$A$406,_xlfn.UNICHAR(160)," ")),'worker file'!$L$2:$L$406,"Not found")</f>
        <v>US Semi-monthly</v>
      </c>
      <c r="C692" s="36" t="str">
        <f t="array" ref="C692">_xlfn.XLOOKUP($A692,TRIM(SUBSTITUTE('worker file'!$A$2:$A$406,_xlfn.UNICHAR(160)," ")),'worker file'!$D$2:$D$406,"Not found")</f>
        <v>CA</v>
      </c>
      <c r="D692" s="36" t="str">
        <f t="array" ref="D692">_xlfn.XLOOKUP($A692,TRIM(SUBSTITUTE('worker file'!$A$2:$A$406,_xlfn.UNICHAR(160)," ")),'worker file'!$Q$2:$Q$406,"Not found")</f>
        <v>Active</v>
      </c>
      <c r="E692" s="35" t="s">
        <v>632</v>
      </c>
      <c r="F692" t="str">
        <f t="shared" si="77"/>
        <v>Dental – Employee</v>
      </c>
      <c r="G692" t="str">
        <f t="shared" si="78"/>
        <v>Pre-tax Section 125 (exempt from FIT/SIT/FICA)</v>
      </c>
      <c r="H692" t="str">
        <f t="shared" si="79"/>
        <v>Flat</v>
      </c>
      <c r="I692" s="40" t="str">
        <f>IF($H692="Percent",_xlfn.XLOOKUP($E692,$A$5:$A$8,$F$5:$F$8,""),"")</f>
        <v/>
      </c>
      <c r="J692" s="38">
        <f t="shared" si="80"/>
        <v>44</v>
      </c>
      <c r="K692" t="str">
        <f t="shared" si="81"/>
        <v>Per pay period</v>
      </c>
      <c r="L692" t="str">
        <f t="shared" si="82"/>
        <v>Every pay period (ongoing)</v>
      </c>
      <c r="M692" s="39">
        <f t="array" ref="M692">MAX(_xlfn.XLOOKUP($A692,TRIM(SUBSTITUTE('worker file'!$A$2:$A$406,_xlfn.UNICHAR(160)," ")),'worker file'!$M$2:$M$406,0),_xlfn.XLOOKUP($B692,TRIM('pay group &amp; schedule'!$A$2:$A$6),'pay group &amp; schedule'!$D$2:$D$6,0))</f>
        <v>46311</v>
      </c>
      <c r="N692" s="39" t="str">
        <f t="array" ref="N692">_xlfn.LET(_xlpm.t,_xlfn.XLOOKUP($A692,TRIM(SUBSTITUTE('worker file'!$A$2:$A$406,_xlfn.UNICHAR(160)," ")),'worker file'!$N$2:$N$406,""),IF(N(_xlpm.t)=0,"",_xlpm.t))</f>
        <v/>
      </c>
    </row>
    <row r="693" spans="1:14" x14ac:dyDescent="0.2">
      <c r="A693" s="35" t="s">
        <v>340</v>
      </c>
      <c r="B693" s="36" t="str">
        <f t="array" ref="B693">_xlfn.XLOOKUP($A693,TRIM(SUBSTITUTE('worker file'!$A$2:$A$406,_xlfn.UNICHAR(160)," ")),'worker file'!$L$2:$L$406,"Not found")</f>
        <v>US Semi-monthly</v>
      </c>
      <c r="C693" s="36" t="str">
        <f t="array" ref="C693">_xlfn.XLOOKUP($A693,TRIM(SUBSTITUTE('worker file'!$A$2:$A$406,_xlfn.UNICHAR(160)," ")),'worker file'!$D$2:$D$406,"Not found")</f>
        <v>CA</v>
      </c>
      <c r="D693" s="36" t="str">
        <f t="array" ref="D693">_xlfn.XLOOKUP($A693,TRIM(SUBSTITUTE('worker file'!$A$2:$A$406,_xlfn.UNICHAR(160)," ")),'worker file'!$Q$2:$Q$406,"Not found")</f>
        <v>Active</v>
      </c>
      <c r="E693" s="35" t="s">
        <v>634</v>
      </c>
      <c r="F693" t="str">
        <f t="shared" si="77"/>
        <v>Vision – Employee</v>
      </c>
      <c r="G693" t="str">
        <f t="shared" si="78"/>
        <v>Pre-tax Section 125 (exempt from FIT/SIT/FICA)</v>
      </c>
      <c r="H693" t="str">
        <f t="shared" si="79"/>
        <v>Flat</v>
      </c>
      <c r="I693" s="40" t="str">
        <f>IF($H693="Percent",_xlfn.XLOOKUP($E693,$A$5:$A$8,$F$5:$F$8,""),"")</f>
        <v/>
      </c>
      <c r="J693" s="38">
        <f t="shared" si="80"/>
        <v>30</v>
      </c>
      <c r="K693" t="str">
        <f t="shared" si="81"/>
        <v>Per pay period</v>
      </c>
      <c r="L693" t="str">
        <f t="shared" si="82"/>
        <v>Every pay period (ongoing)</v>
      </c>
      <c r="M693" s="39">
        <f t="array" ref="M693">MAX(_xlfn.XLOOKUP($A693,TRIM(SUBSTITUTE('worker file'!$A$2:$A$406,_xlfn.UNICHAR(160)," ")),'worker file'!$M$2:$M$406,0),_xlfn.XLOOKUP($B693,TRIM('pay group &amp; schedule'!$A$2:$A$6),'pay group &amp; schedule'!$D$2:$D$6,0))</f>
        <v>46311</v>
      </c>
      <c r="N693" s="39" t="str">
        <f t="array" ref="N693">_xlfn.LET(_xlpm.t,_xlfn.XLOOKUP($A693,TRIM(SUBSTITUTE('worker file'!$A$2:$A$406,_xlfn.UNICHAR(160)," ")),'worker file'!$N$2:$N$406,""),IF(N(_xlpm.t)=0,"",_xlpm.t))</f>
        <v/>
      </c>
    </row>
    <row r="694" spans="1:14" x14ac:dyDescent="0.2">
      <c r="A694" s="35" t="s">
        <v>341</v>
      </c>
      <c r="B694" s="36" t="str">
        <f t="array" ref="B694">_xlfn.XLOOKUP($A694,TRIM(SUBSTITUTE('worker file'!$A$2:$A$406,_xlfn.UNICHAR(160)," ")),'worker file'!$L$2:$L$406,"Not found")</f>
        <v>US Semi-monthly</v>
      </c>
      <c r="C694" s="36" t="str">
        <f t="array" ref="C694">_xlfn.XLOOKUP($A694,TRIM(SUBSTITUTE('worker file'!$A$2:$A$406,_xlfn.UNICHAR(160)," ")),'worker file'!$D$2:$D$406,"Not found")</f>
        <v>IL</v>
      </c>
      <c r="D694" s="36" t="str">
        <f t="array" ref="D694">_xlfn.XLOOKUP($A694,TRIM(SUBSTITUTE('worker file'!$A$2:$A$406,_xlfn.UNICHAR(160)," ")),'worker file'!$Q$2:$Q$406,"Not found")</f>
        <v>Active</v>
      </c>
      <c r="E694" s="35" t="s">
        <v>618</v>
      </c>
      <c r="F694" t="str">
        <f t="shared" si="77"/>
        <v>401(k) Employee Deferral</v>
      </c>
      <c r="G694" t="str">
        <f t="shared" si="78"/>
        <v>Pre-tax (exempt from FIT/SIT; subject to FICA)</v>
      </c>
      <c r="H694" t="str">
        <f t="shared" si="79"/>
        <v>Percent</v>
      </c>
      <c r="I694" s="37">
        <v>0.06</v>
      </c>
      <c r="J694" s="38" t="str">
        <f t="shared" si="80"/>
        <v/>
      </c>
      <c r="K694" t="str">
        <f t="shared" si="81"/>
        <v>Gross pay</v>
      </c>
      <c r="L694" t="str">
        <f t="shared" si="82"/>
        <v>Every pay period (ongoing)</v>
      </c>
      <c r="M694" s="39">
        <f t="array" ref="M694">MAX(_xlfn.XLOOKUP($A694,TRIM(SUBSTITUTE('worker file'!$A$2:$A$406,_xlfn.UNICHAR(160)," ")),'worker file'!$M$2:$M$406,0),_xlfn.XLOOKUP($B694,TRIM('pay group &amp; schedule'!$A$2:$A$6),'pay group &amp; schedule'!$D$2:$D$6,0))</f>
        <v>46311</v>
      </c>
      <c r="N694" s="39" t="str">
        <f t="array" ref="N694">_xlfn.LET(_xlpm.t,_xlfn.XLOOKUP($A694,TRIM(SUBSTITUTE('worker file'!$A$2:$A$406,_xlfn.UNICHAR(160)," ")),'worker file'!$N$2:$N$406,""),IF(N(_xlpm.t)=0,"",_xlpm.t))</f>
        <v/>
      </c>
    </row>
    <row r="695" spans="1:14" x14ac:dyDescent="0.2">
      <c r="A695" s="35" t="s">
        <v>341</v>
      </c>
      <c r="B695" s="36" t="str">
        <f t="array" ref="B695">_xlfn.XLOOKUP($A695,TRIM(SUBSTITUTE('worker file'!$A$2:$A$406,_xlfn.UNICHAR(160)," ")),'worker file'!$L$2:$L$406,"Not found")</f>
        <v>US Semi-monthly</v>
      </c>
      <c r="C695" s="36" t="str">
        <f t="array" ref="C695">_xlfn.XLOOKUP($A695,TRIM(SUBSTITUTE('worker file'!$A$2:$A$406,_xlfn.UNICHAR(160)," ")),'worker file'!$D$2:$D$406,"Not found")</f>
        <v>IL</v>
      </c>
      <c r="D695" s="36" t="str">
        <f t="array" ref="D695">_xlfn.XLOOKUP($A695,TRIM(SUBSTITUTE('worker file'!$A$2:$A$406,_xlfn.UNICHAR(160)," ")),'worker file'!$Q$2:$Q$406,"Not found")</f>
        <v>Active</v>
      </c>
      <c r="E695" s="35" t="s">
        <v>626</v>
      </c>
      <c r="F695" t="str">
        <f t="shared" si="77"/>
        <v>Medical (Health) – Employee</v>
      </c>
      <c r="G695" t="str">
        <f t="shared" si="78"/>
        <v>Pre-tax Section 125 (exempt from FIT/SIT/FICA)</v>
      </c>
      <c r="H695" t="str">
        <f t="shared" si="79"/>
        <v>Flat</v>
      </c>
      <c r="I695" s="40" t="str">
        <f>IF($H695="Percent",_xlfn.XLOOKUP($E695,$A$5:$A$8,$F$5:$F$8,""),"")</f>
        <v/>
      </c>
      <c r="J695" s="38">
        <f t="shared" si="80"/>
        <v>200</v>
      </c>
      <c r="K695" t="str">
        <f t="shared" si="81"/>
        <v>Per pay period</v>
      </c>
      <c r="L695" t="str">
        <f t="shared" si="82"/>
        <v>Every pay period (ongoing)</v>
      </c>
      <c r="M695" s="39">
        <f t="array" ref="M695">MAX(_xlfn.XLOOKUP($A695,TRIM(SUBSTITUTE('worker file'!$A$2:$A$406,_xlfn.UNICHAR(160)," ")),'worker file'!$M$2:$M$406,0),_xlfn.XLOOKUP($B695,TRIM('pay group &amp; schedule'!$A$2:$A$6),'pay group &amp; schedule'!$D$2:$D$6,0))</f>
        <v>46311</v>
      </c>
      <c r="N695" s="39" t="str">
        <f t="array" ref="N695">_xlfn.LET(_xlpm.t,_xlfn.XLOOKUP($A695,TRIM(SUBSTITUTE('worker file'!$A$2:$A$406,_xlfn.UNICHAR(160)," ")),'worker file'!$N$2:$N$406,""),IF(N(_xlpm.t)=0,"",_xlpm.t))</f>
        <v/>
      </c>
    </row>
    <row r="696" spans="1:14" x14ac:dyDescent="0.2">
      <c r="A696" s="35" t="s">
        <v>341</v>
      </c>
      <c r="B696" s="36" t="str">
        <f t="array" ref="B696">_xlfn.XLOOKUP($A696,TRIM(SUBSTITUTE('worker file'!$A$2:$A$406,_xlfn.UNICHAR(160)," ")),'worker file'!$L$2:$L$406,"Not found")</f>
        <v>US Semi-monthly</v>
      </c>
      <c r="C696" s="36" t="str">
        <f t="array" ref="C696">_xlfn.XLOOKUP($A696,TRIM(SUBSTITUTE('worker file'!$A$2:$A$406,_xlfn.UNICHAR(160)," ")),'worker file'!$D$2:$D$406,"Not found")</f>
        <v>IL</v>
      </c>
      <c r="D696" s="36" t="str">
        <f t="array" ref="D696">_xlfn.XLOOKUP($A696,TRIM(SUBSTITUTE('worker file'!$A$2:$A$406,_xlfn.UNICHAR(160)," ")),'worker file'!$Q$2:$Q$406,"Not found")</f>
        <v>Active</v>
      </c>
      <c r="E696" s="35" t="s">
        <v>632</v>
      </c>
      <c r="F696" t="str">
        <f t="shared" si="77"/>
        <v>Dental – Employee</v>
      </c>
      <c r="G696" t="str">
        <f t="shared" si="78"/>
        <v>Pre-tax Section 125 (exempt from FIT/SIT/FICA)</v>
      </c>
      <c r="H696" t="str">
        <f t="shared" si="79"/>
        <v>Flat</v>
      </c>
      <c r="I696" s="40" t="str">
        <f>IF($H696="Percent",_xlfn.XLOOKUP($E696,$A$5:$A$8,$F$5:$F$8,""),"")</f>
        <v/>
      </c>
      <c r="J696" s="38">
        <f t="shared" si="80"/>
        <v>44</v>
      </c>
      <c r="K696" t="str">
        <f t="shared" si="81"/>
        <v>Per pay period</v>
      </c>
      <c r="L696" t="str">
        <f t="shared" si="82"/>
        <v>Every pay period (ongoing)</v>
      </c>
      <c r="M696" s="39">
        <f t="array" ref="M696">MAX(_xlfn.XLOOKUP($A696,TRIM(SUBSTITUTE('worker file'!$A$2:$A$406,_xlfn.UNICHAR(160)," ")),'worker file'!$M$2:$M$406,0),_xlfn.XLOOKUP($B696,TRIM('pay group &amp; schedule'!$A$2:$A$6),'pay group &amp; schedule'!$D$2:$D$6,0))</f>
        <v>46311</v>
      </c>
      <c r="N696" s="39" t="str">
        <f t="array" ref="N696">_xlfn.LET(_xlpm.t,_xlfn.XLOOKUP($A696,TRIM(SUBSTITUTE('worker file'!$A$2:$A$406,_xlfn.UNICHAR(160)," ")),'worker file'!$N$2:$N$406,""),IF(N(_xlpm.t)=0,"",_xlpm.t))</f>
        <v/>
      </c>
    </row>
    <row r="697" spans="1:14" x14ac:dyDescent="0.2">
      <c r="A697" s="35" t="s">
        <v>341</v>
      </c>
      <c r="B697" s="36" t="str">
        <f t="array" ref="B697">_xlfn.XLOOKUP($A697,TRIM(SUBSTITUTE('worker file'!$A$2:$A$406,_xlfn.UNICHAR(160)," ")),'worker file'!$L$2:$L$406,"Not found")</f>
        <v>US Semi-monthly</v>
      </c>
      <c r="C697" s="36" t="str">
        <f t="array" ref="C697">_xlfn.XLOOKUP($A697,TRIM(SUBSTITUTE('worker file'!$A$2:$A$406,_xlfn.UNICHAR(160)," ")),'worker file'!$D$2:$D$406,"Not found")</f>
        <v>IL</v>
      </c>
      <c r="D697" s="36" t="str">
        <f t="array" ref="D697">_xlfn.XLOOKUP($A697,TRIM(SUBSTITUTE('worker file'!$A$2:$A$406,_xlfn.UNICHAR(160)," ")),'worker file'!$Q$2:$Q$406,"Not found")</f>
        <v>Active</v>
      </c>
      <c r="E697" s="35" t="s">
        <v>634</v>
      </c>
      <c r="F697" t="str">
        <f t="shared" si="77"/>
        <v>Vision – Employee</v>
      </c>
      <c r="G697" t="str">
        <f t="shared" si="78"/>
        <v>Pre-tax Section 125 (exempt from FIT/SIT/FICA)</v>
      </c>
      <c r="H697" t="str">
        <f t="shared" si="79"/>
        <v>Flat</v>
      </c>
      <c r="I697" s="40" t="str">
        <f>IF($H697="Percent",_xlfn.XLOOKUP($E697,$A$5:$A$8,$F$5:$F$8,""),"")</f>
        <v/>
      </c>
      <c r="J697" s="38">
        <f t="shared" si="80"/>
        <v>30</v>
      </c>
      <c r="K697" t="str">
        <f t="shared" si="81"/>
        <v>Per pay period</v>
      </c>
      <c r="L697" t="str">
        <f t="shared" si="82"/>
        <v>Every pay period (ongoing)</v>
      </c>
      <c r="M697" s="39">
        <f t="array" ref="M697">MAX(_xlfn.XLOOKUP($A697,TRIM(SUBSTITUTE('worker file'!$A$2:$A$406,_xlfn.UNICHAR(160)," ")),'worker file'!$M$2:$M$406,0),_xlfn.XLOOKUP($B697,TRIM('pay group &amp; schedule'!$A$2:$A$6),'pay group &amp; schedule'!$D$2:$D$6,0))</f>
        <v>46311</v>
      </c>
      <c r="N697" s="39" t="str">
        <f t="array" ref="N697">_xlfn.LET(_xlpm.t,_xlfn.XLOOKUP($A697,TRIM(SUBSTITUTE('worker file'!$A$2:$A$406,_xlfn.UNICHAR(160)," ")),'worker file'!$N$2:$N$406,""),IF(N(_xlpm.t)=0,"",_xlpm.t))</f>
        <v/>
      </c>
    </row>
    <row r="698" spans="1:14" x14ac:dyDescent="0.2">
      <c r="A698" s="35" t="s">
        <v>343</v>
      </c>
      <c r="B698" s="36" t="str">
        <f t="array" ref="B698">_xlfn.XLOOKUP($A698,TRIM(SUBSTITUTE('worker file'!$A$2:$A$406,_xlfn.UNICHAR(160)," ")),'worker file'!$L$2:$L$406,"Not found")</f>
        <v>US Semi-monthly</v>
      </c>
      <c r="C698" s="36" t="str">
        <f t="array" ref="C698">_xlfn.XLOOKUP($A698,TRIM(SUBSTITUTE('worker file'!$A$2:$A$406,_xlfn.UNICHAR(160)," ")),'worker file'!$D$2:$D$406,"Not found")</f>
        <v>CA</v>
      </c>
      <c r="D698" s="36" t="str">
        <f t="array" ref="D698">_xlfn.XLOOKUP($A698,TRIM(SUBSTITUTE('worker file'!$A$2:$A$406,_xlfn.UNICHAR(160)," ")),'worker file'!$Q$2:$Q$406,"Not found")</f>
        <v>Active</v>
      </c>
      <c r="E698" s="35" t="s">
        <v>618</v>
      </c>
      <c r="F698" t="str">
        <f t="shared" si="77"/>
        <v>401(k) Employee Deferral</v>
      </c>
      <c r="G698" t="str">
        <f t="shared" si="78"/>
        <v>Pre-tax (exempt from FIT/SIT; subject to FICA)</v>
      </c>
      <c r="H698" t="str">
        <f t="shared" si="79"/>
        <v>Percent</v>
      </c>
      <c r="I698" s="37">
        <v>0.03</v>
      </c>
      <c r="J698" s="38" t="str">
        <f t="shared" si="80"/>
        <v/>
      </c>
      <c r="K698" t="str">
        <f t="shared" si="81"/>
        <v>Gross pay</v>
      </c>
      <c r="L698" t="str">
        <f t="shared" si="82"/>
        <v>Every pay period (ongoing)</v>
      </c>
      <c r="M698" s="39">
        <f t="array" ref="M698">MAX(_xlfn.XLOOKUP($A698,TRIM(SUBSTITUTE('worker file'!$A$2:$A$406,_xlfn.UNICHAR(160)," ")),'worker file'!$M$2:$M$406,0),_xlfn.XLOOKUP($B698,TRIM('pay group &amp; schedule'!$A$2:$A$6),'pay group &amp; schedule'!$D$2:$D$6,0))</f>
        <v>46311</v>
      </c>
      <c r="N698" s="39" t="str">
        <f t="array" ref="N698">_xlfn.LET(_xlpm.t,_xlfn.XLOOKUP($A698,TRIM(SUBSTITUTE('worker file'!$A$2:$A$406,_xlfn.UNICHAR(160)," ")),'worker file'!$N$2:$N$406,""),IF(N(_xlpm.t)=0,"",_xlpm.t))</f>
        <v/>
      </c>
    </row>
    <row r="699" spans="1:14" x14ac:dyDescent="0.2">
      <c r="A699" s="35" t="s">
        <v>343</v>
      </c>
      <c r="B699" s="36" t="str">
        <f t="array" ref="B699">_xlfn.XLOOKUP($A699,TRIM(SUBSTITUTE('worker file'!$A$2:$A$406,_xlfn.UNICHAR(160)," ")),'worker file'!$L$2:$L$406,"Not found")</f>
        <v>US Semi-monthly</v>
      </c>
      <c r="C699" s="36" t="str">
        <f t="array" ref="C699">_xlfn.XLOOKUP($A699,TRIM(SUBSTITUTE('worker file'!$A$2:$A$406,_xlfn.UNICHAR(160)," ")),'worker file'!$D$2:$D$406,"Not found")</f>
        <v>CA</v>
      </c>
      <c r="D699" s="36" t="str">
        <f t="array" ref="D699">_xlfn.XLOOKUP($A699,TRIM(SUBSTITUTE('worker file'!$A$2:$A$406,_xlfn.UNICHAR(160)," ")),'worker file'!$Q$2:$Q$406,"Not found")</f>
        <v>Active</v>
      </c>
      <c r="E699" s="35" t="s">
        <v>626</v>
      </c>
      <c r="F699" t="str">
        <f t="shared" si="77"/>
        <v>Medical (Health) – Employee</v>
      </c>
      <c r="G699" t="str">
        <f t="shared" si="78"/>
        <v>Pre-tax Section 125 (exempt from FIT/SIT/FICA)</v>
      </c>
      <c r="H699" t="str">
        <f t="shared" si="79"/>
        <v>Flat</v>
      </c>
      <c r="I699" s="40" t="str">
        <f>IF($H699="Percent",_xlfn.XLOOKUP($E699,$A$5:$A$8,$F$5:$F$8,""),"")</f>
        <v/>
      </c>
      <c r="J699" s="38">
        <f t="shared" si="80"/>
        <v>200</v>
      </c>
      <c r="K699" t="str">
        <f t="shared" si="81"/>
        <v>Per pay period</v>
      </c>
      <c r="L699" t="str">
        <f t="shared" si="82"/>
        <v>Every pay period (ongoing)</v>
      </c>
      <c r="M699" s="39">
        <f t="array" ref="M699">MAX(_xlfn.XLOOKUP($A699,TRIM(SUBSTITUTE('worker file'!$A$2:$A$406,_xlfn.UNICHAR(160)," ")),'worker file'!$M$2:$M$406,0),_xlfn.XLOOKUP($B699,TRIM('pay group &amp; schedule'!$A$2:$A$6),'pay group &amp; schedule'!$D$2:$D$6,0))</f>
        <v>46311</v>
      </c>
      <c r="N699" s="39" t="str">
        <f t="array" ref="N699">_xlfn.LET(_xlpm.t,_xlfn.XLOOKUP($A699,TRIM(SUBSTITUTE('worker file'!$A$2:$A$406,_xlfn.UNICHAR(160)," ")),'worker file'!$N$2:$N$406,""),IF(N(_xlpm.t)=0,"",_xlpm.t))</f>
        <v/>
      </c>
    </row>
    <row r="700" spans="1:14" x14ac:dyDescent="0.2">
      <c r="A700" s="35" t="s">
        <v>343</v>
      </c>
      <c r="B700" s="36" t="str">
        <f t="array" ref="B700">_xlfn.XLOOKUP($A700,TRIM(SUBSTITUTE('worker file'!$A$2:$A$406,_xlfn.UNICHAR(160)," ")),'worker file'!$L$2:$L$406,"Not found")</f>
        <v>US Semi-monthly</v>
      </c>
      <c r="C700" s="36" t="str">
        <f t="array" ref="C700">_xlfn.XLOOKUP($A700,TRIM(SUBSTITUTE('worker file'!$A$2:$A$406,_xlfn.UNICHAR(160)," ")),'worker file'!$D$2:$D$406,"Not found")</f>
        <v>CA</v>
      </c>
      <c r="D700" s="36" t="str">
        <f t="array" ref="D700">_xlfn.XLOOKUP($A700,TRIM(SUBSTITUTE('worker file'!$A$2:$A$406,_xlfn.UNICHAR(160)," ")),'worker file'!$Q$2:$Q$406,"Not found")</f>
        <v>Active</v>
      </c>
      <c r="E700" s="35" t="s">
        <v>632</v>
      </c>
      <c r="F700" t="str">
        <f t="shared" si="77"/>
        <v>Dental – Employee</v>
      </c>
      <c r="G700" t="str">
        <f t="shared" si="78"/>
        <v>Pre-tax Section 125 (exempt from FIT/SIT/FICA)</v>
      </c>
      <c r="H700" t="str">
        <f t="shared" si="79"/>
        <v>Flat</v>
      </c>
      <c r="I700" s="40" t="str">
        <f>IF($H700="Percent",_xlfn.XLOOKUP($E700,$A$5:$A$8,$F$5:$F$8,""),"")</f>
        <v/>
      </c>
      <c r="J700" s="38">
        <f t="shared" si="80"/>
        <v>44</v>
      </c>
      <c r="K700" t="str">
        <f t="shared" si="81"/>
        <v>Per pay period</v>
      </c>
      <c r="L700" t="str">
        <f t="shared" si="82"/>
        <v>Every pay period (ongoing)</v>
      </c>
      <c r="M700" s="39">
        <f t="array" ref="M700">MAX(_xlfn.XLOOKUP($A700,TRIM(SUBSTITUTE('worker file'!$A$2:$A$406,_xlfn.UNICHAR(160)," ")),'worker file'!$M$2:$M$406,0),_xlfn.XLOOKUP($B700,TRIM('pay group &amp; schedule'!$A$2:$A$6),'pay group &amp; schedule'!$D$2:$D$6,0))</f>
        <v>46311</v>
      </c>
      <c r="N700" s="39" t="str">
        <f t="array" ref="N700">_xlfn.LET(_xlpm.t,_xlfn.XLOOKUP($A700,TRIM(SUBSTITUTE('worker file'!$A$2:$A$406,_xlfn.UNICHAR(160)," ")),'worker file'!$N$2:$N$406,""),IF(N(_xlpm.t)=0,"",_xlpm.t))</f>
        <v/>
      </c>
    </row>
    <row r="701" spans="1:14" x14ac:dyDescent="0.2">
      <c r="A701" s="35" t="s">
        <v>343</v>
      </c>
      <c r="B701" s="36" t="str">
        <f t="array" ref="B701">_xlfn.XLOOKUP($A701,TRIM(SUBSTITUTE('worker file'!$A$2:$A$406,_xlfn.UNICHAR(160)," ")),'worker file'!$L$2:$L$406,"Not found")</f>
        <v>US Semi-monthly</v>
      </c>
      <c r="C701" s="36" t="str">
        <f t="array" ref="C701">_xlfn.XLOOKUP($A701,TRIM(SUBSTITUTE('worker file'!$A$2:$A$406,_xlfn.UNICHAR(160)," ")),'worker file'!$D$2:$D$406,"Not found")</f>
        <v>CA</v>
      </c>
      <c r="D701" s="36" t="str">
        <f t="array" ref="D701">_xlfn.XLOOKUP($A701,TRIM(SUBSTITUTE('worker file'!$A$2:$A$406,_xlfn.UNICHAR(160)," ")),'worker file'!$Q$2:$Q$406,"Not found")</f>
        <v>Active</v>
      </c>
      <c r="E701" s="35" t="s">
        <v>634</v>
      </c>
      <c r="F701" t="str">
        <f t="shared" si="77"/>
        <v>Vision – Employee</v>
      </c>
      <c r="G701" t="str">
        <f t="shared" si="78"/>
        <v>Pre-tax Section 125 (exempt from FIT/SIT/FICA)</v>
      </c>
      <c r="H701" t="str">
        <f t="shared" si="79"/>
        <v>Flat</v>
      </c>
      <c r="I701" s="40" t="str">
        <f>IF($H701="Percent",_xlfn.XLOOKUP($E701,$A$5:$A$8,$F$5:$F$8,""),"")</f>
        <v/>
      </c>
      <c r="J701" s="38">
        <f t="shared" si="80"/>
        <v>30</v>
      </c>
      <c r="K701" t="str">
        <f t="shared" si="81"/>
        <v>Per pay period</v>
      </c>
      <c r="L701" t="str">
        <f t="shared" si="82"/>
        <v>Every pay period (ongoing)</v>
      </c>
      <c r="M701" s="39">
        <f t="array" ref="M701">MAX(_xlfn.XLOOKUP($A701,TRIM(SUBSTITUTE('worker file'!$A$2:$A$406,_xlfn.UNICHAR(160)," ")),'worker file'!$M$2:$M$406,0),_xlfn.XLOOKUP($B701,TRIM('pay group &amp; schedule'!$A$2:$A$6),'pay group &amp; schedule'!$D$2:$D$6,0))</f>
        <v>46311</v>
      </c>
      <c r="N701" s="39" t="str">
        <f t="array" ref="N701">_xlfn.LET(_xlpm.t,_xlfn.XLOOKUP($A701,TRIM(SUBSTITUTE('worker file'!$A$2:$A$406,_xlfn.UNICHAR(160)," ")),'worker file'!$N$2:$N$406,""),IF(N(_xlpm.t)=0,"",_xlpm.t))</f>
        <v/>
      </c>
    </row>
    <row r="702" spans="1:14" x14ac:dyDescent="0.2">
      <c r="A702" s="35" t="s">
        <v>344</v>
      </c>
      <c r="B702" s="36" t="str">
        <f t="array" ref="B702">_xlfn.XLOOKUP($A702,TRIM(SUBSTITUTE('worker file'!$A$2:$A$406,_xlfn.UNICHAR(160)," ")),'worker file'!$L$2:$L$406,"Not found")</f>
        <v>US Semi-monthly</v>
      </c>
      <c r="C702" s="36" t="str">
        <f t="array" ref="C702">_xlfn.XLOOKUP($A702,TRIM(SUBSTITUTE('worker file'!$A$2:$A$406,_xlfn.UNICHAR(160)," ")),'worker file'!$D$2:$D$406,"Not found")</f>
        <v>NY</v>
      </c>
      <c r="D702" s="36" t="str">
        <f t="array" ref="D702">_xlfn.XLOOKUP($A702,TRIM(SUBSTITUTE('worker file'!$A$2:$A$406,_xlfn.UNICHAR(160)," ")),'worker file'!$Q$2:$Q$406,"Not found")</f>
        <v>Active</v>
      </c>
      <c r="E702" s="35" t="s">
        <v>618</v>
      </c>
      <c r="F702" t="str">
        <f t="shared" si="77"/>
        <v>401(k) Employee Deferral</v>
      </c>
      <c r="G702" t="str">
        <f t="shared" si="78"/>
        <v>Pre-tax (exempt from FIT/SIT; subject to FICA)</v>
      </c>
      <c r="H702" t="str">
        <f t="shared" si="79"/>
        <v>Percent</v>
      </c>
      <c r="I702" s="37">
        <v>0</v>
      </c>
      <c r="J702" s="38" t="str">
        <f t="shared" si="80"/>
        <v/>
      </c>
      <c r="K702" t="str">
        <f t="shared" si="81"/>
        <v>Gross pay</v>
      </c>
      <c r="L702" t="str">
        <f t="shared" si="82"/>
        <v>Every pay period (ongoing)</v>
      </c>
      <c r="M702" s="39">
        <f t="array" ref="M702">MAX(_xlfn.XLOOKUP($A702,TRIM(SUBSTITUTE('worker file'!$A$2:$A$406,_xlfn.UNICHAR(160)," ")),'worker file'!$M$2:$M$406,0),_xlfn.XLOOKUP($B702,TRIM('pay group &amp; schedule'!$A$2:$A$6),'pay group &amp; schedule'!$D$2:$D$6,0))</f>
        <v>46311</v>
      </c>
      <c r="N702" s="39" t="str">
        <f t="array" ref="N702">_xlfn.LET(_xlpm.t,_xlfn.XLOOKUP($A702,TRIM(SUBSTITUTE('worker file'!$A$2:$A$406,_xlfn.UNICHAR(160)," ")),'worker file'!$N$2:$N$406,""),IF(N(_xlpm.t)=0,"",_xlpm.t))</f>
        <v/>
      </c>
    </row>
    <row r="703" spans="1:14" x14ac:dyDescent="0.2">
      <c r="A703" s="35" t="s">
        <v>344</v>
      </c>
      <c r="B703" s="36" t="str">
        <f t="array" ref="B703">_xlfn.XLOOKUP($A703,TRIM(SUBSTITUTE('worker file'!$A$2:$A$406,_xlfn.UNICHAR(160)," ")),'worker file'!$L$2:$L$406,"Not found")</f>
        <v>US Semi-monthly</v>
      </c>
      <c r="C703" s="36" t="str">
        <f t="array" ref="C703">_xlfn.XLOOKUP($A703,TRIM(SUBSTITUTE('worker file'!$A$2:$A$406,_xlfn.UNICHAR(160)," ")),'worker file'!$D$2:$D$406,"Not found")</f>
        <v>NY</v>
      </c>
      <c r="D703" s="36" t="str">
        <f t="array" ref="D703">_xlfn.XLOOKUP($A703,TRIM(SUBSTITUTE('worker file'!$A$2:$A$406,_xlfn.UNICHAR(160)," ")),'worker file'!$Q$2:$Q$406,"Not found")</f>
        <v>Active</v>
      </c>
      <c r="E703" s="35" t="s">
        <v>626</v>
      </c>
      <c r="F703" t="str">
        <f t="shared" si="77"/>
        <v>Medical (Health) – Employee</v>
      </c>
      <c r="G703" t="str">
        <f t="shared" si="78"/>
        <v>Pre-tax Section 125 (exempt from FIT/SIT/FICA)</v>
      </c>
      <c r="H703" t="str">
        <f t="shared" si="79"/>
        <v>Flat</v>
      </c>
      <c r="I703" s="40" t="str">
        <f>IF($H703="Percent",_xlfn.XLOOKUP($E703,$A$5:$A$8,$F$5:$F$8,""),"")</f>
        <v/>
      </c>
      <c r="J703" s="38">
        <f t="shared" si="80"/>
        <v>200</v>
      </c>
      <c r="K703" t="str">
        <f t="shared" si="81"/>
        <v>Per pay period</v>
      </c>
      <c r="L703" t="str">
        <f t="shared" si="82"/>
        <v>Every pay period (ongoing)</v>
      </c>
      <c r="M703" s="39">
        <f t="array" ref="M703">MAX(_xlfn.XLOOKUP($A703,TRIM(SUBSTITUTE('worker file'!$A$2:$A$406,_xlfn.UNICHAR(160)," ")),'worker file'!$M$2:$M$406,0),_xlfn.XLOOKUP($B703,TRIM('pay group &amp; schedule'!$A$2:$A$6),'pay group &amp; schedule'!$D$2:$D$6,0))</f>
        <v>46311</v>
      </c>
      <c r="N703" s="39" t="str">
        <f t="array" ref="N703">_xlfn.LET(_xlpm.t,_xlfn.XLOOKUP($A703,TRIM(SUBSTITUTE('worker file'!$A$2:$A$406,_xlfn.UNICHAR(160)," ")),'worker file'!$N$2:$N$406,""),IF(N(_xlpm.t)=0,"",_xlpm.t))</f>
        <v/>
      </c>
    </row>
    <row r="704" spans="1:14" x14ac:dyDescent="0.2">
      <c r="A704" s="35" t="s">
        <v>344</v>
      </c>
      <c r="B704" s="36" t="str">
        <f t="array" ref="B704">_xlfn.XLOOKUP($A704,TRIM(SUBSTITUTE('worker file'!$A$2:$A$406,_xlfn.UNICHAR(160)," ")),'worker file'!$L$2:$L$406,"Not found")</f>
        <v>US Semi-monthly</v>
      </c>
      <c r="C704" s="36" t="str">
        <f t="array" ref="C704">_xlfn.XLOOKUP($A704,TRIM(SUBSTITUTE('worker file'!$A$2:$A$406,_xlfn.UNICHAR(160)," ")),'worker file'!$D$2:$D$406,"Not found")</f>
        <v>NY</v>
      </c>
      <c r="D704" s="36" t="str">
        <f t="array" ref="D704">_xlfn.XLOOKUP($A704,TRIM(SUBSTITUTE('worker file'!$A$2:$A$406,_xlfn.UNICHAR(160)," ")),'worker file'!$Q$2:$Q$406,"Not found")</f>
        <v>Active</v>
      </c>
      <c r="E704" s="35" t="s">
        <v>632</v>
      </c>
      <c r="F704" t="str">
        <f t="shared" si="77"/>
        <v>Dental – Employee</v>
      </c>
      <c r="G704" t="str">
        <f t="shared" si="78"/>
        <v>Pre-tax Section 125 (exempt from FIT/SIT/FICA)</v>
      </c>
      <c r="H704" t="str">
        <f t="shared" si="79"/>
        <v>Flat</v>
      </c>
      <c r="I704" s="40" t="str">
        <f>IF($H704="Percent",_xlfn.XLOOKUP($E704,$A$5:$A$8,$F$5:$F$8,""),"")</f>
        <v/>
      </c>
      <c r="J704" s="38">
        <f t="shared" si="80"/>
        <v>44</v>
      </c>
      <c r="K704" t="str">
        <f t="shared" si="81"/>
        <v>Per pay period</v>
      </c>
      <c r="L704" t="str">
        <f t="shared" si="82"/>
        <v>Every pay period (ongoing)</v>
      </c>
      <c r="M704" s="39">
        <f t="array" ref="M704">MAX(_xlfn.XLOOKUP($A704,TRIM(SUBSTITUTE('worker file'!$A$2:$A$406,_xlfn.UNICHAR(160)," ")),'worker file'!$M$2:$M$406,0),_xlfn.XLOOKUP($B704,TRIM('pay group &amp; schedule'!$A$2:$A$6),'pay group &amp; schedule'!$D$2:$D$6,0))</f>
        <v>46311</v>
      </c>
      <c r="N704" s="39" t="str">
        <f t="array" ref="N704">_xlfn.LET(_xlpm.t,_xlfn.XLOOKUP($A704,TRIM(SUBSTITUTE('worker file'!$A$2:$A$406,_xlfn.UNICHAR(160)," ")),'worker file'!$N$2:$N$406,""),IF(N(_xlpm.t)=0,"",_xlpm.t))</f>
        <v/>
      </c>
    </row>
    <row r="705" spans="1:14" x14ac:dyDescent="0.2">
      <c r="A705" s="35" t="s">
        <v>344</v>
      </c>
      <c r="B705" s="36" t="str">
        <f t="array" ref="B705">_xlfn.XLOOKUP($A705,TRIM(SUBSTITUTE('worker file'!$A$2:$A$406,_xlfn.UNICHAR(160)," ")),'worker file'!$L$2:$L$406,"Not found")</f>
        <v>US Semi-monthly</v>
      </c>
      <c r="C705" s="36" t="str">
        <f t="array" ref="C705">_xlfn.XLOOKUP($A705,TRIM(SUBSTITUTE('worker file'!$A$2:$A$406,_xlfn.UNICHAR(160)," ")),'worker file'!$D$2:$D$406,"Not found")</f>
        <v>NY</v>
      </c>
      <c r="D705" s="36" t="str">
        <f t="array" ref="D705">_xlfn.XLOOKUP($A705,TRIM(SUBSTITUTE('worker file'!$A$2:$A$406,_xlfn.UNICHAR(160)," ")),'worker file'!$Q$2:$Q$406,"Not found")</f>
        <v>Active</v>
      </c>
      <c r="E705" s="35" t="s">
        <v>634</v>
      </c>
      <c r="F705" t="str">
        <f t="shared" si="77"/>
        <v>Vision – Employee</v>
      </c>
      <c r="G705" t="str">
        <f t="shared" si="78"/>
        <v>Pre-tax Section 125 (exempt from FIT/SIT/FICA)</v>
      </c>
      <c r="H705" t="str">
        <f t="shared" si="79"/>
        <v>Flat</v>
      </c>
      <c r="I705" s="40" t="str">
        <f>IF($H705="Percent",_xlfn.XLOOKUP($E705,$A$5:$A$8,$F$5:$F$8,""),"")</f>
        <v/>
      </c>
      <c r="J705" s="38">
        <f t="shared" si="80"/>
        <v>30</v>
      </c>
      <c r="K705" t="str">
        <f t="shared" si="81"/>
        <v>Per pay period</v>
      </c>
      <c r="L705" t="str">
        <f t="shared" si="82"/>
        <v>Every pay period (ongoing)</v>
      </c>
      <c r="M705" s="39">
        <f t="array" ref="M705">MAX(_xlfn.XLOOKUP($A705,TRIM(SUBSTITUTE('worker file'!$A$2:$A$406,_xlfn.UNICHAR(160)," ")),'worker file'!$M$2:$M$406,0),_xlfn.XLOOKUP($B705,TRIM('pay group &amp; schedule'!$A$2:$A$6),'pay group &amp; schedule'!$D$2:$D$6,0))</f>
        <v>46311</v>
      </c>
      <c r="N705" s="39" t="str">
        <f t="array" ref="N705">_xlfn.LET(_xlpm.t,_xlfn.XLOOKUP($A705,TRIM(SUBSTITUTE('worker file'!$A$2:$A$406,_xlfn.UNICHAR(160)," ")),'worker file'!$N$2:$N$406,""),IF(N(_xlpm.t)=0,"",_xlpm.t))</f>
        <v/>
      </c>
    </row>
    <row r="706" spans="1:14" x14ac:dyDescent="0.2">
      <c r="A706" s="35" t="s">
        <v>345</v>
      </c>
      <c r="B706" s="36" t="str">
        <f t="array" ref="B706">_xlfn.XLOOKUP($A706,TRIM(SUBSTITUTE('worker file'!$A$2:$A$406,_xlfn.UNICHAR(160)," ")),'worker file'!$L$2:$L$406,"Not found")</f>
        <v>US Semi-monthly</v>
      </c>
      <c r="C706" s="36" t="str">
        <f t="array" ref="C706">_xlfn.XLOOKUP($A706,TRIM(SUBSTITUTE('worker file'!$A$2:$A$406,_xlfn.UNICHAR(160)," ")),'worker file'!$D$2:$D$406,"Not found")</f>
        <v>WA</v>
      </c>
      <c r="D706" s="36" t="str">
        <f t="array" ref="D706">_xlfn.XLOOKUP($A706,TRIM(SUBSTITUTE('worker file'!$A$2:$A$406,_xlfn.UNICHAR(160)," ")),'worker file'!$Q$2:$Q$406,"Not found")</f>
        <v>Active</v>
      </c>
      <c r="E706" s="35" t="s">
        <v>618</v>
      </c>
      <c r="F706" t="str">
        <f t="shared" si="77"/>
        <v>401(k) Employee Deferral</v>
      </c>
      <c r="G706" t="str">
        <f t="shared" si="78"/>
        <v>Pre-tax (exempt from FIT/SIT; subject to FICA)</v>
      </c>
      <c r="H706" t="str">
        <f t="shared" si="79"/>
        <v>Percent</v>
      </c>
      <c r="I706" s="37">
        <v>0.05</v>
      </c>
      <c r="J706" s="38" t="str">
        <f t="shared" si="80"/>
        <v/>
      </c>
      <c r="K706" t="str">
        <f t="shared" si="81"/>
        <v>Gross pay</v>
      </c>
      <c r="L706" t="str">
        <f t="shared" si="82"/>
        <v>Every pay period (ongoing)</v>
      </c>
      <c r="M706" s="39">
        <f t="array" ref="M706">MAX(_xlfn.XLOOKUP($A706,TRIM(SUBSTITUTE('worker file'!$A$2:$A$406,_xlfn.UNICHAR(160)," ")),'worker file'!$M$2:$M$406,0),_xlfn.XLOOKUP($B706,TRIM('pay group &amp; schedule'!$A$2:$A$6),'pay group &amp; schedule'!$D$2:$D$6,0))</f>
        <v>46311</v>
      </c>
      <c r="N706" s="39" t="str">
        <f t="array" ref="N706">_xlfn.LET(_xlpm.t,_xlfn.XLOOKUP($A706,TRIM(SUBSTITUTE('worker file'!$A$2:$A$406,_xlfn.UNICHAR(160)," ")),'worker file'!$N$2:$N$406,""),IF(N(_xlpm.t)=0,"",_xlpm.t))</f>
        <v/>
      </c>
    </row>
    <row r="707" spans="1:14" x14ac:dyDescent="0.2">
      <c r="A707" s="35" t="s">
        <v>345</v>
      </c>
      <c r="B707" s="36" t="str">
        <f t="array" ref="B707">_xlfn.XLOOKUP($A707,TRIM(SUBSTITUTE('worker file'!$A$2:$A$406,_xlfn.UNICHAR(160)," ")),'worker file'!$L$2:$L$406,"Not found")</f>
        <v>US Semi-monthly</v>
      </c>
      <c r="C707" s="36" t="str">
        <f t="array" ref="C707">_xlfn.XLOOKUP($A707,TRIM(SUBSTITUTE('worker file'!$A$2:$A$406,_xlfn.UNICHAR(160)," ")),'worker file'!$D$2:$D$406,"Not found")</f>
        <v>WA</v>
      </c>
      <c r="D707" s="36" t="str">
        <f t="array" ref="D707">_xlfn.XLOOKUP($A707,TRIM(SUBSTITUTE('worker file'!$A$2:$A$406,_xlfn.UNICHAR(160)," ")),'worker file'!$Q$2:$Q$406,"Not found")</f>
        <v>Active</v>
      </c>
      <c r="E707" s="35" t="s">
        <v>626</v>
      </c>
      <c r="F707" t="str">
        <f t="shared" si="77"/>
        <v>Medical (Health) – Employee</v>
      </c>
      <c r="G707" t="str">
        <f t="shared" si="78"/>
        <v>Pre-tax Section 125 (exempt from FIT/SIT/FICA)</v>
      </c>
      <c r="H707" t="str">
        <f t="shared" si="79"/>
        <v>Flat</v>
      </c>
      <c r="I707" s="40" t="str">
        <f>IF($H707="Percent",_xlfn.XLOOKUP($E707,$A$5:$A$8,$F$5:$F$8,""),"")</f>
        <v/>
      </c>
      <c r="J707" s="38">
        <f t="shared" si="80"/>
        <v>200</v>
      </c>
      <c r="K707" t="str">
        <f t="shared" si="81"/>
        <v>Per pay period</v>
      </c>
      <c r="L707" t="str">
        <f t="shared" si="82"/>
        <v>Every pay period (ongoing)</v>
      </c>
      <c r="M707" s="39">
        <f t="array" ref="M707">MAX(_xlfn.XLOOKUP($A707,TRIM(SUBSTITUTE('worker file'!$A$2:$A$406,_xlfn.UNICHAR(160)," ")),'worker file'!$M$2:$M$406,0),_xlfn.XLOOKUP($B707,TRIM('pay group &amp; schedule'!$A$2:$A$6),'pay group &amp; schedule'!$D$2:$D$6,0))</f>
        <v>46311</v>
      </c>
      <c r="N707" s="39" t="str">
        <f t="array" ref="N707">_xlfn.LET(_xlpm.t,_xlfn.XLOOKUP($A707,TRIM(SUBSTITUTE('worker file'!$A$2:$A$406,_xlfn.UNICHAR(160)," ")),'worker file'!$N$2:$N$406,""),IF(N(_xlpm.t)=0,"",_xlpm.t))</f>
        <v/>
      </c>
    </row>
    <row r="708" spans="1:14" x14ac:dyDescent="0.2">
      <c r="A708" s="35" t="s">
        <v>345</v>
      </c>
      <c r="B708" s="36" t="str">
        <f t="array" ref="B708">_xlfn.XLOOKUP($A708,TRIM(SUBSTITUTE('worker file'!$A$2:$A$406,_xlfn.UNICHAR(160)," ")),'worker file'!$L$2:$L$406,"Not found")</f>
        <v>US Semi-monthly</v>
      </c>
      <c r="C708" s="36" t="str">
        <f t="array" ref="C708">_xlfn.XLOOKUP($A708,TRIM(SUBSTITUTE('worker file'!$A$2:$A$406,_xlfn.UNICHAR(160)," ")),'worker file'!$D$2:$D$406,"Not found")</f>
        <v>WA</v>
      </c>
      <c r="D708" s="36" t="str">
        <f t="array" ref="D708">_xlfn.XLOOKUP($A708,TRIM(SUBSTITUTE('worker file'!$A$2:$A$406,_xlfn.UNICHAR(160)," ")),'worker file'!$Q$2:$Q$406,"Not found")</f>
        <v>Active</v>
      </c>
      <c r="E708" s="35" t="s">
        <v>632</v>
      </c>
      <c r="F708" t="str">
        <f t="shared" si="77"/>
        <v>Dental – Employee</v>
      </c>
      <c r="G708" t="str">
        <f t="shared" si="78"/>
        <v>Pre-tax Section 125 (exempt from FIT/SIT/FICA)</v>
      </c>
      <c r="H708" t="str">
        <f t="shared" si="79"/>
        <v>Flat</v>
      </c>
      <c r="I708" s="40" t="str">
        <f>IF($H708="Percent",_xlfn.XLOOKUP($E708,$A$5:$A$8,$F$5:$F$8,""),"")</f>
        <v/>
      </c>
      <c r="J708" s="38">
        <f t="shared" si="80"/>
        <v>44</v>
      </c>
      <c r="K708" t="str">
        <f t="shared" si="81"/>
        <v>Per pay period</v>
      </c>
      <c r="L708" t="str">
        <f t="shared" si="82"/>
        <v>Every pay period (ongoing)</v>
      </c>
      <c r="M708" s="39">
        <f t="array" ref="M708">MAX(_xlfn.XLOOKUP($A708,TRIM(SUBSTITUTE('worker file'!$A$2:$A$406,_xlfn.UNICHAR(160)," ")),'worker file'!$M$2:$M$406,0),_xlfn.XLOOKUP($B708,TRIM('pay group &amp; schedule'!$A$2:$A$6),'pay group &amp; schedule'!$D$2:$D$6,0))</f>
        <v>46311</v>
      </c>
      <c r="N708" s="39" t="str">
        <f t="array" ref="N708">_xlfn.LET(_xlpm.t,_xlfn.XLOOKUP($A708,TRIM(SUBSTITUTE('worker file'!$A$2:$A$406,_xlfn.UNICHAR(160)," ")),'worker file'!$N$2:$N$406,""),IF(N(_xlpm.t)=0,"",_xlpm.t))</f>
        <v/>
      </c>
    </row>
    <row r="709" spans="1:14" x14ac:dyDescent="0.2">
      <c r="A709" s="35" t="s">
        <v>345</v>
      </c>
      <c r="B709" s="36" t="str">
        <f t="array" ref="B709">_xlfn.XLOOKUP($A709,TRIM(SUBSTITUTE('worker file'!$A$2:$A$406,_xlfn.UNICHAR(160)," ")),'worker file'!$L$2:$L$406,"Not found")</f>
        <v>US Semi-monthly</v>
      </c>
      <c r="C709" s="36" t="str">
        <f t="array" ref="C709">_xlfn.XLOOKUP($A709,TRIM(SUBSTITUTE('worker file'!$A$2:$A$406,_xlfn.UNICHAR(160)," ")),'worker file'!$D$2:$D$406,"Not found")</f>
        <v>WA</v>
      </c>
      <c r="D709" s="36" t="str">
        <f t="array" ref="D709">_xlfn.XLOOKUP($A709,TRIM(SUBSTITUTE('worker file'!$A$2:$A$406,_xlfn.UNICHAR(160)," ")),'worker file'!$Q$2:$Q$406,"Not found")</f>
        <v>Active</v>
      </c>
      <c r="E709" s="35" t="s">
        <v>634</v>
      </c>
      <c r="F709" t="str">
        <f t="shared" si="77"/>
        <v>Vision – Employee</v>
      </c>
      <c r="G709" t="str">
        <f t="shared" si="78"/>
        <v>Pre-tax Section 125 (exempt from FIT/SIT/FICA)</v>
      </c>
      <c r="H709" t="str">
        <f t="shared" si="79"/>
        <v>Flat</v>
      </c>
      <c r="I709" s="40" t="str">
        <f>IF($H709="Percent",_xlfn.XLOOKUP($E709,$A$5:$A$8,$F$5:$F$8,""),"")</f>
        <v/>
      </c>
      <c r="J709" s="38">
        <f t="shared" si="80"/>
        <v>30</v>
      </c>
      <c r="K709" t="str">
        <f t="shared" si="81"/>
        <v>Per pay period</v>
      </c>
      <c r="L709" t="str">
        <f t="shared" si="82"/>
        <v>Every pay period (ongoing)</v>
      </c>
      <c r="M709" s="39">
        <f t="array" ref="M709">MAX(_xlfn.XLOOKUP($A709,TRIM(SUBSTITUTE('worker file'!$A$2:$A$406,_xlfn.UNICHAR(160)," ")),'worker file'!$M$2:$M$406,0),_xlfn.XLOOKUP($B709,TRIM('pay group &amp; schedule'!$A$2:$A$6),'pay group &amp; schedule'!$D$2:$D$6,0))</f>
        <v>46311</v>
      </c>
      <c r="N709" s="39" t="str">
        <f t="array" ref="N709">_xlfn.LET(_xlpm.t,_xlfn.XLOOKUP($A709,TRIM(SUBSTITUTE('worker file'!$A$2:$A$406,_xlfn.UNICHAR(160)," ")),'worker file'!$N$2:$N$406,""),IF(N(_xlpm.t)=0,"",_xlpm.t))</f>
        <v/>
      </c>
    </row>
    <row r="710" spans="1:14" x14ac:dyDescent="0.2">
      <c r="A710" s="35" t="s">
        <v>346</v>
      </c>
      <c r="B710" s="36" t="str">
        <f t="array" ref="B710">_xlfn.XLOOKUP($A710,TRIM(SUBSTITUTE('worker file'!$A$2:$A$406,_xlfn.UNICHAR(160)," ")),'worker file'!$L$2:$L$406,"Not found")</f>
        <v>US Semi-monthly</v>
      </c>
      <c r="C710" s="36" t="str">
        <f t="array" ref="C710">_xlfn.XLOOKUP($A710,TRIM(SUBSTITUTE('worker file'!$A$2:$A$406,_xlfn.UNICHAR(160)," ")),'worker file'!$D$2:$D$406,"Not found")</f>
        <v>WA</v>
      </c>
      <c r="D710" s="36" t="str">
        <f t="array" ref="D710">_xlfn.XLOOKUP($A710,TRIM(SUBSTITUTE('worker file'!$A$2:$A$406,_xlfn.UNICHAR(160)," ")),'worker file'!$Q$2:$Q$406,"Not found")</f>
        <v>Active</v>
      </c>
      <c r="E710" s="35" t="s">
        <v>618</v>
      </c>
      <c r="F710" t="str">
        <f t="shared" si="77"/>
        <v>401(k) Employee Deferral</v>
      </c>
      <c r="G710" t="str">
        <f t="shared" si="78"/>
        <v>Pre-tax (exempt from FIT/SIT; subject to FICA)</v>
      </c>
      <c r="H710" t="str">
        <f t="shared" si="79"/>
        <v>Percent</v>
      </c>
      <c r="I710" s="37">
        <v>0.02</v>
      </c>
      <c r="J710" s="38" t="str">
        <f t="shared" si="80"/>
        <v/>
      </c>
      <c r="K710" t="str">
        <f t="shared" si="81"/>
        <v>Gross pay</v>
      </c>
      <c r="L710" t="str">
        <f t="shared" si="82"/>
        <v>Every pay period (ongoing)</v>
      </c>
      <c r="M710" s="39">
        <f t="array" ref="M710">MAX(_xlfn.XLOOKUP($A710,TRIM(SUBSTITUTE('worker file'!$A$2:$A$406,_xlfn.UNICHAR(160)," ")),'worker file'!$M$2:$M$406,0),_xlfn.XLOOKUP($B710,TRIM('pay group &amp; schedule'!$A$2:$A$6),'pay group &amp; schedule'!$D$2:$D$6,0))</f>
        <v>46311</v>
      </c>
      <c r="N710" s="39" t="str">
        <f t="array" ref="N710">_xlfn.LET(_xlpm.t,_xlfn.XLOOKUP($A710,TRIM(SUBSTITUTE('worker file'!$A$2:$A$406,_xlfn.UNICHAR(160)," ")),'worker file'!$N$2:$N$406,""),IF(N(_xlpm.t)=0,"",_xlpm.t))</f>
        <v/>
      </c>
    </row>
    <row r="711" spans="1:14" x14ac:dyDescent="0.2">
      <c r="A711" s="35" t="s">
        <v>346</v>
      </c>
      <c r="B711" s="36" t="str">
        <f t="array" ref="B711">_xlfn.XLOOKUP($A711,TRIM(SUBSTITUTE('worker file'!$A$2:$A$406,_xlfn.UNICHAR(160)," ")),'worker file'!$L$2:$L$406,"Not found")</f>
        <v>US Semi-monthly</v>
      </c>
      <c r="C711" s="36" t="str">
        <f t="array" ref="C711">_xlfn.XLOOKUP($A711,TRIM(SUBSTITUTE('worker file'!$A$2:$A$406,_xlfn.UNICHAR(160)," ")),'worker file'!$D$2:$D$406,"Not found")</f>
        <v>WA</v>
      </c>
      <c r="D711" s="36" t="str">
        <f t="array" ref="D711">_xlfn.XLOOKUP($A711,TRIM(SUBSTITUTE('worker file'!$A$2:$A$406,_xlfn.UNICHAR(160)," ")),'worker file'!$Q$2:$Q$406,"Not found")</f>
        <v>Active</v>
      </c>
      <c r="E711" s="35" t="s">
        <v>626</v>
      </c>
      <c r="F711" t="str">
        <f t="shared" si="77"/>
        <v>Medical (Health) – Employee</v>
      </c>
      <c r="G711" t="str">
        <f t="shared" si="78"/>
        <v>Pre-tax Section 125 (exempt from FIT/SIT/FICA)</v>
      </c>
      <c r="H711" t="str">
        <f t="shared" si="79"/>
        <v>Flat</v>
      </c>
      <c r="I711" s="40" t="str">
        <f>IF($H711="Percent",_xlfn.XLOOKUP($E711,$A$5:$A$8,$F$5:$F$8,""),"")</f>
        <v/>
      </c>
      <c r="J711" s="38">
        <f t="shared" si="80"/>
        <v>200</v>
      </c>
      <c r="K711" t="str">
        <f t="shared" si="81"/>
        <v>Per pay period</v>
      </c>
      <c r="L711" t="str">
        <f t="shared" si="82"/>
        <v>Every pay period (ongoing)</v>
      </c>
      <c r="M711" s="39">
        <f t="array" ref="M711">MAX(_xlfn.XLOOKUP($A711,TRIM(SUBSTITUTE('worker file'!$A$2:$A$406,_xlfn.UNICHAR(160)," ")),'worker file'!$M$2:$M$406,0),_xlfn.XLOOKUP($B711,TRIM('pay group &amp; schedule'!$A$2:$A$6),'pay group &amp; schedule'!$D$2:$D$6,0))</f>
        <v>46311</v>
      </c>
      <c r="N711" s="39" t="str">
        <f t="array" ref="N711">_xlfn.LET(_xlpm.t,_xlfn.XLOOKUP($A711,TRIM(SUBSTITUTE('worker file'!$A$2:$A$406,_xlfn.UNICHAR(160)," ")),'worker file'!$N$2:$N$406,""),IF(N(_xlpm.t)=0,"",_xlpm.t))</f>
        <v/>
      </c>
    </row>
    <row r="712" spans="1:14" x14ac:dyDescent="0.2">
      <c r="A712" s="35" t="s">
        <v>346</v>
      </c>
      <c r="B712" s="36" t="str">
        <f t="array" ref="B712">_xlfn.XLOOKUP($A712,TRIM(SUBSTITUTE('worker file'!$A$2:$A$406,_xlfn.UNICHAR(160)," ")),'worker file'!$L$2:$L$406,"Not found")</f>
        <v>US Semi-monthly</v>
      </c>
      <c r="C712" s="36" t="str">
        <f t="array" ref="C712">_xlfn.XLOOKUP($A712,TRIM(SUBSTITUTE('worker file'!$A$2:$A$406,_xlfn.UNICHAR(160)," ")),'worker file'!$D$2:$D$406,"Not found")</f>
        <v>WA</v>
      </c>
      <c r="D712" s="36" t="str">
        <f t="array" ref="D712">_xlfn.XLOOKUP($A712,TRIM(SUBSTITUTE('worker file'!$A$2:$A$406,_xlfn.UNICHAR(160)," ")),'worker file'!$Q$2:$Q$406,"Not found")</f>
        <v>Active</v>
      </c>
      <c r="E712" s="35" t="s">
        <v>632</v>
      </c>
      <c r="F712" t="str">
        <f t="shared" si="77"/>
        <v>Dental – Employee</v>
      </c>
      <c r="G712" t="str">
        <f t="shared" si="78"/>
        <v>Pre-tax Section 125 (exempt from FIT/SIT/FICA)</v>
      </c>
      <c r="H712" t="str">
        <f t="shared" si="79"/>
        <v>Flat</v>
      </c>
      <c r="I712" s="40" t="str">
        <f>IF($H712="Percent",_xlfn.XLOOKUP($E712,$A$5:$A$8,$F$5:$F$8,""),"")</f>
        <v/>
      </c>
      <c r="J712" s="38">
        <f t="shared" si="80"/>
        <v>44</v>
      </c>
      <c r="K712" t="str">
        <f t="shared" si="81"/>
        <v>Per pay period</v>
      </c>
      <c r="L712" t="str">
        <f t="shared" si="82"/>
        <v>Every pay period (ongoing)</v>
      </c>
      <c r="M712" s="39">
        <f t="array" ref="M712">MAX(_xlfn.XLOOKUP($A712,TRIM(SUBSTITUTE('worker file'!$A$2:$A$406,_xlfn.UNICHAR(160)," ")),'worker file'!$M$2:$M$406,0),_xlfn.XLOOKUP($B712,TRIM('pay group &amp; schedule'!$A$2:$A$6),'pay group &amp; schedule'!$D$2:$D$6,0))</f>
        <v>46311</v>
      </c>
      <c r="N712" s="39" t="str">
        <f t="array" ref="N712">_xlfn.LET(_xlpm.t,_xlfn.XLOOKUP($A712,TRIM(SUBSTITUTE('worker file'!$A$2:$A$406,_xlfn.UNICHAR(160)," ")),'worker file'!$N$2:$N$406,""),IF(N(_xlpm.t)=0,"",_xlpm.t))</f>
        <v/>
      </c>
    </row>
    <row r="713" spans="1:14" x14ac:dyDescent="0.2">
      <c r="A713" s="35" t="s">
        <v>346</v>
      </c>
      <c r="B713" s="36" t="str">
        <f t="array" ref="B713">_xlfn.XLOOKUP($A713,TRIM(SUBSTITUTE('worker file'!$A$2:$A$406,_xlfn.UNICHAR(160)," ")),'worker file'!$L$2:$L$406,"Not found")</f>
        <v>US Semi-monthly</v>
      </c>
      <c r="C713" s="36" t="str">
        <f t="array" ref="C713">_xlfn.XLOOKUP($A713,TRIM(SUBSTITUTE('worker file'!$A$2:$A$406,_xlfn.UNICHAR(160)," ")),'worker file'!$D$2:$D$406,"Not found")</f>
        <v>WA</v>
      </c>
      <c r="D713" s="36" t="str">
        <f t="array" ref="D713">_xlfn.XLOOKUP($A713,TRIM(SUBSTITUTE('worker file'!$A$2:$A$406,_xlfn.UNICHAR(160)," ")),'worker file'!$Q$2:$Q$406,"Not found")</f>
        <v>Active</v>
      </c>
      <c r="E713" s="35" t="s">
        <v>634</v>
      </c>
      <c r="F713" t="str">
        <f t="shared" si="77"/>
        <v>Vision – Employee</v>
      </c>
      <c r="G713" t="str">
        <f t="shared" si="78"/>
        <v>Pre-tax Section 125 (exempt from FIT/SIT/FICA)</v>
      </c>
      <c r="H713" t="str">
        <f t="shared" si="79"/>
        <v>Flat</v>
      </c>
      <c r="I713" s="40" t="str">
        <f>IF($H713="Percent",_xlfn.XLOOKUP($E713,$A$5:$A$8,$F$5:$F$8,""),"")</f>
        <v/>
      </c>
      <c r="J713" s="38">
        <f t="shared" si="80"/>
        <v>30</v>
      </c>
      <c r="K713" t="str">
        <f t="shared" si="81"/>
        <v>Per pay period</v>
      </c>
      <c r="L713" t="str">
        <f t="shared" si="82"/>
        <v>Every pay period (ongoing)</v>
      </c>
      <c r="M713" s="39">
        <f t="array" ref="M713">MAX(_xlfn.XLOOKUP($A713,TRIM(SUBSTITUTE('worker file'!$A$2:$A$406,_xlfn.UNICHAR(160)," ")),'worker file'!$M$2:$M$406,0),_xlfn.XLOOKUP($B713,TRIM('pay group &amp; schedule'!$A$2:$A$6),'pay group &amp; schedule'!$D$2:$D$6,0))</f>
        <v>46311</v>
      </c>
      <c r="N713" s="39" t="str">
        <f t="array" ref="N713">_xlfn.LET(_xlpm.t,_xlfn.XLOOKUP($A713,TRIM(SUBSTITUTE('worker file'!$A$2:$A$406,_xlfn.UNICHAR(160)," ")),'worker file'!$N$2:$N$406,""),IF(N(_xlpm.t)=0,"",_xlpm.t))</f>
        <v/>
      </c>
    </row>
    <row r="714" spans="1:14" x14ac:dyDescent="0.2">
      <c r="A714" s="35" t="s">
        <v>347</v>
      </c>
      <c r="B714" s="36" t="str">
        <f t="array" ref="B714">_xlfn.XLOOKUP($A714,TRIM(SUBSTITUTE('worker file'!$A$2:$A$406,_xlfn.UNICHAR(160)," ")),'worker file'!$L$2:$L$406,"Not found")</f>
        <v>US Semi-monthly</v>
      </c>
      <c r="C714" s="36" t="str">
        <f t="array" ref="C714">_xlfn.XLOOKUP($A714,TRIM(SUBSTITUTE('worker file'!$A$2:$A$406,_xlfn.UNICHAR(160)," ")),'worker file'!$D$2:$D$406,"Not found")</f>
        <v>IL</v>
      </c>
      <c r="D714" s="36" t="str">
        <f t="array" ref="D714">_xlfn.XLOOKUP($A714,TRIM(SUBSTITUTE('worker file'!$A$2:$A$406,_xlfn.UNICHAR(160)," ")),'worker file'!$Q$2:$Q$406,"Not found")</f>
        <v>Active</v>
      </c>
      <c r="E714" s="35" t="s">
        <v>618</v>
      </c>
      <c r="F714" t="str">
        <f t="shared" si="77"/>
        <v>401(k) Employee Deferral</v>
      </c>
      <c r="G714" t="str">
        <f t="shared" si="78"/>
        <v>Pre-tax (exempt from FIT/SIT; subject to FICA)</v>
      </c>
      <c r="H714" t="str">
        <f t="shared" si="79"/>
        <v>Percent</v>
      </c>
      <c r="I714" s="37">
        <v>7.0000000000000007E-2</v>
      </c>
      <c r="J714" s="38" t="str">
        <f t="shared" si="80"/>
        <v/>
      </c>
      <c r="K714" t="str">
        <f t="shared" si="81"/>
        <v>Gross pay</v>
      </c>
      <c r="L714" t="str">
        <f t="shared" si="82"/>
        <v>Every pay period (ongoing)</v>
      </c>
      <c r="M714" s="39">
        <f t="array" ref="M714">MAX(_xlfn.XLOOKUP($A714,TRIM(SUBSTITUTE('worker file'!$A$2:$A$406,_xlfn.UNICHAR(160)," ")),'worker file'!$M$2:$M$406,0),_xlfn.XLOOKUP($B714,TRIM('pay group &amp; schedule'!$A$2:$A$6),'pay group &amp; schedule'!$D$2:$D$6,0))</f>
        <v>46311</v>
      </c>
      <c r="N714" s="39" t="str">
        <f t="array" ref="N714">_xlfn.LET(_xlpm.t,_xlfn.XLOOKUP($A714,TRIM(SUBSTITUTE('worker file'!$A$2:$A$406,_xlfn.UNICHAR(160)," ")),'worker file'!$N$2:$N$406,""),IF(N(_xlpm.t)=0,"",_xlpm.t))</f>
        <v/>
      </c>
    </row>
    <row r="715" spans="1:14" x14ac:dyDescent="0.2">
      <c r="A715" s="35" t="s">
        <v>347</v>
      </c>
      <c r="B715" s="36" t="str">
        <f t="array" ref="B715">_xlfn.XLOOKUP($A715,TRIM(SUBSTITUTE('worker file'!$A$2:$A$406,_xlfn.UNICHAR(160)," ")),'worker file'!$L$2:$L$406,"Not found")</f>
        <v>US Semi-monthly</v>
      </c>
      <c r="C715" s="36" t="str">
        <f t="array" ref="C715">_xlfn.XLOOKUP($A715,TRIM(SUBSTITUTE('worker file'!$A$2:$A$406,_xlfn.UNICHAR(160)," ")),'worker file'!$D$2:$D$406,"Not found")</f>
        <v>IL</v>
      </c>
      <c r="D715" s="36" t="str">
        <f t="array" ref="D715">_xlfn.XLOOKUP($A715,TRIM(SUBSTITUTE('worker file'!$A$2:$A$406,_xlfn.UNICHAR(160)," ")),'worker file'!$Q$2:$Q$406,"Not found")</f>
        <v>Active</v>
      </c>
      <c r="E715" s="35" t="s">
        <v>626</v>
      </c>
      <c r="F715" t="str">
        <f t="shared" si="77"/>
        <v>Medical (Health) – Employee</v>
      </c>
      <c r="G715" t="str">
        <f t="shared" si="78"/>
        <v>Pre-tax Section 125 (exempt from FIT/SIT/FICA)</v>
      </c>
      <c r="H715" t="str">
        <f t="shared" si="79"/>
        <v>Flat</v>
      </c>
      <c r="I715" s="40" t="str">
        <f t="shared" ref="I715:I720" si="84">IF($H715="Percent",_xlfn.XLOOKUP($E715,$A$5:$A$8,$F$5:$F$8,""),"")</f>
        <v/>
      </c>
      <c r="J715" s="38">
        <f t="shared" si="80"/>
        <v>200</v>
      </c>
      <c r="K715" t="str">
        <f t="shared" si="81"/>
        <v>Per pay period</v>
      </c>
      <c r="L715" t="str">
        <f t="shared" si="82"/>
        <v>Every pay period (ongoing)</v>
      </c>
      <c r="M715" s="39">
        <f t="array" ref="M715">MAX(_xlfn.XLOOKUP($A715,TRIM(SUBSTITUTE('worker file'!$A$2:$A$406,_xlfn.UNICHAR(160)," ")),'worker file'!$M$2:$M$406,0),_xlfn.XLOOKUP($B715,TRIM('pay group &amp; schedule'!$A$2:$A$6),'pay group &amp; schedule'!$D$2:$D$6,0))</f>
        <v>46311</v>
      </c>
      <c r="N715" s="39" t="str">
        <f t="array" ref="N715">_xlfn.LET(_xlpm.t,_xlfn.XLOOKUP($A715,TRIM(SUBSTITUTE('worker file'!$A$2:$A$406,_xlfn.UNICHAR(160)," ")),'worker file'!$N$2:$N$406,""),IF(N(_xlpm.t)=0,"",_xlpm.t))</f>
        <v/>
      </c>
    </row>
    <row r="716" spans="1:14" x14ac:dyDescent="0.2">
      <c r="A716" s="35" t="s">
        <v>347</v>
      </c>
      <c r="B716" s="36" t="str">
        <f t="array" ref="B716">_xlfn.XLOOKUP($A716,TRIM(SUBSTITUTE('worker file'!$A$2:$A$406,_xlfn.UNICHAR(160)," ")),'worker file'!$L$2:$L$406,"Not found")</f>
        <v>US Semi-monthly</v>
      </c>
      <c r="C716" s="36" t="str">
        <f t="array" ref="C716">_xlfn.XLOOKUP($A716,TRIM(SUBSTITUTE('worker file'!$A$2:$A$406,_xlfn.UNICHAR(160)," ")),'worker file'!$D$2:$D$406,"Not found")</f>
        <v>IL</v>
      </c>
      <c r="D716" s="36" t="str">
        <f t="array" ref="D716">_xlfn.XLOOKUP($A716,TRIM(SUBSTITUTE('worker file'!$A$2:$A$406,_xlfn.UNICHAR(160)," ")),'worker file'!$Q$2:$Q$406,"Not found")</f>
        <v>Active</v>
      </c>
      <c r="E716" s="35" t="s">
        <v>632</v>
      </c>
      <c r="F716" t="str">
        <f t="shared" ref="F716:F779" si="85">_xlfn.XLOOKUP($E716,$A$5:$A$8,$B$5:$B$8,"")</f>
        <v>Dental – Employee</v>
      </c>
      <c r="G716" t="str">
        <f t="shared" ref="G716:G779" si="86">_xlfn.XLOOKUP($E716,$A$5:$A$8,$D$5:$D$8,"")</f>
        <v>Pre-tax Section 125 (exempt from FIT/SIT/FICA)</v>
      </c>
      <c r="H716" t="str">
        <f t="shared" ref="H716:H779" si="87">_xlfn.XLOOKUP($E716,$A$5:$A$8,$E$5:$E$8,"")</f>
        <v>Flat</v>
      </c>
      <c r="I716" s="40" t="str">
        <f t="shared" si="84"/>
        <v/>
      </c>
      <c r="J716" s="38">
        <f t="shared" ref="J716:J779" si="88">IF($H716="Flat",_xlfn.XLOOKUP($E716,$A$5:$A$8,$F$5:$F$8,""),"")</f>
        <v>44</v>
      </c>
      <c r="K716" t="str">
        <f t="shared" ref="K716:K779" si="89">_xlfn.XLOOKUP($E716,$A$5:$A$8,$G$5:$G$8,"")</f>
        <v>Per pay period</v>
      </c>
      <c r="L716" t="str">
        <f t="shared" ref="L716:L779" si="90">_xlfn.XLOOKUP($E716,$A$5:$A$8,$H$5:$H$8,"")</f>
        <v>Every pay period (ongoing)</v>
      </c>
      <c r="M716" s="39">
        <f t="array" ref="M716">MAX(_xlfn.XLOOKUP($A716,TRIM(SUBSTITUTE('worker file'!$A$2:$A$406,_xlfn.UNICHAR(160)," ")),'worker file'!$M$2:$M$406,0),_xlfn.XLOOKUP($B716,TRIM('pay group &amp; schedule'!$A$2:$A$6),'pay group &amp; schedule'!$D$2:$D$6,0))</f>
        <v>46311</v>
      </c>
      <c r="N716" s="39" t="str">
        <f t="array" ref="N716">_xlfn.LET(_xlpm.t,_xlfn.XLOOKUP($A716,TRIM(SUBSTITUTE('worker file'!$A$2:$A$406,_xlfn.UNICHAR(160)," ")),'worker file'!$N$2:$N$406,""),IF(N(_xlpm.t)=0,"",_xlpm.t))</f>
        <v/>
      </c>
    </row>
    <row r="717" spans="1:14" x14ac:dyDescent="0.2">
      <c r="A717" s="35" t="s">
        <v>347</v>
      </c>
      <c r="B717" s="36" t="str">
        <f t="array" ref="B717">_xlfn.XLOOKUP($A717,TRIM(SUBSTITUTE('worker file'!$A$2:$A$406,_xlfn.UNICHAR(160)," ")),'worker file'!$L$2:$L$406,"Not found")</f>
        <v>US Semi-monthly</v>
      </c>
      <c r="C717" s="36" t="str">
        <f t="array" ref="C717">_xlfn.XLOOKUP($A717,TRIM(SUBSTITUTE('worker file'!$A$2:$A$406,_xlfn.UNICHAR(160)," ")),'worker file'!$D$2:$D$406,"Not found")</f>
        <v>IL</v>
      </c>
      <c r="D717" s="36" t="str">
        <f t="array" ref="D717">_xlfn.XLOOKUP($A717,TRIM(SUBSTITUTE('worker file'!$A$2:$A$406,_xlfn.UNICHAR(160)," ")),'worker file'!$Q$2:$Q$406,"Not found")</f>
        <v>Active</v>
      </c>
      <c r="E717" s="35" t="s">
        <v>634</v>
      </c>
      <c r="F717" t="str">
        <f t="shared" si="85"/>
        <v>Vision – Employee</v>
      </c>
      <c r="G717" t="str">
        <f t="shared" si="86"/>
        <v>Pre-tax Section 125 (exempt from FIT/SIT/FICA)</v>
      </c>
      <c r="H717" t="str">
        <f t="shared" si="87"/>
        <v>Flat</v>
      </c>
      <c r="I717" s="40" t="str">
        <f t="shared" si="84"/>
        <v/>
      </c>
      <c r="J717" s="38">
        <f t="shared" si="88"/>
        <v>30</v>
      </c>
      <c r="K717" t="str">
        <f t="shared" si="89"/>
        <v>Per pay period</v>
      </c>
      <c r="L717" t="str">
        <f t="shared" si="90"/>
        <v>Every pay period (ongoing)</v>
      </c>
      <c r="M717" s="39">
        <f t="array" ref="M717">MAX(_xlfn.XLOOKUP($A717,TRIM(SUBSTITUTE('worker file'!$A$2:$A$406,_xlfn.UNICHAR(160)," ")),'worker file'!$M$2:$M$406,0),_xlfn.XLOOKUP($B717,TRIM('pay group &amp; schedule'!$A$2:$A$6),'pay group &amp; schedule'!$D$2:$D$6,0))</f>
        <v>46311</v>
      </c>
      <c r="N717" s="39" t="str">
        <f t="array" ref="N717">_xlfn.LET(_xlpm.t,_xlfn.XLOOKUP($A717,TRIM(SUBSTITUTE('worker file'!$A$2:$A$406,_xlfn.UNICHAR(160)," ")),'worker file'!$N$2:$N$406,""),IF(N(_xlpm.t)=0,"",_xlpm.t))</f>
        <v/>
      </c>
    </row>
    <row r="718" spans="1:14" x14ac:dyDescent="0.2">
      <c r="A718" s="35" t="s">
        <v>348</v>
      </c>
      <c r="B718" s="36" t="str">
        <f t="array" ref="B718">_xlfn.XLOOKUP($A718,TRIM(SUBSTITUTE('worker file'!$A$2:$A$406,_xlfn.UNICHAR(160)," ")),'worker file'!$L$2:$L$406,"Not found")</f>
        <v>US Semi-monthly</v>
      </c>
      <c r="C718" s="36" t="str">
        <f t="array" ref="C718">_xlfn.XLOOKUP($A718,TRIM(SUBSTITUTE('worker file'!$A$2:$A$406,_xlfn.UNICHAR(160)," ")),'worker file'!$D$2:$D$406,"Not found")</f>
        <v>CA</v>
      </c>
      <c r="D718" s="36" t="str">
        <f t="array" ref="D718">_xlfn.XLOOKUP($A718,TRIM(SUBSTITUTE('worker file'!$A$2:$A$406,_xlfn.UNICHAR(160)," ")),'worker file'!$Q$2:$Q$406,"Not found")</f>
        <v>Active</v>
      </c>
      <c r="E718" s="35" t="s">
        <v>626</v>
      </c>
      <c r="F718" t="str">
        <f t="shared" si="85"/>
        <v>Medical (Health) – Employee</v>
      </c>
      <c r="G718" t="str">
        <f t="shared" si="86"/>
        <v>Pre-tax Section 125 (exempt from FIT/SIT/FICA)</v>
      </c>
      <c r="H718" t="str">
        <f t="shared" si="87"/>
        <v>Flat</v>
      </c>
      <c r="I718" s="40" t="str">
        <f t="shared" si="84"/>
        <v/>
      </c>
      <c r="J718" s="38">
        <f t="shared" si="88"/>
        <v>200</v>
      </c>
      <c r="K718" t="str">
        <f t="shared" si="89"/>
        <v>Per pay period</v>
      </c>
      <c r="L718" t="str">
        <f t="shared" si="90"/>
        <v>Every pay period (ongoing)</v>
      </c>
      <c r="M718" s="39">
        <f t="array" ref="M718">MAX(_xlfn.XLOOKUP($A718,TRIM(SUBSTITUTE('worker file'!$A$2:$A$406,_xlfn.UNICHAR(160)," ")),'worker file'!$M$2:$M$406,0),_xlfn.XLOOKUP($B718,TRIM('pay group &amp; schedule'!$A$2:$A$6),'pay group &amp; schedule'!$D$2:$D$6,0))</f>
        <v>46311</v>
      </c>
      <c r="N718" s="39" t="str">
        <f t="array" ref="N718">_xlfn.LET(_xlpm.t,_xlfn.XLOOKUP($A718,TRIM(SUBSTITUTE('worker file'!$A$2:$A$406,_xlfn.UNICHAR(160)," ")),'worker file'!$N$2:$N$406,""),IF(N(_xlpm.t)=0,"",_xlpm.t))</f>
        <v/>
      </c>
    </row>
    <row r="719" spans="1:14" x14ac:dyDescent="0.2">
      <c r="A719" s="35" t="s">
        <v>348</v>
      </c>
      <c r="B719" s="36" t="str">
        <f t="array" ref="B719">_xlfn.XLOOKUP($A719,TRIM(SUBSTITUTE('worker file'!$A$2:$A$406,_xlfn.UNICHAR(160)," ")),'worker file'!$L$2:$L$406,"Not found")</f>
        <v>US Semi-monthly</v>
      </c>
      <c r="C719" s="36" t="str">
        <f t="array" ref="C719">_xlfn.XLOOKUP($A719,TRIM(SUBSTITUTE('worker file'!$A$2:$A$406,_xlfn.UNICHAR(160)," ")),'worker file'!$D$2:$D$406,"Not found")</f>
        <v>CA</v>
      </c>
      <c r="D719" s="36" t="str">
        <f t="array" ref="D719">_xlfn.XLOOKUP($A719,TRIM(SUBSTITUTE('worker file'!$A$2:$A$406,_xlfn.UNICHAR(160)," ")),'worker file'!$Q$2:$Q$406,"Not found")</f>
        <v>Active</v>
      </c>
      <c r="E719" s="35" t="s">
        <v>632</v>
      </c>
      <c r="F719" t="str">
        <f t="shared" si="85"/>
        <v>Dental – Employee</v>
      </c>
      <c r="G719" t="str">
        <f t="shared" si="86"/>
        <v>Pre-tax Section 125 (exempt from FIT/SIT/FICA)</v>
      </c>
      <c r="H719" t="str">
        <f t="shared" si="87"/>
        <v>Flat</v>
      </c>
      <c r="I719" s="40" t="str">
        <f t="shared" si="84"/>
        <v/>
      </c>
      <c r="J719" s="38">
        <f t="shared" si="88"/>
        <v>44</v>
      </c>
      <c r="K719" t="str">
        <f t="shared" si="89"/>
        <v>Per pay period</v>
      </c>
      <c r="L719" t="str">
        <f t="shared" si="90"/>
        <v>Every pay period (ongoing)</v>
      </c>
      <c r="M719" s="39">
        <f t="array" ref="M719">MAX(_xlfn.XLOOKUP($A719,TRIM(SUBSTITUTE('worker file'!$A$2:$A$406,_xlfn.UNICHAR(160)," ")),'worker file'!$M$2:$M$406,0),_xlfn.XLOOKUP($B719,TRIM('pay group &amp; schedule'!$A$2:$A$6),'pay group &amp; schedule'!$D$2:$D$6,0))</f>
        <v>46311</v>
      </c>
      <c r="N719" s="39" t="str">
        <f t="array" ref="N719">_xlfn.LET(_xlpm.t,_xlfn.XLOOKUP($A719,TRIM(SUBSTITUTE('worker file'!$A$2:$A$406,_xlfn.UNICHAR(160)," ")),'worker file'!$N$2:$N$406,""),IF(N(_xlpm.t)=0,"",_xlpm.t))</f>
        <v/>
      </c>
    </row>
    <row r="720" spans="1:14" x14ac:dyDescent="0.2">
      <c r="A720" s="35" t="s">
        <v>348</v>
      </c>
      <c r="B720" s="36" t="str">
        <f t="array" ref="B720">_xlfn.XLOOKUP($A720,TRIM(SUBSTITUTE('worker file'!$A$2:$A$406,_xlfn.UNICHAR(160)," ")),'worker file'!$L$2:$L$406,"Not found")</f>
        <v>US Semi-monthly</v>
      </c>
      <c r="C720" s="36" t="str">
        <f t="array" ref="C720">_xlfn.XLOOKUP($A720,TRIM(SUBSTITUTE('worker file'!$A$2:$A$406,_xlfn.UNICHAR(160)," ")),'worker file'!$D$2:$D$406,"Not found")</f>
        <v>CA</v>
      </c>
      <c r="D720" s="36" t="str">
        <f t="array" ref="D720">_xlfn.XLOOKUP($A720,TRIM(SUBSTITUTE('worker file'!$A$2:$A$406,_xlfn.UNICHAR(160)," ")),'worker file'!$Q$2:$Q$406,"Not found")</f>
        <v>Active</v>
      </c>
      <c r="E720" s="35" t="s">
        <v>634</v>
      </c>
      <c r="F720" t="str">
        <f t="shared" si="85"/>
        <v>Vision – Employee</v>
      </c>
      <c r="G720" t="str">
        <f t="shared" si="86"/>
        <v>Pre-tax Section 125 (exempt from FIT/SIT/FICA)</v>
      </c>
      <c r="H720" t="str">
        <f t="shared" si="87"/>
        <v>Flat</v>
      </c>
      <c r="I720" s="40" t="str">
        <f t="shared" si="84"/>
        <v/>
      </c>
      <c r="J720" s="38">
        <f t="shared" si="88"/>
        <v>30</v>
      </c>
      <c r="K720" t="str">
        <f t="shared" si="89"/>
        <v>Per pay period</v>
      </c>
      <c r="L720" t="str">
        <f t="shared" si="90"/>
        <v>Every pay period (ongoing)</v>
      </c>
      <c r="M720" s="39">
        <f t="array" ref="M720">MAX(_xlfn.XLOOKUP($A720,TRIM(SUBSTITUTE('worker file'!$A$2:$A$406,_xlfn.UNICHAR(160)," ")),'worker file'!$M$2:$M$406,0),_xlfn.XLOOKUP($B720,TRIM('pay group &amp; schedule'!$A$2:$A$6),'pay group &amp; schedule'!$D$2:$D$6,0))</f>
        <v>46311</v>
      </c>
      <c r="N720" s="39" t="str">
        <f t="array" ref="N720">_xlfn.LET(_xlpm.t,_xlfn.XLOOKUP($A720,TRIM(SUBSTITUTE('worker file'!$A$2:$A$406,_xlfn.UNICHAR(160)," ")),'worker file'!$N$2:$N$406,""),IF(N(_xlpm.t)=0,"",_xlpm.t))</f>
        <v/>
      </c>
    </row>
    <row r="721" spans="1:14" x14ac:dyDescent="0.2">
      <c r="A721" s="35" t="s">
        <v>349</v>
      </c>
      <c r="B721" s="36" t="str">
        <f t="array" ref="B721">_xlfn.XLOOKUP($A721,TRIM(SUBSTITUTE('worker file'!$A$2:$A$406,_xlfn.UNICHAR(160)," ")),'worker file'!$L$2:$L$406,"Not found")</f>
        <v>US Biweekly</v>
      </c>
      <c r="C721" s="36" t="str">
        <f t="array" ref="C721">_xlfn.XLOOKUP($A721,TRIM(SUBSTITUTE('worker file'!$A$2:$A$406,_xlfn.UNICHAR(160)," ")),'worker file'!$D$2:$D$406,"Not found")</f>
        <v>CA</v>
      </c>
      <c r="D721" s="36" t="str">
        <f t="array" ref="D721">_xlfn.XLOOKUP($A721,TRIM(SUBSTITUTE('worker file'!$A$2:$A$406,_xlfn.UNICHAR(160)," ")),'worker file'!$Q$2:$Q$406,"Not found")</f>
        <v>Active</v>
      </c>
      <c r="E721" s="35" t="s">
        <v>618</v>
      </c>
      <c r="F721" t="str">
        <f t="shared" si="85"/>
        <v>401(k) Employee Deferral</v>
      </c>
      <c r="G721" t="str">
        <f t="shared" si="86"/>
        <v>Pre-tax (exempt from FIT/SIT; subject to FICA)</v>
      </c>
      <c r="H721" t="str">
        <f t="shared" si="87"/>
        <v>Percent</v>
      </c>
      <c r="I721" s="37">
        <v>0.01</v>
      </c>
      <c r="J721" s="38" t="str">
        <f t="shared" si="88"/>
        <v/>
      </c>
      <c r="K721" t="str">
        <f t="shared" si="89"/>
        <v>Gross pay</v>
      </c>
      <c r="L721" t="str">
        <f t="shared" si="90"/>
        <v>Every pay period (ongoing)</v>
      </c>
      <c r="M721" s="39">
        <f t="array" ref="M721">MAX(_xlfn.XLOOKUP($A721,TRIM(SUBSTITUTE('worker file'!$A$2:$A$406,_xlfn.UNICHAR(160)," ")),'worker file'!$M$2:$M$406,0),_xlfn.XLOOKUP($B721,TRIM('pay group &amp; schedule'!$A$2:$A$6),'pay group &amp; schedule'!$D$2:$D$6,0))</f>
        <v>46299</v>
      </c>
      <c r="N721" s="39" t="str">
        <f t="array" ref="N721">_xlfn.LET(_xlpm.t,_xlfn.XLOOKUP($A721,TRIM(SUBSTITUTE('worker file'!$A$2:$A$406,_xlfn.UNICHAR(160)," ")),'worker file'!$N$2:$N$406,""),IF(N(_xlpm.t)=0,"",_xlpm.t))</f>
        <v/>
      </c>
    </row>
    <row r="722" spans="1:14" x14ac:dyDescent="0.2">
      <c r="A722" s="35" t="s">
        <v>349</v>
      </c>
      <c r="B722" s="36" t="str">
        <f t="array" ref="B722">_xlfn.XLOOKUP($A722,TRIM(SUBSTITUTE('worker file'!$A$2:$A$406,_xlfn.UNICHAR(160)," ")),'worker file'!$L$2:$L$406,"Not found")</f>
        <v>US Biweekly</v>
      </c>
      <c r="C722" s="36" t="str">
        <f t="array" ref="C722">_xlfn.XLOOKUP($A722,TRIM(SUBSTITUTE('worker file'!$A$2:$A$406,_xlfn.UNICHAR(160)," ")),'worker file'!$D$2:$D$406,"Not found")</f>
        <v>CA</v>
      </c>
      <c r="D722" s="36" t="str">
        <f t="array" ref="D722">_xlfn.XLOOKUP($A722,TRIM(SUBSTITUTE('worker file'!$A$2:$A$406,_xlfn.UNICHAR(160)," ")),'worker file'!$Q$2:$Q$406,"Not found")</f>
        <v>Active</v>
      </c>
      <c r="E722" s="35" t="s">
        <v>626</v>
      </c>
      <c r="F722" t="str">
        <f t="shared" si="85"/>
        <v>Medical (Health) – Employee</v>
      </c>
      <c r="G722" t="str">
        <f t="shared" si="86"/>
        <v>Pre-tax Section 125 (exempt from FIT/SIT/FICA)</v>
      </c>
      <c r="H722" t="str">
        <f t="shared" si="87"/>
        <v>Flat</v>
      </c>
      <c r="I722" s="40" t="str">
        <f>IF($H722="Percent",_xlfn.XLOOKUP($E722,$A$5:$A$8,$F$5:$F$8,""),"")</f>
        <v/>
      </c>
      <c r="J722" s="38">
        <f t="shared" si="88"/>
        <v>200</v>
      </c>
      <c r="K722" t="str">
        <f t="shared" si="89"/>
        <v>Per pay period</v>
      </c>
      <c r="L722" t="str">
        <f t="shared" si="90"/>
        <v>Every pay period (ongoing)</v>
      </c>
      <c r="M722" s="39">
        <f t="array" ref="M722">MAX(_xlfn.XLOOKUP($A722,TRIM(SUBSTITUTE('worker file'!$A$2:$A$406,_xlfn.UNICHAR(160)," ")),'worker file'!$M$2:$M$406,0),_xlfn.XLOOKUP($B722,TRIM('pay group &amp; schedule'!$A$2:$A$6),'pay group &amp; schedule'!$D$2:$D$6,0))</f>
        <v>46299</v>
      </c>
      <c r="N722" s="39" t="str">
        <f t="array" ref="N722">_xlfn.LET(_xlpm.t,_xlfn.XLOOKUP($A722,TRIM(SUBSTITUTE('worker file'!$A$2:$A$406,_xlfn.UNICHAR(160)," ")),'worker file'!$N$2:$N$406,""),IF(N(_xlpm.t)=0,"",_xlpm.t))</f>
        <v/>
      </c>
    </row>
    <row r="723" spans="1:14" x14ac:dyDescent="0.2">
      <c r="A723" s="35" t="s">
        <v>349</v>
      </c>
      <c r="B723" s="36" t="str">
        <f t="array" ref="B723">_xlfn.XLOOKUP($A723,TRIM(SUBSTITUTE('worker file'!$A$2:$A$406,_xlfn.UNICHAR(160)," ")),'worker file'!$L$2:$L$406,"Not found")</f>
        <v>US Biweekly</v>
      </c>
      <c r="C723" s="36" t="str">
        <f t="array" ref="C723">_xlfn.XLOOKUP($A723,TRIM(SUBSTITUTE('worker file'!$A$2:$A$406,_xlfn.UNICHAR(160)," ")),'worker file'!$D$2:$D$406,"Not found")</f>
        <v>CA</v>
      </c>
      <c r="D723" s="36" t="str">
        <f t="array" ref="D723">_xlfn.XLOOKUP($A723,TRIM(SUBSTITUTE('worker file'!$A$2:$A$406,_xlfn.UNICHAR(160)," ")),'worker file'!$Q$2:$Q$406,"Not found")</f>
        <v>Active</v>
      </c>
      <c r="E723" s="35" t="s">
        <v>632</v>
      </c>
      <c r="F723" t="str">
        <f t="shared" si="85"/>
        <v>Dental – Employee</v>
      </c>
      <c r="G723" t="str">
        <f t="shared" si="86"/>
        <v>Pre-tax Section 125 (exempt from FIT/SIT/FICA)</v>
      </c>
      <c r="H723" t="str">
        <f t="shared" si="87"/>
        <v>Flat</v>
      </c>
      <c r="I723" s="40" t="str">
        <f>IF($H723="Percent",_xlfn.XLOOKUP($E723,$A$5:$A$8,$F$5:$F$8,""),"")</f>
        <v/>
      </c>
      <c r="J723" s="38">
        <f t="shared" si="88"/>
        <v>44</v>
      </c>
      <c r="K723" t="str">
        <f t="shared" si="89"/>
        <v>Per pay period</v>
      </c>
      <c r="L723" t="str">
        <f t="shared" si="90"/>
        <v>Every pay period (ongoing)</v>
      </c>
      <c r="M723" s="39">
        <f t="array" ref="M723">MAX(_xlfn.XLOOKUP($A723,TRIM(SUBSTITUTE('worker file'!$A$2:$A$406,_xlfn.UNICHAR(160)," ")),'worker file'!$M$2:$M$406,0),_xlfn.XLOOKUP($B723,TRIM('pay group &amp; schedule'!$A$2:$A$6),'pay group &amp; schedule'!$D$2:$D$6,0))</f>
        <v>46299</v>
      </c>
      <c r="N723" s="39" t="str">
        <f t="array" ref="N723">_xlfn.LET(_xlpm.t,_xlfn.XLOOKUP($A723,TRIM(SUBSTITUTE('worker file'!$A$2:$A$406,_xlfn.UNICHAR(160)," ")),'worker file'!$N$2:$N$406,""),IF(N(_xlpm.t)=0,"",_xlpm.t))</f>
        <v/>
      </c>
    </row>
    <row r="724" spans="1:14" x14ac:dyDescent="0.2">
      <c r="A724" s="35" t="s">
        <v>349</v>
      </c>
      <c r="B724" s="36" t="str">
        <f t="array" ref="B724">_xlfn.XLOOKUP($A724,TRIM(SUBSTITUTE('worker file'!$A$2:$A$406,_xlfn.UNICHAR(160)," ")),'worker file'!$L$2:$L$406,"Not found")</f>
        <v>US Biweekly</v>
      </c>
      <c r="C724" s="36" t="str">
        <f t="array" ref="C724">_xlfn.XLOOKUP($A724,TRIM(SUBSTITUTE('worker file'!$A$2:$A$406,_xlfn.UNICHAR(160)," ")),'worker file'!$D$2:$D$406,"Not found")</f>
        <v>CA</v>
      </c>
      <c r="D724" s="36" t="str">
        <f t="array" ref="D724">_xlfn.XLOOKUP($A724,TRIM(SUBSTITUTE('worker file'!$A$2:$A$406,_xlfn.UNICHAR(160)," ")),'worker file'!$Q$2:$Q$406,"Not found")</f>
        <v>Active</v>
      </c>
      <c r="E724" s="35" t="s">
        <v>634</v>
      </c>
      <c r="F724" t="str">
        <f t="shared" si="85"/>
        <v>Vision – Employee</v>
      </c>
      <c r="G724" t="str">
        <f t="shared" si="86"/>
        <v>Pre-tax Section 125 (exempt from FIT/SIT/FICA)</v>
      </c>
      <c r="H724" t="str">
        <f t="shared" si="87"/>
        <v>Flat</v>
      </c>
      <c r="I724" s="40" t="str">
        <f>IF($H724="Percent",_xlfn.XLOOKUP($E724,$A$5:$A$8,$F$5:$F$8,""),"")</f>
        <v/>
      </c>
      <c r="J724" s="38">
        <f t="shared" si="88"/>
        <v>30</v>
      </c>
      <c r="K724" t="str">
        <f t="shared" si="89"/>
        <v>Per pay period</v>
      </c>
      <c r="L724" t="str">
        <f t="shared" si="90"/>
        <v>Every pay period (ongoing)</v>
      </c>
      <c r="M724" s="39">
        <f t="array" ref="M724">MAX(_xlfn.XLOOKUP($A724,TRIM(SUBSTITUTE('worker file'!$A$2:$A$406,_xlfn.UNICHAR(160)," ")),'worker file'!$M$2:$M$406,0),_xlfn.XLOOKUP($B724,TRIM('pay group &amp; schedule'!$A$2:$A$6),'pay group &amp; schedule'!$D$2:$D$6,0))</f>
        <v>46299</v>
      </c>
      <c r="N724" s="39" t="str">
        <f t="array" ref="N724">_xlfn.LET(_xlpm.t,_xlfn.XLOOKUP($A724,TRIM(SUBSTITUTE('worker file'!$A$2:$A$406,_xlfn.UNICHAR(160)," ")),'worker file'!$N$2:$N$406,""),IF(N(_xlpm.t)=0,"",_xlpm.t))</f>
        <v/>
      </c>
    </row>
    <row r="725" spans="1:14" x14ac:dyDescent="0.2">
      <c r="A725" s="35" t="s">
        <v>351</v>
      </c>
      <c r="B725" s="36" t="str">
        <f t="array" ref="B725">_xlfn.XLOOKUP($A725,TRIM(SUBSTITUTE('worker file'!$A$2:$A$406,_xlfn.UNICHAR(160)," ")),'worker file'!$L$2:$L$406,"Not found")</f>
        <v>US Biweekly</v>
      </c>
      <c r="C725" s="36" t="str">
        <f t="array" ref="C725">_xlfn.XLOOKUP($A725,TRIM(SUBSTITUTE('worker file'!$A$2:$A$406,_xlfn.UNICHAR(160)," ")),'worker file'!$D$2:$D$406,"Not found")</f>
        <v>CA</v>
      </c>
      <c r="D725" s="36" t="str">
        <f t="array" ref="D725">_xlfn.XLOOKUP($A725,TRIM(SUBSTITUTE('worker file'!$A$2:$A$406,_xlfn.UNICHAR(160)," ")),'worker file'!$Q$2:$Q$406,"Not found")</f>
        <v>Active</v>
      </c>
      <c r="E725" s="35" t="s">
        <v>618</v>
      </c>
      <c r="F725" t="str">
        <f t="shared" si="85"/>
        <v>401(k) Employee Deferral</v>
      </c>
      <c r="G725" t="str">
        <f t="shared" si="86"/>
        <v>Pre-tax (exempt from FIT/SIT; subject to FICA)</v>
      </c>
      <c r="H725" t="str">
        <f t="shared" si="87"/>
        <v>Percent</v>
      </c>
      <c r="I725" s="37">
        <v>0.06</v>
      </c>
      <c r="J725" s="38" t="str">
        <f t="shared" si="88"/>
        <v/>
      </c>
      <c r="K725" t="str">
        <f t="shared" si="89"/>
        <v>Gross pay</v>
      </c>
      <c r="L725" t="str">
        <f t="shared" si="90"/>
        <v>Every pay period (ongoing)</v>
      </c>
      <c r="M725" s="39">
        <f t="array" ref="M725">MAX(_xlfn.XLOOKUP($A725,TRIM(SUBSTITUTE('worker file'!$A$2:$A$406,_xlfn.UNICHAR(160)," ")),'worker file'!$M$2:$M$406,0),_xlfn.XLOOKUP($B725,TRIM('pay group &amp; schedule'!$A$2:$A$6),'pay group &amp; schedule'!$D$2:$D$6,0))</f>
        <v>46299</v>
      </c>
      <c r="N725" s="39" t="str">
        <f t="array" ref="N725">_xlfn.LET(_xlpm.t,_xlfn.XLOOKUP($A725,TRIM(SUBSTITUTE('worker file'!$A$2:$A$406,_xlfn.UNICHAR(160)," ")),'worker file'!$N$2:$N$406,""),IF(N(_xlpm.t)=0,"",_xlpm.t))</f>
        <v/>
      </c>
    </row>
    <row r="726" spans="1:14" x14ac:dyDescent="0.2">
      <c r="A726" s="35" t="s">
        <v>351</v>
      </c>
      <c r="B726" s="36" t="str">
        <f t="array" ref="B726">_xlfn.XLOOKUP($A726,TRIM(SUBSTITUTE('worker file'!$A$2:$A$406,_xlfn.UNICHAR(160)," ")),'worker file'!$L$2:$L$406,"Not found")</f>
        <v>US Biweekly</v>
      </c>
      <c r="C726" s="36" t="str">
        <f t="array" ref="C726">_xlfn.XLOOKUP($A726,TRIM(SUBSTITUTE('worker file'!$A$2:$A$406,_xlfn.UNICHAR(160)," ")),'worker file'!$D$2:$D$406,"Not found")</f>
        <v>CA</v>
      </c>
      <c r="D726" s="36" t="str">
        <f t="array" ref="D726">_xlfn.XLOOKUP($A726,TRIM(SUBSTITUTE('worker file'!$A$2:$A$406,_xlfn.UNICHAR(160)," ")),'worker file'!$Q$2:$Q$406,"Not found")</f>
        <v>Active</v>
      </c>
      <c r="E726" s="35" t="s">
        <v>626</v>
      </c>
      <c r="F726" t="str">
        <f t="shared" si="85"/>
        <v>Medical (Health) – Employee</v>
      </c>
      <c r="G726" t="str">
        <f t="shared" si="86"/>
        <v>Pre-tax Section 125 (exempt from FIT/SIT/FICA)</v>
      </c>
      <c r="H726" t="str">
        <f t="shared" si="87"/>
        <v>Flat</v>
      </c>
      <c r="I726" s="40" t="str">
        <f>IF($H726="Percent",_xlfn.XLOOKUP($E726,$A$5:$A$8,$F$5:$F$8,""),"")</f>
        <v/>
      </c>
      <c r="J726" s="38">
        <f t="shared" si="88"/>
        <v>200</v>
      </c>
      <c r="K726" t="str">
        <f t="shared" si="89"/>
        <v>Per pay period</v>
      </c>
      <c r="L726" t="str">
        <f t="shared" si="90"/>
        <v>Every pay period (ongoing)</v>
      </c>
      <c r="M726" s="39">
        <f t="array" ref="M726">MAX(_xlfn.XLOOKUP($A726,TRIM(SUBSTITUTE('worker file'!$A$2:$A$406,_xlfn.UNICHAR(160)," ")),'worker file'!$M$2:$M$406,0),_xlfn.XLOOKUP($B726,TRIM('pay group &amp; schedule'!$A$2:$A$6),'pay group &amp; schedule'!$D$2:$D$6,0))</f>
        <v>46299</v>
      </c>
      <c r="N726" s="39" t="str">
        <f t="array" ref="N726">_xlfn.LET(_xlpm.t,_xlfn.XLOOKUP($A726,TRIM(SUBSTITUTE('worker file'!$A$2:$A$406,_xlfn.UNICHAR(160)," ")),'worker file'!$N$2:$N$406,""),IF(N(_xlpm.t)=0,"",_xlpm.t))</f>
        <v/>
      </c>
    </row>
    <row r="727" spans="1:14" x14ac:dyDescent="0.2">
      <c r="A727" s="35" t="s">
        <v>351</v>
      </c>
      <c r="B727" s="36" t="str">
        <f t="array" ref="B727">_xlfn.XLOOKUP($A727,TRIM(SUBSTITUTE('worker file'!$A$2:$A$406,_xlfn.UNICHAR(160)," ")),'worker file'!$L$2:$L$406,"Not found")</f>
        <v>US Biweekly</v>
      </c>
      <c r="C727" s="36" t="str">
        <f t="array" ref="C727">_xlfn.XLOOKUP($A727,TRIM(SUBSTITUTE('worker file'!$A$2:$A$406,_xlfn.UNICHAR(160)," ")),'worker file'!$D$2:$D$406,"Not found")</f>
        <v>CA</v>
      </c>
      <c r="D727" s="36" t="str">
        <f t="array" ref="D727">_xlfn.XLOOKUP($A727,TRIM(SUBSTITUTE('worker file'!$A$2:$A$406,_xlfn.UNICHAR(160)," ")),'worker file'!$Q$2:$Q$406,"Not found")</f>
        <v>Active</v>
      </c>
      <c r="E727" s="35" t="s">
        <v>632</v>
      </c>
      <c r="F727" t="str">
        <f t="shared" si="85"/>
        <v>Dental – Employee</v>
      </c>
      <c r="G727" t="str">
        <f t="shared" si="86"/>
        <v>Pre-tax Section 125 (exempt from FIT/SIT/FICA)</v>
      </c>
      <c r="H727" t="str">
        <f t="shared" si="87"/>
        <v>Flat</v>
      </c>
      <c r="I727" s="40" t="str">
        <f>IF($H727="Percent",_xlfn.XLOOKUP($E727,$A$5:$A$8,$F$5:$F$8,""),"")</f>
        <v/>
      </c>
      <c r="J727" s="38">
        <f t="shared" si="88"/>
        <v>44</v>
      </c>
      <c r="K727" t="str">
        <f t="shared" si="89"/>
        <v>Per pay period</v>
      </c>
      <c r="L727" t="str">
        <f t="shared" si="90"/>
        <v>Every pay period (ongoing)</v>
      </c>
      <c r="M727" s="39">
        <f t="array" ref="M727">MAX(_xlfn.XLOOKUP($A727,TRIM(SUBSTITUTE('worker file'!$A$2:$A$406,_xlfn.UNICHAR(160)," ")),'worker file'!$M$2:$M$406,0),_xlfn.XLOOKUP($B727,TRIM('pay group &amp; schedule'!$A$2:$A$6),'pay group &amp; schedule'!$D$2:$D$6,0))</f>
        <v>46299</v>
      </c>
      <c r="N727" s="39" t="str">
        <f t="array" ref="N727">_xlfn.LET(_xlpm.t,_xlfn.XLOOKUP($A727,TRIM(SUBSTITUTE('worker file'!$A$2:$A$406,_xlfn.UNICHAR(160)," ")),'worker file'!$N$2:$N$406,""),IF(N(_xlpm.t)=0,"",_xlpm.t))</f>
        <v/>
      </c>
    </row>
    <row r="728" spans="1:14" x14ac:dyDescent="0.2">
      <c r="A728" s="35" t="s">
        <v>351</v>
      </c>
      <c r="B728" s="36" t="str">
        <f t="array" ref="B728">_xlfn.XLOOKUP($A728,TRIM(SUBSTITUTE('worker file'!$A$2:$A$406,_xlfn.UNICHAR(160)," ")),'worker file'!$L$2:$L$406,"Not found")</f>
        <v>US Biweekly</v>
      </c>
      <c r="C728" s="36" t="str">
        <f t="array" ref="C728">_xlfn.XLOOKUP($A728,TRIM(SUBSTITUTE('worker file'!$A$2:$A$406,_xlfn.UNICHAR(160)," ")),'worker file'!$D$2:$D$406,"Not found")</f>
        <v>CA</v>
      </c>
      <c r="D728" s="36" t="str">
        <f t="array" ref="D728">_xlfn.XLOOKUP($A728,TRIM(SUBSTITUTE('worker file'!$A$2:$A$406,_xlfn.UNICHAR(160)," ")),'worker file'!$Q$2:$Q$406,"Not found")</f>
        <v>Active</v>
      </c>
      <c r="E728" s="35" t="s">
        <v>634</v>
      </c>
      <c r="F728" t="str">
        <f t="shared" si="85"/>
        <v>Vision – Employee</v>
      </c>
      <c r="G728" t="str">
        <f t="shared" si="86"/>
        <v>Pre-tax Section 125 (exempt from FIT/SIT/FICA)</v>
      </c>
      <c r="H728" t="str">
        <f t="shared" si="87"/>
        <v>Flat</v>
      </c>
      <c r="I728" s="40" t="str">
        <f>IF($H728="Percent",_xlfn.XLOOKUP($E728,$A$5:$A$8,$F$5:$F$8,""),"")</f>
        <v/>
      </c>
      <c r="J728" s="38">
        <f t="shared" si="88"/>
        <v>30</v>
      </c>
      <c r="K728" t="str">
        <f t="shared" si="89"/>
        <v>Per pay period</v>
      </c>
      <c r="L728" t="str">
        <f t="shared" si="90"/>
        <v>Every pay period (ongoing)</v>
      </c>
      <c r="M728" s="39">
        <f t="array" ref="M728">MAX(_xlfn.XLOOKUP($A728,TRIM(SUBSTITUTE('worker file'!$A$2:$A$406,_xlfn.UNICHAR(160)," ")),'worker file'!$M$2:$M$406,0),_xlfn.XLOOKUP($B728,TRIM('pay group &amp; schedule'!$A$2:$A$6),'pay group &amp; schedule'!$D$2:$D$6,0))</f>
        <v>46299</v>
      </c>
      <c r="N728" s="39" t="str">
        <f t="array" ref="N728">_xlfn.LET(_xlpm.t,_xlfn.XLOOKUP($A728,TRIM(SUBSTITUTE('worker file'!$A$2:$A$406,_xlfn.UNICHAR(160)," ")),'worker file'!$N$2:$N$406,""),IF(N(_xlpm.t)=0,"",_xlpm.t))</f>
        <v/>
      </c>
    </row>
    <row r="729" spans="1:14" x14ac:dyDescent="0.2">
      <c r="A729" s="35" t="s">
        <v>352</v>
      </c>
      <c r="B729" s="36" t="str">
        <f t="array" ref="B729">_xlfn.XLOOKUP($A729,TRIM(SUBSTITUTE('worker file'!$A$2:$A$406,_xlfn.UNICHAR(160)," ")),'worker file'!$L$2:$L$406,"Not found")</f>
        <v>US Semi-monthly</v>
      </c>
      <c r="C729" s="36" t="str">
        <f t="array" ref="C729">_xlfn.XLOOKUP($A729,TRIM(SUBSTITUTE('worker file'!$A$2:$A$406,_xlfn.UNICHAR(160)," ")),'worker file'!$D$2:$D$406,"Not found")</f>
        <v>CA</v>
      </c>
      <c r="D729" s="36" t="str">
        <f t="array" ref="D729">_xlfn.XLOOKUP($A729,TRIM(SUBSTITUTE('worker file'!$A$2:$A$406,_xlfn.UNICHAR(160)," ")),'worker file'!$Q$2:$Q$406,"Not found")</f>
        <v>Active</v>
      </c>
      <c r="E729" s="35" t="s">
        <v>618</v>
      </c>
      <c r="F729" t="str">
        <f t="shared" si="85"/>
        <v>401(k) Employee Deferral</v>
      </c>
      <c r="G729" t="str">
        <f t="shared" si="86"/>
        <v>Pre-tax (exempt from FIT/SIT; subject to FICA)</v>
      </c>
      <c r="H729" t="str">
        <f t="shared" si="87"/>
        <v>Percent</v>
      </c>
      <c r="I729" s="37">
        <v>0.03</v>
      </c>
      <c r="J729" s="38" t="str">
        <f t="shared" si="88"/>
        <v/>
      </c>
      <c r="K729" t="str">
        <f t="shared" si="89"/>
        <v>Gross pay</v>
      </c>
      <c r="L729" t="str">
        <f t="shared" si="90"/>
        <v>Every pay period (ongoing)</v>
      </c>
      <c r="M729" s="39">
        <f t="array" ref="M729">MAX(_xlfn.XLOOKUP($A729,TRIM(SUBSTITUTE('worker file'!$A$2:$A$406,_xlfn.UNICHAR(160)," ")),'worker file'!$M$2:$M$406,0),_xlfn.XLOOKUP($B729,TRIM('pay group &amp; schedule'!$A$2:$A$6),'pay group &amp; schedule'!$D$2:$D$6,0))</f>
        <v>46311</v>
      </c>
      <c r="N729" s="39" t="str">
        <f t="array" ref="N729">_xlfn.LET(_xlpm.t,_xlfn.XLOOKUP($A729,TRIM(SUBSTITUTE('worker file'!$A$2:$A$406,_xlfn.UNICHAR(160)," ")),'worker file'!$N$2:$N$406,""),IF(N(_xlpm.t)=0,"",_xlpm.t))</f>
        <v/>
      </c>
    </row>
    <row r="730" spans="1:14" x14ac:dyDescent="0.2">
      <c r="A730" s="35" t="s">
        <v>352</v>
      </c>
      <c r="B730" s="36" t="str">
        <f t="array" ref="B730">_xlfn.XLOOKUP($A730,TRIM(SUBSTITUTE('worker file'!$A$2:$A$406,_xlfn.UNICHAR(160)," ")),'worker file'!$L$2:$L$406,"Not found")</f>
        <v>US Semi-monthly</v>
      </c>
      <c r="C730" s="36" t="str">
        <f t="array" ref="C730">_xlfn.XLOOKUP($A730,TRIM(SUBSTITUTE('worker file'!$A$2:$A$406,_xlfn.UNICHAR(160)," ")),'worker file'!$D$2:$D$406,"Not found")</f>
        <v>CA</v>
      </c>
      <c r="D730" s="36" t="str">
        <f t="array" ref="D730">_xlfn.XLOOKUP($A730,TRIM(SUBSTITUTE('worker file'!$A$2:$A$406,_xlfn.UNICHAR(160)," ")),'worker file'!$Q$2:$Q$406,"Not found")</f>
        <v>Active</v>
      </c>
      <c r="E730" s="35" t="s">
        <v>626</v>
      </c>
      <c r="F730" t="str">
        <f t="shared" si="85"/>
        <v>Medical (Health) – Employee</v>
      </c>
      <c r="G730" t="str">
        <f t="shared" si="86"/>
        <v>Pre-tax Section 125 (exempt from FIT/SIT/FICA)</v>
      </c>
      <c r="H730" t="str">
        <f t="shared" si="87"/>
        <v>Flat</v>
      </c>
      <c r="I730" s="40" t="str">
        <f>IF($H730="Percent",_xlfn.XLOOKUP($E730,$A$5:$A$8,$F$5:$F$8,""),"")</f>
        <v/>
      </c>
      <c r="J730" s="38">
        <f t="shared" si="88"/>
        <v>200</v>
      </c>
      <c r="K730" t="str">
        <f t="shared" si="89"/>
        <v>Per pay period</v>
      </c>
      <c r="L730" t="str">
        <f t="shared" si="90"/>
        <v>Every pay period (ongoing)</v>
      </c>
      <c r="M730" s="39">
        <f t="array" ref="M730">MAX(_xlfn.XLOOKUP($A730,TRIM(SUBSTITUTE('worker file'!$A$2:$A$406,_xlfn.UNICHAR(160)," ")),'worker file'!$M$2:$M$406,0),_xlfn.XLOOKUP($B730,TRIM('pay group &amp; schedule'!$A$2:$A$6),'pay group &amp; schedule'!$D$2:$D$6,0))</f>
        <v>46311</v>
      </c>
      <c r="N730" s="39" t="str">
        <f t="array" ref="N730">_xlfn.LET(_xlpm.t,_xlfn.XLOOKUP($A730,TRIM(SUBSTITUTE('worker file'!$A$2:$A$406,_xlfn.UNICHAR(160)," ")),'worker file'!$N$2:$N$406,""),IF(N(_xlpm.t)=0,"",_xlpm.t))</f>
        <v/>
      </c>
    </row>
    <row r="731" spans="1:14" x14ac:dyDescent="0.2">
      <c r="A731" s="35" t="s">
        <v>352</v>
      </c>
      <c r="B731" s="36" t="str">
        <f t="array" ref="B731">_xlfn.XLOOKUP($A731,TRIM(SUBSTITUTE('worker file'!$A$2:$A$406,_xlfn.UNICHAR(160)," ")),'worker file'!$L$2:$L$406,"Not found")</f>
        <v>US Semi-monthly</v>
      </c>
      <c r="C731" s="36" t="str">
        <f t="array" ref="C731">_xlfn.XLOOKUP($A731,TRIM(SUBSTITUTE('worker file'!$A$2:$A$406,_xlfn.UNICHAR(160)," ")),'worker file'!$D$2:$D$406,"Not found")</f>
        <v>CA</v>
      </c>
      <c r="D731" s="36" t="str">
        <f t="array" ref="D731">_xlfn.XLOOKUP($A731,TRIM(SUBSTITUTE('worker file'!$A$2:$A$406,_xlfn.UNICHAR(160)," ")),'worker file'!$Q$2:$Q$406,"Not found")</f>
        <v>Active</v>
      </c>
      <c r="E731" s="35" t="s">
        <v>632</v>
      </c>
      <c r="F731" t="str">
        <f t="shared" si="85"/>
        <v>Dental – Employee</v>
      </c>
      <c r="G731" t="str">
        <f t="shared" si="86"/>
        <v>Pre-tax Section 125 (exempt from FIT/SIT/FICA)</v>
      </c>
      <c r="H731" t="str">
        <f t="shared" si="87"/>
        <v>Flat</v>
      </c>
      <c r="I731" s="40" t="str">
        <f>IF($H731="Percent",_xlfn.XLOOKUP($E731,$A$5:$A$8,$F$5:$F$8,""),"")</f>
        <v/>
      </c>
      <c r="J731" s="38">
        <f t="shared" si="88"/>
        <v>44</v>
      </c>
      <c r="K731" t="str">
        <f t="shared" si="89"/>
        <v>Per pay period</v>
      </c>
      <c r="L731" t="str">
        <f t="shared" si="90"/>
        <v>Every pay period (ongoing)</v>
      </c>
      <c r="M731" s="39">
        <f t="array" ref="M731">MAX(_xlfn.XLOOKUP($A731,TRIM(SUBSTITUTE('worker file'!$A$2:$A$406,_xlfn.UNICHAR(160)," ")),'worker file'!$M$2:$M$406,0),_xlfn.XLOOKUP($B731,TRIM('pay group &amp; schedule'!$A$2:$A$6),'pay group &amp; schedule'!$D$2:$D$6,0))</f>
        <v>46311</v>
      </c>
      <c r="N731" s="39" t="str">
        <f t="array" ref="N731">_xlfn.LET(_xlpm.t,_xlfn.XLOOKUP($A731,TRIM(SUBSTITUTE('worker file'!$A$2:$A$406,_xlfn.UNICHAR(160)," ")),'worker file'!$N$2:$N$406,""),IF(N(_xlpm.t)=0,"",_xlpm.t))</f>
        <v/>
      </c>
    </row>
    <row r="732" spans="1:14" x14ac:dyDescent="0.2">
      <c r="A732" s="35" t="s">
        <v>352</v>
      </c>
      <c r="B732" s="36" t="str">
        <f t="array" ref="B732">_xlfn.XLOOKUP($A732,TRIM(SUBSTITUTE('worker file'!$A$2:$A$406,_xlfn.UNICHAR(160)," ")),'worker file'!$L$2:$L$406,"Not found")</f>
        <v>US Semi-monthly</v>
      </c>
      <c r="C732" s="36" t="str">
        <f t="array" ref="C732">_xlfn.XLOOKUP($A732,TRIM(SUBSTITUTE('worker file'!$A$2:$A$406,_xlfn.UNICHAR(160)," ")),'worker file'!$D$2:$D$406,"Not found")</f>
        <v>CA</v>
      </c>
      <c r="D732" s="36" t="str">
        <f t="array" ref="D732">_xlfn.XLOOKUP($A732,TRIM(SUBSTITUTE('worker file'!$A$2:$A$406,_xlfn.UNICHAR(160)," ")),'worker file'!$Q$2:$Q$406,"Not found")</f>
        <v>Active</v>
      </c>
      <c r="E732" s="35" t="s">
        <v>634</v>
      </c>
      <c r="F732" t="str">
        <f t="shared" si="85"/>
        <v>Vision – Employee</v>
      </c>
      <c r="G732" t="str">
        <f t="shared" si="86"/>
        <v>Pre-tax Section 125 (exempt from FIT/SIT/FICA)</v>
      </c>
      <c r="H732" t="str">
        <f t="shared" si="87"/>
        <v>Flat</v>
      </c>
      <c r="I732" s="40" t="str">
        <f>IF($H732="Percent",_xlfn.XLOOKUP($E732,$A$5:$A$8,$F$5:$F$8,""),"")</f>
        <v/>
      </c>
      <c r="J732" s="38">
        <f t="shared" si="88"/>
        <v>30</v>
      </c>
      <c r="K732" t="str">
        <f t="shared" si="89"/>
        <v>Per pay period</v>
      </c>
      <c r="L732" t="str">
        <f t="shared" si="90"/>
        <v>Every pay period (ongoing)</v>
      </c>
      <c r="M732" s="39">
        <f t="array" ref="M732">MAX(_xlfn.XLOOKUP($A732,TRIM(SUBSTITUTE('worker file'!$A$2:$A$406,_xlfn.UNICHAR(160)," ")),'worker file'!$M$2:$M$406,0),_xlfn.XLOOKUP($B732,TRIM('pay group &amp; schedule'!$A$2:$A$6),'pay group &amp; schedule'!$D$2:$D$6,0))</f>
        <v>46311</v>
      </c>
      <c r="N732" s="39" t="str">
        <f t="array" ref="N732">_xlfn.LET(_xlpm.t,_xlfn.XLOOKUP($A732,TRIM(SUBSTITUTE('worker file'!$A$2:$A$406,_xlfn.UNICHAR(160)," ")),'worker file'!$N$2:$N$406,""),IF(N(_xlpm.t)=0,"",_xlpm.t))</f>
        <v/>
      </c>
    </row>
    <row r="733" spans="1:14" x14ac:dyDescent="0.2">
      <c r="A733" s="35" t="s">
        <v>353</v>
      </c>
      <c r="B733" s="36" t="str">
        <f t="array" ref="B733">_xlfn.XLOOKUP($A733,TRIM(SUBSTITUTE('worker file'!$A$2:$A$406,_xlfn.UNICHAR(160)," ")),'worker file'!$L$2:$L$406,"Not found")</f>
        <v>US Semi-monthly</v>
      </c>
      <c r="C733" s="36" t="str">
        <f t="array" ref="C733">_xlfn.XLOOKUP($A733,TRIM(SUBSTITUTE('worker file'!$A$2:$A$406,_xlfn.UNICHAR(160)," ")),'worker file'!$D$2:$D$406,"Not found")</f>
        <v>WA</v>
      </c>
      <c r="D733" s="36" t="str">
        <f t="array" ref="D733">_xlfn.XLOOKUP($A733,TRIM(SUBSTITUTE('worker file'!$A$2:$A$406,_xlfn.UNICHAR(160)," ")),'worker file'!$Q$2:$Q$406,"Not found")</f>
        <v>Active</v>
      </c>
      <c r="E733" s="35" t="s">
        <v>618</v>
      </c>
      <c r="F733" t="str">
        <f t="shared" si="85"/>
        <v>401(k) Employee Deferral</v>
      </c>
      <c r="G733" t="str">
        <f t="shared" si="86"/>
        <v>Pre-tax (exempt from FIT/SIT; subject to FICA)</v>
      </c>
      <c r="H733" t="str">
        <f t="shared" si="87"/>
        <v>Percent</v>
      </c>
      <c r="I733" s="37">
        <v>0</v>
      </c>
      <c r="J733" s="38" t="str">
        <f t="shared" si="88"/>
        <v/>
      </c>
      <c r="K733" t="str">
        <f t="shared" si="89"/>
        <v>Gross pay</v>
      </c>
      <c r="L733" t="str">
        <f t="shared" si="90"/>
        <v>Every pay period (ongoing)</v>
      </c>
      <c r="M733" s="39">
        <f t="array" ref="M733">MAX(_xlfn.XLOOKUP($A733,TRIM(SUBSTITUTE('worker file'!$A$2:$A$406,_xlfn.UNICHAR(160)," ")),'worker file'!$M$2:$M$406,0),_xlfn.XLOOKUP($B733,TRIM('pay group &amp; schedule'!$A$2:$A$6),'pay group &amp; schedule'!$D$2:$D$6,0))</f>
        <v>46311</v>
      </c>
      <c r="N733" s="39" t="str">
        <f t="array" ref="N733">_xlfn.LET(_xlpm.t,_xlfn.XLOOKUP($A733,TRIM(SUBSTITUTE('worker file'!$A$2:$A$406,_xlfn.UNICHAR(160)," ")),'worker file'!$N$2:$N$406,""),IF(N(_xlpm.t)=0,"",_xlpm.t))</f>
        <v/>
      </c>
    </row>
    <row r="734" spans="1:14" x14ac:dyDescent="0.2">
      <c r="A734" s="35" t="s">
        <v>353</v>
      </c>
      <c r="B734" s="36" t="str">
        <f t="array" ref="B734">_xlfn.XLOOKUP($A734,TRIM(SUBSTITUTE('worker file'!$A$2:$A$406,_xlfn.UNICHAR(160)," ")),'worker file'!$L$2:$L$406,"Not found")</f>
        <v>US Semi-monthly</v>
      </c>
      <c r="C734" s="36" t="str">
        <f t="array" ref="C734">_xlfn.XLOOKUP($A734,TRIM(SUBSTITUTE('worker file'!$A$2:$A$406,_xlfn.UNICHAR(160)," ")),'worker file'!$D$2:$D$406,"Not found")</f>
        <v>WA</v>
      </c>
      <c r="D734" s="36" t="str">
        <f t="array" ref="D734">_xlfn.XLOOKUP($A734,TRIM(SUBSTITUTE('worker file'!$A$2:$A$406,_xlfn.UNICHAR(160)," ")),'worker file'!$Q$2:$Q$406,"Not found")</f>
        <v>Active</v>
      </c>
      <c r="E734" s="35" t="s">
        <v>626</v>
      </c>
      <c r="F734" t="str">
        <f t="shared" si="85"/>
        <v>Medical (Health) – Employee</v>
      </c>
      <c r="G734" t="str">
        <f t="shared" si="86"/>
        <v>Pre-tax Section 125 (exempt from FIT/SIT/FICA)</v>
      </c>
      <c r="H734" t="str">
        <f t="shared" si="87"/>
        <v>Flat</v>
      </c>
      <c r="I734" s="40" t="str">
        <f>IF($H734="Percent",_xlfn.XLOOKUP($E734,$A$5:$A$8,$F$5:$F$8,""),"")</f>
        <v/>
      </c>
      <c r="J734" s="38">
        <f t="shared" si="88"/>
        <v>200</v>
      </c>
      <c r="K734" t="str">
        <f t="shared" si="89"/>
        <v>Per pay period</v>
      </c>
      <c r="L734" t="str">
        <f t="shared" si="90"/>
        <v>Every pay period (ongoing)</v>
      </c>
      <c r="M734" s="39">
        <f t="array" ref="M734">MAX(_xlfn.XLOOKUP($A734,TRIM(SUBSTITUTE('worker file'!$A$2:$A$406,_xlfn.UNICHAR(160)," ")),'worker file'!$M$2:$M$406,0),_xlfn.XLOOKUP($B734,TRIM('pay group &amp; schedule'!$A$2:$A$6),'pay group &amp; schedule'!$D$2:$D$6,0))</f>
        <v>46311</v>
      </c>
      <c r="N734" s="39" t="str">
        <f t="array" ref="N734">_xlfn.LET(_xlpm.t,_xlfn.XLOOKUP($A734,TRIM(SUBSTITUTE('worker file'!$A$2:$A$406,_xlfn.UNICHAR(160)," ")),'worker file'!$N$2:$N$406,""),IF(N(_xlpm.t)=0,"",_xlpm.t))</f>
        <v/>
      </c>
    </row>
    <row r="735" spans="1:14" x14ac:dyDescent="0.2">
      <c r="A735" s="35" t="s">
        <v>353</v>
      </c>
      <c r="B735" s="36" t="str">
        <f t="array" ref="B735">_xlfn.XLOOKUP($A735,TRIM(SUBSTITUTE('worker file'!$A$2:$A$406,_xlfn.UNICHAR(160)," ")),'worker file'!$L$2:$L$406,"Not found")</f>
        <v>US Semi-monthly</v>
      </c>
      <c r="C735" s="36" t="str">
        <f t="array" ref="C735">_xlfn.XLOOKUP($A735,TRIM(SUBSTITUTE('worker file'!$A$2:$A$406,_xlfn.UNICHAR(160)," ")),'worker file'!$D$2:$D$406,"Not found")</f>
        <v>WA</v>
      </c>
      <c r="D735" s="36" t="str">
        <f t="array" ref="D735">_xlfn.XLOOKUP($A735,TRIM(SUBSTITUTE('worker file'!$A$2:$A$406,_xlfn.UNICHAR(160)," ")),'worker file'!$Q$2:$Q$406,"Not found")</f>
        <v>Active</v>
      </c>
      <c r="E735" s="35" t="s">
        <v>632</v>
      </c>
      <c r="F735" t="str">
        <f t="shared" si="85"/>
        <v>Dental – Employee</v>
      </c>
      <c r="G735" t="str">
        <f t="shared" si="86"/>
        <v>Pre-tax Section 125 (exempt from FIT/SIT/FICA)</v>
      </c>
      <c r="H735" t="str">
        <f t="shared" si="87"/>
        <v>Flat</v>
      </c>
      <c r="I735" s="40" t="str">
        <f>IF($H735="Percent",_xlfn.XLOOKUP($E735,$A$5:$A$8,$F$5:$F$8,""),"")</f>
        <v/>
      </c>
      <c r="J735" s="38">
        <f t="shared" si="88"/>
        <v>44</v>
      </c>
      <c r="K735" t="str">
        <f t="shared" si="89"/>
        <v>Per pay period</v>
      </c>
      <c r="L735" t="str">
        <f t="shared" si="90"/>
        <v>Every pay period (ongoing)</v>
      </c>
      <c r="M735" s="39">
        <f t="array" ref="M735">MAX(_xlfn.XLOOKUP($A735,TRIM(SUBSTITUTE('worker file'!$A$2:$A$406,_xlfn.UNICHAR(160)," ")),'worker file'!$M$2:$M$406,0),_xlfn.XLOOKUP($B735,TRIM('pay group &amp; schedule'!$A$2:$A$6),'pay group &amp; schedule'!$D$2:$D$6,0))</f>
        <v>46311</v>
      </c>
      <c r="N735" s="39" t="str">
        <f t="array" ref="N735">_xlfn.LET(_xlpm.t,_xlfn.XLOOKUP($A735,TRIM(SUBSTITUTE('worker file'!$A$2:$A$406,_xlfn.UNICHAR(160)," ")),'worker file'!$N$2:$N$406,""),IF(N(_xlpm.t)=0,"",_xlpm.t))</f>
        <v/>
      </c>
    </row>
    <row r="736" spans="1:14" x14ac:dyDescent="0.2">
      <c r="A736" s="35" t="s">
        <v>353</v>
      </c>
      <c r="B736" s="36" t="str">
        <f t="array" ref="B736">_xlfn.XLOOKUP($A736,TRIM(SUBSTITUTE('worker file'!$A$2:$A$406,_xlfn.UNICHAR(160)," ")),'worker file'!$L$2:$L$406,"Not found")</f>
        <v>US Semi-monthly</v>
      </c>
      <c r="C736" s="36" t="str">
        <f t="array" ref="C736">_xlfn.XLOOKUP($A736,TRIM(SUBSTITUTE('worker file'!$A$2:$A$406,_xlfn.UNICHAR(160)," ")),'worker file'!$D$2:$D$406,"Not found")</f>
        <v>WA</v>
      </c>
      <c r="D736" s="36" t="str">
        <f t="array" ref="D736">_xlfn.XLOOKUP($A736,TRIM(SUBSTITUTE('worker file'!$A$2:$A$406,_xlfn.UNICHAR(160)," ")),'worker file'!$Q$2:$Q$406,"Not found")</f>
        <v>Active</v>
      </c>
      <c r="E736" s="35" t="s">
        <v>634</v>
      </c>
      <c r="F736" t="str">
        <f t="shared" si="85"/>
        <v>Vision – Employee</v>
      </c>
      <c r="G736" t="str">
        <f t="shared" si="86"/>
        <v>Pre-tax Section 125 (exempt from FIT/SIT/FICA)</v>
      </c>
      <c r="H736" t="str">
        <f t="shared" si="87"/>
        <v>Flat</v>
      </c>
      <c r="I736" s="40" t="str">
        <f>IF($H736="Percent",_xlfn.XLOOKUP($E736,$A$5:$A$8,$F$5:$F$8,""),"")</f>
        <v/>
      </c>
      <c r="J736" s="38">
        <f t="shared" si="88"/>
        <v>30</v>
      </c>
      <c r="K736" t="str">
        <f t="shared" si="89"/>
        <v>Per pay period</v>
      </c>
      <c r="L736" t="str">
        <f t="shared" si="90"/>
        <v>Every pay period (ongoing)</v>
      </c>
      <c r="M736" s="39">
        <f t="array" ref="M736">MAX(_xlfn.XLOOKUP($A736,TRIM(SUBSTITUTE('worker file'!$A$2:$A$406,_xlfn.UNICHAR(160)," ")),'worker file'!$M$2:$M$406,0),_xlfn.XLOOKUP($B736,TRIM('pay group &amp; schedule'!$A$2:$A$6),'pay group &amp; schedule'!$D$2:$D$6,0))</f>
        <v>46311</v>
      </c>
      <c r="N736" s="39" t="str">
        <f t="array" ref="N736">_xlfn.LET(_xlpm.t,_xlfn.XLOOKUP($A736,TRIM(SUBSTITUTE('worker file'!$A$2:$A$406,_xlfn.UNICHAR(160)," ")),'worker file'!$N$2:$N$406,""),IF(N(_xlpm.t)=0,"",_xlpm.t))</f>
        <v/>
      </c>
    </row>
    <row r="737" spans="1:14" x14ac:dyDescent="0.2">
      <c r="A737" s="35" t="s">
        <v>354</v>
      </c>
      <c r="B737" s="36" t="str">
        <f t="array" ref="B737">_xlfn.XLOOKUP($A737,TRIM(SUBSTITUTE('worker file'!$A$2:$A$406,_xlfn.UNICHAR(160)," ")),'worker file'!$L$2:$L$406,"Not found")</f>
        <v>US Biweekly</v>
      </c>
      <c r="C737" s="36" t="str">
        <f t="array" ref="C737">_xlfn.XLOOKUP($A737,TRIM(SUBSTITUTE('worker file'!$A$2:$A$406,_xlfn.UNICHAR(160)," ")),'worker file'!$D$2:$D$406,"Not found")</f>
        <v>CA</v>
      </c>
      <c r="D737" s="36" t="str">
        <f t="array" ref="D737">_xlfn.XLOOKUP($A737,TRIM(SUBSTITUTE('worker file'!$A$2:$A$406,_xlfn.UNICHAR(160)," ")),'worker file'!$Q$2:$Q$406,"Not found")</f>
        <v>Active</v>
      </c>
      <c r="E737" s="35" t="s">
        <v>618</v>
      </c>
      <c r="F737" t="str">
        <f t="shared" si="85"/>
        <v>401(k) Employee Deferral</v>
      </c>
      <c r="G737" t="str">
        <f t="shared" si="86"/>
        <v>Pre-tax (exempt from FIT/SIT; subject to FICA)</v>
      </c>
      <c r="H737" t="str">
        <f t="shared" si="87"/>
        <v>Percent</v>
      </c>
      <c r="I737" s="37">
        <v>0.05</v>
      </c>
      <c r="J737" s="38" t="str">
        <f t="shared" si="88"/>
        <v/>
      </c>
      <c r="K737" t="str">
        <f t="shared" si="89"/>
        <v>Gross pay</v>
      </c>
      <c r="L737" t="str">
        <f t="shared" si="90"/>
        <v>Every pay period (ongoing)</v>
      </c>
      <c r="M737" s="39">
        <f t="array" ref="M737">MAX(_xlfn.XLOOKUP($A737,TRIM(SUBSTITUTE('worker file'!$A$2:$A$406,_xlfn.UNICHAR(160)," ")),'worker file'!$M$2:$M$406,0),_xlfn.XLOOKUP($B737,TRIM('pay group &amp; schedule'!$A$2:$A$6),'pay group &amp; schedule'!$D$2:$D$6,0))</f>
        <v>46299</v>
      </c>
      <c r="N737" s="39" t="str">
        <f t="array" ref="N737">_xlfn.LET(_xlpm.t,_xlfn.XLOOKUP($A737,TRIM(SUBSTITUTE('worker file'!$A$2:$A$406,_xlfn.UNICHAR(160)," ")),'worker file'!$N$2:$N$406,""),IF(N(_xlpm.t)=0,"",_xlpm.t))</f>
        <v/>
      </c>
    </row>
    <row r="738" spans="1:14" x14ac:dyDescent="0.2">
      <c r="A738" s="35" t="s">
        <v>354</v>
      </c>
      <c r="B738" s="36" t="str">
        <f t="array" ref="B738">_xlfn.XLOOKUP($A738,TRIM(SUBSTITUTE('worker file'!$A$2:$A$406,_xlfn.UNICHAR(160)," ")),'worker file'!$L$2:$L$406,"Not found")</f>
        <v>US Biweekly</v>
      </c>
      <c r="C738" s="36" t="str">
        <f t="array" ref="C738">_xlfn.XLOOKUP($A738,TRIM(SUBSTITUTE('worker file'!$A$2:$A$406,_xlfn.UNICHAR(160)," ")),'worker file'!$D$2:$D$406,"Not found")</f>
        <v>CA</v>
      </c>
      <c r="D738" s="36" t="str">
        <f t="array" ref="D738">_xlfn.XLOOKUP($A738,TRIM(SUBSTITUTE('worker file'!$A$2:$A$406,_xlfn.UNICHAR(160)," ")),'worker file'!$Q$2:$Q$406,"Not found")</f>
        <v>Active</v>
      </c>
      <c r="E738" s="35" t="s">
        <v>626</v>
      </c>
      <c r="F738" t="str">
        <f t="shared" si="85"/>
        <v>Medical (Health) – Employee</v>
      </c>
      <c r="G738" t="str">
        <f t="shared" si="86"/>
        <v>Pre-tax Section 125 (exempt from FIT/SIT/FICA)</v>
      </c>
      <c r="H738" t="str">
        <f t="shared" si="87"/>
        <v>Flat</v>
      </c>
      <c r="I738" s="40" t="str">
        <f>IF($H738="Percent",_xlfn.XLOOKUP($E738,$A$5:$A$8,$F$5:$F$8,""),"")</f>
        <v/>
      </c>
      <c r="J738" s="38">
        <f t="shared" si="88"/>
        <v>200</v>
      </c>
      <c r="K738" t="str">
        <f t="shared" si="89"/>
        <v>Per pay period</v>
      </c>
      <c r="L738" t="str">
        <f t="shared" si="90"/>
        <v>Every pay period (ongoing)</v>
      </c>
      <c r="M738" s="39">
        <f t="array" ref="M738">MAX(_xlfn.XLOOKUP($A738,TRIM(SUBSTITUTE('worker file'!$A$2:$A$406,_xlfn.UNICHAR(160)," ")),'worker file'!$M$2:$M$406,0),_xlfn.XLOOKUP($B738,TRIM('pay group &amp; schedule'!$A$2:$A$6),'pay group &amp; schedule'!$D$2:$D$6,0))</f>
        <v>46299</v>
      </c>
      <c r="N738" s="39" t="str">
        <f t="array" ref="N738">_xlfn.LET(_xlpm.t,_xlfn.XLOOKUP($A738,TRIM(SUBSTITUTE('worker file'!$A$2:$A$406,_xlfn.UNICHAR(160)," ")),'worker file'!$N$2:$N$406,""),IF(N(_xlpm.t)=0,"",_xlpm.t))</f>
        <v/>
      </c>
    </row>
    <row r="739" spans="1:14" x14ac:dyDescent="0.2">
      <c r="A739" s="35" t="s">
        <v>354</v>
      </c>
      <c r="B739" s="36" t="str">
        <f t="array" ref="B739">_xlfn.XLOOKUP($A739,TRIM(SUBSTITUTE('worker file'!$A$2:$A$406,_xlfn.UNICHAR(160)," ")),'worker file'!$L$2:$L$406,"Not found")</f>
        <v>US Biweekly</v>
      </c>
      <c r="C739" s="36" t="str">
        <f t="array" ref="C739">_xlfn.XLOOKUP($A739,TRIM(SUBSTITUTE('worker file'!$A$2:$A$406,_xlfn.UNICHAR(160)," ")),'worker file'!$D$2:$D$406,"Not found")</f>
        <v>CA</v>
      </c>
      <c r="D739" s="36" t="str">
        <f t="array" ref="D739">_xlfn.XLOOKUP($A739,TRIM(SUBSTITUTE('worker file'!$A$2:$A$406,_xlfn.UNICHAR(160)," ")),'worker file'!$Q$2:$Q$406,"Not found")</f>
        <v>Active</v>
      </c>
      <c r="E739" s="35" t="s">
        <v>632</v>
      </c>
      <c r="F739" t="str">
        <f t="shared" si="85"/>
        <v>Dental – Employee</v>
      </c>
      <c r="G739" t="str">
        <f t="shared" si="86"/>
        <v>Pre-tax Section 125 (exempt from FIT/SIT/FICA)</v>
      </c>
      <c r="H739" t="str">
        <f t="shared" si="87"/>
        <v>Flat</v>
      </c>
      <c r="I739" s="40" t="str">
        <f>IF($H739="Percent",_xlfn.XLOOKUP($E739,$A$5:$A$8,$F$5:$F$8,""),"")</f>
        <v/>
      </c>
      <c r="J739" s="38">
        <f t="shared" si="88"/>
        <v>44</v>
      </c>
      <c r="K739" t="str">
        <f t="shared" si="89"/>
        <v>Per pay period</v>
      </c>
      <c r="L739" t="str">
        <f t="shared" si="90"/>
        <v>Every pay period (ongoing)</v>
      </c>
      <c r="M739" s="39">
        <f t="array" ref="M739">MAX(_xlfn.XLOOKUP($A739,TRIM(SUBSTITUTE('worker file'!$A$2:$A$406,_xlfn.UNICHAR(160)," ")),'worker file'!$M$2:$M$406,0),_xlfn.XLOOKUP($B739,TRIM('pay group &amp; schedule'!$A$2:$A$6),'pay group &amp; schedule'!$D$2:$D$6,0))</f>
        <v>46299</v>
      </c>
      <c r="N739" s="39" t="str">
        <f t="array" ref="N739">_xlfn.LET(_xlpm.t,_xlfn.XLOOKUP($A739,TRIM(SUBSTITUTE('worker file'!$A$2:$A$406,_xlfn.UNICHAR(160)," ")),'worker file'!$N$2:$N$406,""),IF(N(_xlpm.t)=0,"",_xlpm.t))</f>
        <v/>
      </c>
    </row>
    <row r="740" spans="1:14" x14ac:dyDescent="0.2">
      <c r="A740" s="35" t="s">
        <v>354</v>
      </c>
      <c r="B740" s="36" t="str">
        <f t="array" ref="B740">_xlfn.XLOOKUP($A740,TRIM(SUBSTITUTE('worker file'!$A$2:$A$406,_xlfn.UNICHAR(160)," ")),'worker file'!$L$2:$L$406,"Not found")</f>
        <v>US Biweekly</v>
      </c>
      <c r="C740" s="36" t="str">
        <f t="array" ref="C740">_xlfn.XLOOKUP($A740,TRIM(SUBSTITUTE('worker file'!$A$2:$A$406,_xlfn.UNICHAR(160)," ")),'worker file'!$D$2:$D$406,"Not found")</f>
        <v>CA</v>
      </c>
      <c r="D740" s="36" t="str">
        <f t="array" ref="D740">_xlfn.XLOOKUP($A740,TRIM(SUBSTITUTE('worker file'!$A$2:$A$406,_xlfn.UNICHAR(160)," ")),'worker file'!$Q$2:$Q$406,"Not found")</f>
        <v>Active</v>
      </c>
      <c r="E740" s="35" t="s">
        <v>634</v>
      </c>
      <c r="F740" t="str">
        <f t="shared" si="85"/>
        <v>Vision – Employee</v>
      </c>
      <c r="G740" t="str">
        <f t="shared" si="86"/>
        <v>Pre-tax Section 125 (exempt from FIT/SIT/FICA)</v>
      </c>
      <c r="H740" t="str">
        <f t="shared" si="87"/>
        <v>Flat</v>
      </c>
      <c r="I740" s="40" t="str">
        <f>IF($H740="Percent",_xlfn.XLOOKUP($E740,$A$5:$A$8,$F$5:$F$8,""),"")</f>
        <v/>
      </c>
      <c r="J740" s="38">
        <f t="shared" si="88"/>
        <v>30</v>
      </c>
      <c r="K740" t="str">
        <f t="shared" si="89"/>
        <v>Per pay period</v>
      </c>
      <c r="L740" t="str">
        <f t="shared" si="90"/>
        <v>Every pay period (ongoing)</v>
      </c>
      <c r="M740" s="39">
        <f t="array" ref="M740">MAX(_xlfn.XLOOKUP($A740,TRIM(SUBSTITUTE('worker file'!$A$2:$A$406,_xlfn.UNICHAR(160)," ")),'worker file'!$M$2:$M$406,0),_xlfn.XLOOKUP($B740,TRIM('pay group &amp; schedule'!$A$2:$A$6),'pay group &amp; schedule'!$D$2:$D$6,0))</f>
        <v>46299</v>
      </c>
      <c r="N740" s="39" t="str">
        <f t="array" ref="N740">_xlfn.LET(_xlpm.t,_xlfn.XLOOKUP($A740,TRIM(SUBSTITUTE('worker file'!$A$2:$A$406,_xlfn.UNICHAR(160)," ")),'worker file'!$N$2:$N$406,""),IF(N(_xlpm.t)=0,"",_xlpm.t))</f>
        <v/>
      </c>
    </row>
    <row r="741" spans="1:14" x14ac:dyDescent="0.2">
      <c r="A741" s="35" t="s">
        <v>355</v>
      </c>
      <c r="B741" s="36" t="str">
        <f t="array" ref="B741">_xlfn.XLOOKUP($A741,TRIM(SUBSTITUTE('worker file'!$A$2:$A$406,_xlfn.UNICHAR(160)," ")),'worker file'!$L$2:$L$406,"Not found")</f>
        <v>US Semi-monthly</v>
      </c>
      <c r="C741" s="36" t="str">
        <f t="array" ref="C741">_xlfn.XLOOKUP($A741,TRIM(SUBSTITUTE('worker file'!$A$2:$A$406,_xlfn.UNICHAR(160)," ")),'worker file'!$D$2:$D$406,"Not found")</f>
        <v>GA</v>
      </c>
      <c r="D741" s="36" t="str">
        <f t="array" ref="D741">_xlfn.XLOOKUP($A741,TRIM(SUBSTITUTE('worker file'!$A$2:$A$406,_xlfn.UNICHAR(160)," ")),'worker file'!$Q$2:$Q$406,"Not found")</f>
        <v>Active</v>
      </c>
      <c r="E741" s="35" t="s">
        <v>618</v>
      </c>
      <c r="F741" t="str">
        <f t="shared" si="85"/>
        <v>401(k) Employee Deferral</v>
      </c>
      <c r="G741" t="str">
        <f t="shared" si="86"/>
        <v>Pre-tax (exempt from FIT/SIT; subject to FICA)</v>
      </c>
      <c r="H741" t="str">
        <f t="shared" si="87"/>
        <v>Percent</v>
      </c>
      <c r="I741" s="37">
        <v>0.02</v>
      </c>
      <c r="J741" s="38" t="str">
        <f t="shared" si="88"/>
        <v/>
      </c>
      <c r="K741" t="str">
        <f t="shared" si="89"/>
        <v>Gross pay</v>
      </c>
      <c r="L741" t="str">
        <f t="shared" si="90"/>
        <v>Every pay period (ongoing)</v>
      </c>
      <c r="M741" s="39">
        <f t="array" ref="M741">MAX(_xlfn.XLOOKUP($A741,TRIM(SUBSTITUTE('worker file'!$A$2:$A$406,_xlfn.UNICHAR(160)," ")),'worker file'!$M$2:$M$406,0),_xlfn.XLOOKUP($B741,TRIM('pay group &amp; schedule'!$A$2:$A$6),'pay group &amp; schedule'!$D$2:$D$6,0))</f>
        <v>46311</v>
      </c>
      <c r="N741" s="39" t="str">
        <f t="array" ref="N741">_xlfn.LET(_xlpm.t,_xlfn.XLOOKUP($A741,TRIM(SUBSTITUTE('worker file'!$A$2:$A$406,_xlfn.UNICHAR(160)," ")),'worker file'!$N$2:$N$406,""),IF(N(_xlpm.t)=0,"",_xlpm.t))</f>
        <v/>
      </c>
    </row>
    <row r="742" spans="1:14" x14ac:dyDescent="0.2">
      <c r="A742" s="35" t="s">
        <v>355</v>
      </c>
      <c r="B742" s="36" t="str">
        <f t="array" ref="B742">_xlfn.XLOOKUP($A742,TRIM(SUBSTITUTE('worker file'!$A$2:$A$406,_xlfn.UNICHAR(160)," ")),'worker file'!$L$2:$L$406,"Not found")</f>
        <v>US Semi-monthly</v>
      </c>
      <c r="C742" s="36" t="str">
        <f t="array" ref="C742">_xlfn.XLOOKUP($A742,TRIM(SUBSTITUTE('worker file'!$A$2:$A$406,_xlfn.UNICHAR(160)," ")),'worker file'!$D$2:$D$406,"Not found")</f>
        <v>GA</v>
      </c>
      <c r="D742" s="36" t="str">
        <f t="array" ref="D742">_xlfn.XLOOKUP($A742,TRIM(SUBSTITUTE('worker file'!$A$2:$A$406,_xlfn.UNICHAR(160)," ")),'worker file'!$Q$2:$Q$406,"Not found")</f>
        <v>Active</v>
      </c>
      <c r="E742" s="35" t="s">
        <v>626</v>
      </c>
      <c r="F742" t="str">
        <f t="shared" si="85"/>
        <v>Medical (Health) – Employee</v>
      </c>
      <c r="G742" t="str">
        <f t="shared" si="86"/>
        <v>Pre-tax Section 125 (exempt from FIT/SIT/FICA)</v>
      </c>
      <c r="H742" t="str">
        <f t="shared" si="87"/>
        <v>Flat</v>
      </c>
      <c r="I742" s="40" t="str">
        <f>IF($H742="Percent",_xlfn.XLOOKUP($E742,$A$5:$A$8,$F$5:$F$8,""),"")</f>
        <v/>
      </c>
      <c r="J742" s="38">
        <f t="shared" si="88"/>
        <v>200</v>
      </c>
      <c r="K742" t="str">
        <f t="shared" si="89"/>
        <v>Per pay period</v>
      </c>
      <c r="L742" t="str">
        <f t="shared" si="90"/>
        <v>Every pay period (ongoing)</v>
      </c>
      <c r="M742" s="39">
        <f t="array" ref="M742">MAX(_xlfn.XLOOKUP($A742,TRIM(SUBSTITUTE('worker file'!$A$2:$A$406,_xlfn.UNICHAR(160)," ")),'worker file'!$M$2:$M$406,0),_xlfn.XLOOKUP($B742,TRIM('pay group &amp; schedule'!$A$2:$A$6),'pay group &amp; schedule'!$D$2:$D$6,0))</f>
        <v>46311</v>
      </c>
      <c r="N742" s="39" t="str">
        <f t="array" ref="N742">_xlfn.LET(_xlpm.t,_xlfn.XLOOKUP($A742,TRIM(SUBSTITUTE('worker file'!$A$2:$A$406,_xlfn.UNICHAR(160)," ")),'worker file'!$N$2:$N$406,""),IF(N(_xlpm.t)=0,"",_xlpm.t))</f>
        <v/>
      </c>
    </row>
    <row r="743" spans="1:14" x14ac:dyDescent="0.2">
      <c r="A743" s="35" t="s">
        <v>355</v>
      </c>
      <c r="B743" s="36" t="str">
        <f t="array" ref="B743">_xlfn.XLOOKUP($A743,TRIM(SUBSTITUTE('worker file'!$A$2:$A$406,_xlfn.UNICHAR(160)," ")),'worker file'!$L$2:$L$406,"Not found")</f>
        <v>US Semi-monthly</v>
      </c>
      <c r="C743" s="36" t="str">
        <f t="array" ref="C743">_xlfn.XLOOKUP($A743,TRIM(SUBSTITUTE('worker file'!$A$2:$A$406,_xlfn.UNICHAR(160)," ")),'worker file'!$D$2:$D$406,"Not found")</f>
        <v>GA</v>
      </c>
      <c r="D743" s="36" t="str">
        <f t="array" ref="D743">_xlfn.XLOOKUP($A743,TRIM(SUBSTITUTE('worker file'!$A$2:$A$406,_xlfn.UNICHAR(160)," ")),'worker file'!$Q$2:$Q$406,"Not found")</f>
        <v>Active</v>
      </c>
      <c r="E743" s="35" t="s">
        <v>632</v>
      </c>
      <c r="F743" t="str">
        <f t="shared" si="85"/>
        <v>Dental – Employee</v>
      </c>
      <c r="G743" t="str">
        <f t="shared" si="86"/>
        <v>Pre-tax Section 125 (exempt from FIT/SIT/FICA)</v>
      </c>
      <c r="H743" t="str">
        <f t="shared" si="87"/>
        <v>Flat</v>
      </c>
      <c r="I743" s="40" t="str">
        <f>IF($H743="Percent",_xlfn.XLOOKUP($E743,$A$5:$A$8,$F$5:$F$8,""),"")</f>
        <v/>
      </c>
      <c r="J743" s="38">
        <f t="shared" si="88"/>
        <v>44</v>
      </c>
      <c r="K743" t="str">
        <f t="shared" si="89"/>
        <v>Per pay period</v>
      </c>
      <c r="L743" t="str">
        <f t="shared" si="90"/>
        <v>Every pay period (ongoing)</v>
      </c>
      <c r="M743" s="39">
        <f t="array" ref="M743">MAX(_xlfn.XLOOKUP($A743,TRIM(SUBSTITUTE('worker file'!$A$2:$A$406,_xlfn.UNICHAR(160)," ")),'worker file'!$M$2:$M$406,0),_xlfn.XLOOKUP($B743,TRIM('pay group &amp; schedule'!$A$2:$A$6),'pay group &amp; schedule'!$D$2:$D$6,0))</f>
        <v>46311</v>
      </c>
      <c r="N743" s="39" t="str">
        <f t="array" ref="N743">_xlfn.LET(_xlpm.t,_xlfn.XLOOKUP($A743,TRIM(SUBSTITUTE('worker file'!$A$2:$A$406,_xlfn.UNICHAR(160)," ")),'worker file'!$N$2:$N$406,""),IF(N(_xlpm.t)=0,"",_xlpm.t))</f>
        <v/>
      </c>
    </row>
    <row r="744" spans="1:14" x14ac:dyDescent="0.2">
      <c r="A744" s="35" t="s">
        <v>355</v>
      </c>
      <c r="B744" s="36" t="str">
        <f t="array" ref="B744">_xlfn.XLOOKUP($A744,TRIM(SUBSTITUTE('worker file'!$A$2:$A$406,_xlfn.UNICHAR(160)," ")),'worker file'!$L$2:$L$406,"Not found")</f>
        <v>US Semi-monthly</v>
      </c>
      <c r="C744" s="36" t="str">
        <f t="array" ref="C744">_xlfn.XLOOKUP($A744,TRIM(SUBSTITUTE('worker file'!$A$2:$A$406,_xlfn.UNICHAR(160)," ")),'worker file'!$D$2:$D$406,"Not found")</f>
        <v>GA</v>
      </c>
      <c r="D744" s="36" t="str">
        <f t="array" ref="D744">_xlfn.XLOOKUP($A744,TRIM(SUBSTITUTE('worker file'!$A$2:$A$406,_xlfn.UNICHAR(160)," ")),'worker file'!$Q$2:$Q$406,"Not found")</f>
        <v>Active</v>
      </c>
      <c r="E744" s="35" t="s">
        <v>634</v>
      </c>
      <c r="F744" t="str">
        <f t="shared" si="85"/>
        <v>Vision – Employee</v>
      </c>
      <c r="G744" t="str">
        <f t="shared" si="86"/>
        <v>Pre-tax Section 125 (exempt from FIT/SIT/FICA)</v>
      </c>
      <c r="H744" t="str">
        <f t="shared" si="87"/>
        <v>Flat</v>
      </c>
      <c r="I744" s="40" t="str">
        <f>IF($H744="Percent",_xlfn.XLOOKUP($E744,$A$5:$A$8,$F$5:$F$8,""),"")</f>
        <v/>
      </c>
      <c r="J744" s="38">
        <f t="shared" si="88"/>
        <v>30</v>
      </c>
      <c r="K744" t="str">
        <f t="shared" si="89"/>
        <v>Per pay period</v>
      </c>
      <c r="L744" t="str">
        <f t="shared" si="90"/>
        <v>Every pay period (ongoing)</v>
      </c>
      <c r="M744" s="39">
        <f t="array" ref="M744">MAX(_xlfn.XLOOKUP($A744,TRIM(SUBSTITUTE('worker file'!$A$2:$A$406,_xlfn.UNICHAR(160)," ")),'worker file'!$M$2:$M$406,0),_xlfn.XLOOKUP($B744,TRIM('pay group &amp; schedule'!$A$2:$A$6),'pay group &amp; schedule'!$D$2:$D$6,0))</f>
        <v>46311</v>
      </c>
      <c r="N744" s="39" t="str">
        <f t="array" ref="N744">_xlfn.LET(_xlpm.t,_xlfn.XLOOKUP($A744,TRIM(SUBSTITUTE('worker file'!$A$2:$A$406,_xlfn.UNICHAR(160)," ")),'worker file'!$N$2:$N$406,""),IF(N(_xlpm.t)=0,"",_xlpm.t))</f>
        <v/>
      </c>
    </row>
    <row r="745" spans="1:14" x14ac:dyDescent="0.2">
      <c r="A745" s="35" t="s">
        <v>356</v>
      </c>
      <c r="B745" s="36" t="str">
        <f t="array" ref="B745">_xlfn.XLOOKUP($A745,TRIM(SUBSTITUTE('worker file'!$A$2:$A$406,_xlfn.UNICHAR(160)," ")),'worker file'!$L$2:$L$406,"Not found")</f>
        <v>US Semi-monthly</v>
      </c>
      <c r="C745" s="36" t="str">
        <f t="array" ref="C745">_xlfn.XLOOKUP($A745,TRIM(SUBSTITUTE('worker file'!$A$2:$A$406,_xlfn.UNICHAR(160)," ")),'worker file'!$D$2:$D$406,"Not found")</f>
        <v>WA</v>
      </c>
      <c r="D745" s="36" t="str">
        <f t="array" ref="D745">_xlfn.XLOOKUP($A745,TRIM(SUBSTITUTE('worker file'!$A$2:$A$406,_xlfn.UNICHAR(160)," ")),'worker file'!$Q$2:$Q$406,"Not found")</f>
        <v>Active</v>
      </c>
      <c r="E745" s="35" t="s">
        <v>618</v>
      </c>
      <c r="F745" t="str">
        <f t="shared" si="85"/>
        <v>401(k) Employee Deferral</v>
      </c>
      <c r="G745" t="str">
        <f t="shared" si="86"/>
        <v>Pre-tax (exempt from FIT/SIT; subject to FICA)</v>
      </c>
      <c r="H745" t="str">
        <f t="shared" si="87"/>
        <v>Percent</v>
      </c>
      <c r="I745" s="37">
        <v>7.0000000000000007E-2</v>
      </c>
      <c r="J745" s="38" t="str">
        <f t="shared" si="88"/>
        <v/>
      </c>
      <c r="K745" t="str">
        <f t="shared" si="89"/>
        <v>Gross pay</v>
      </c>
      <c r="L745" t="str">
        <f t="shared" si="90"/>
        <v>Every pay period (ongoing)</v>
      </c>
      <c r="M745" s="39">
        <f t="array" ref="M745">MAX(_xlfn.XLOOKUP($A745,TRIM(SUBSTITUTE('worker file'!$A$2:$A$406,_xlfn.UNICHAR(160)," ")),'worker file'!$M$2:$M$406,0),_xlfn.XLOOKUP($B745,TRIM('pay group &amp; schedule'!$A$2:$A$6),'pay group &amp; schedule'!$D$2:$D$6,0))</f>
        <v>46311</v>
      </c>
      <c r="N745" s="39" t="str">
        <f t="array" ref="N745">_xlfn.LET(_xlpm.t,_xlfn.XLOOKUP($A745,TRIM(SUBSTITUTE('worker file'!$A$2:$A$406,_xlfn.UNICHAR(160)," ")),'worker file'!$N$2:$N$406,""),IF(N(_xlpm.t)=0,"",_xlpm.t))</f>
        <v/>
      </c>
    </row>
    <row r="746" spans="1:14" x14ac:dyDescent="0.2">
      <c r="A746" s="35" t="s">
        <v>356</v>
      </c>
      <c r="B746" s="36" t="str">
        <f t="array" ref="B746">_xlfn.XLOOKUP($A746,TRIM(SUBSTITUTE('worker file'!$A$2:$A$406,_xlfn.UNICHAR(160)," ")),'worker file'!$L$2:$L$406,"Not found")</f>
        <v>US Semi-monthly</v>
      </c>
      <c r="C746" s="36" t="str">
        <f t="array" ref="C746">_xlfn.XLOOKUP($A746,TRIM(SUBSTITUTE('worker file'!$A$2:$A$406,_xlfn.UNICHAR(160)," ")),'worker file'!$D$2:$D$406,"Not found")</f>
        <v>WA</v>
      </c>
      <c r="D746" s="36" t="str">
        <f t="array" ref="D746">_xlfn.XLOOKUP($A746,TRIM(SUBSTITUTE('worker file'!$A$2:$A$406,_xlfn.UNICHAR(160)," ")),'worker file'!$Q$2:$Q$406,"Not found")</f>
        <v>Active</v>
      </c>
      <c r="E746" s="35" t="s">
        <v>626</v>
      </c>
      <c r="F746" t="str">
        <f t="shared" si="85"/>
        <v>Medical (Health) – Employee</v>
      </c>
      <c r="G746" t="str">
        <f t="shared" si="86"/>
        <v>Pre-tax Section 125 (exempt from FIT/SIT/FICA)</v>
      </c>
      <c r="H746" t="str">
        <f t="shared" si="87"/>
        <v>Flat</v>
      </c>
      <c r="I746" s="40" t="str">
        <f>IF($H746="Percent",_xlfn.XLOOKUP($E746,$A$5:$A$8,$F$5:$F$8,""),"")</f>
        <v/>
      </c>
      <c r="J746" s="38">
        <f t="shared" si="88"/>
        <v>200</v>
      </c>
      <c r="K746" t="str">
        <f t="shared" si="89"/>
        <v>Per pay period</v>
      </c>
      <c r="L746" t="str">
        <f t="shared" si="90"/>
        <v>Every pay period (ongoing)</v>
      </c>
      <c r="M746" s="39">
        <f t="array" ref="M746">MAX(_xlfn.XLOOKUP($A746,TRIM(SUBSTITUTE('worker file'!$A$2:$A$406,_xlfn.UNICHAR(160)," ")),'worker file'!$M$2:$M$406,0),_xlfn.XLOOKUP($B746,TRIM('pay group &amp; schedule'!$A$2:$A$6),'pay group &amp; schedule'!$D$2:$D$6,0))</f>
        <v>46311</v>
      </c>
      <c r="N746" s="39" t="str">
        <f t="array" ref="N746">_xlfn.LET(_xlpm.t,_xlfn.XLOOKUP($A746,TRIM(SUBSTITUTE('worker file'!$A$2:$A$406,_xlfn.UNICHAR(160)," ")),'worker file'!$N$2:$N$406,""),IF(N(_xlpm.t)=0,"",_xlpm.t))</f>
        <v/>
      </c>
    </row>
    <row r="747" spans="1:14" x14ac:dyDescent="0.2">
      <c r="A747" s="35" t="s">
        <v>356</v>
      </c>
      <c r="B747" s="36" t="str">
        <f t="array" ref="B747">_xlfn.XLOOKUP($A747,TRIM(SUBSTITUTE('worker file'!$A$2:$A$406,_xlfn.UNICHAR(160)," ")),'worker file'!$L$2:$L$406,"Not found")</f>
        <v>US Semi-monthly</v>
      </c>
      <c r="C747" s="36" t="str">
        <f t="array" ref="C747">_xlfn.XLOOKUP($A747,TRIM(SUBSTITUTE('worker file'!$A$2:$A$406,_xlfn.UNICHAR(160)," ")),'worker file'!$D$2:$D$406,"Not found")</f>
        <v>WA</v>
      </c>
      <c r="D747" s="36" t="str">
        <f t="array" ref="D747">_xlfn.XLOOKUP($A747,TRIM(SUBSTITUTE('worker file'!$A$2:$A$406,_xlfn.UNICHAR(160)," ")),'worker file'!$Q$2:$Q$406,"Not found")</f>
        <v>Active</v>
      </c>
      <c r="E747" s="35" t="s">
        <v>632</v>
      </c>
      <c r="F747" t="str">
        <f t="shared" si="85"/>
        <v>Dental – Employee</v>
      </c>
      <c r="G747" t="str">
        <f t="shared" si="86"/>
        <v>Pre-tax Section 125 (exempt from FIT/SIT/FICA)</v>
      </c>
      <c r="H747" t="str">
        <f t="shared" si="87"/>
        <v>Flat</v>
      </c>
      <c r="I747" s="40" t="str">
        <f>IF($H747="Percent",_xlfn.XLOOKUP($E747,$A$5:$A$8,$F$5:$F$8,""),"")</f>
        <v/>
      </c>
      <c r="J747" s="38">
        <f t="shared" si="88"/>
        <v>44</v>
      </c>
      <c r="K747" t="str">
        <f t="shared" si="89"/>
        <v>Per pay period</v>
      </c>
      <c r="L747" t="str">
        <f t="shared" si="90"/>
        <v>Every pay period (ongoing)</v>
      </c>
      <c r="M747" s="39">
        <f t="array" ref="M747">MAX(_xlfn.XLOOKUP($A747,TRIM(SUBSTITUTE('worker file'!$A$2:$A$406,_xlfn.UNICHAR(160)," ")),'worker file'!$M$2:$M$406,0),_xlfn.XLOOKUP($B747,TRIM('pay group &amp; schedule'!$A$2:$A$6),'pay group &amp; schedule'!$D$2:$D$6,0))</f>
        <v>46311</v>
      </c>
      <c r="N747" s="39" t="str">
        <f t="array" ref="N747">_xlfn.LET(_xlpm.t,_xlfn.XLOOKUP($A747,TRIM(SUBSTITUTE('worker file'!$A$2:$A$406,_xlfn.UNICHAR(160)," ")),'worker file'!$N$2:$N$406,""),IF(N(_xlpm.t)=0,"",_xlpm.t))</f>
        <v/>
      </c>
    </row>
    <row r="748" spans="1:14" x14ac:dyDescent="0.2">
      <c r="A748" s="35" t="s">
        <v>356</v>
      </c>
      <c r="B748" s="36" t="str">
        <f t="array" ref="B748">_xlfn.XLOOKUP($A748,TRIM(SUBSTITUTE('worker file'!$A$2:$A$406,_xlfn.UNICHAR(160)," ")),'worker file'!$L$2:$L$406,"Not found")</f>
        <v>US Semi-monthly</v>
      </c>
      <c r="C748" s="36" t="str">
        <f t="array" ref="C748">_xlfn.XLOOKUP($A748,TRIM(SUBSTITUTE('worker file'!$A$2:$A$406,_xlfn.UNICHAR(160)," ")),'worker file'!$D$2:$D$406,"Not found")</f>
        <v>WA</v>
      </c>
      <c r="D748" s="36" t="str">
        <f t="array" ref="D748">_xlfn.XLOOKUP($A748,TRIM(SUBSTITUTE('worker file'!$A$2:$A$406,_xlfn.UNICHAR(160)," ")),'worker file'!$Q$2:$Q$406,"Not found")</f>
        <v>Active</v>
      </c>
      <c r="E748" s="35" t="s">
        <v>634</v>
      </c>
      <c r="F748" t="str">
        <f t="shared" si="85"/>
        <v>Vision – Employee</v>
      </c>
      <c r="G748" t="str">
        <f t="shared" si="86"/>
        <v>Pre-tax Section 125 (exempt from FIT/SIT/FICA)</v>
      </c>
      <c r="H748" t="str">
        <f t="shared" si="87"/>
        <v>Flat</v>
      </c>
      <c r="I748" s="40" t="str">
        <f>IF($H748="Percent",_xlfn.XLOOKUP($E748,$A$5:$A$8,$F$5:$F$8,""),"")</f>
        <v/>
      </c>
      <c r="J748" s="38">
        <f t="shared" si="88"/>
        <v>30</v>
      </c>
      <c r="K748" t="str">
        <f t="shared" si="89"/>
        <v>Per pay period</v>
      </c>
      <c r="L748" t="str">
        <f t="shared" si="90"/>
        <v>Every pay period (ongoing)</v>
      </c>
      <c r="M748" s="39">
        <f t="array" ref="M748">MAX(_xlfn.XLOOKUP($A748,TRIM(SUBSTITUTE('worker file'!$A$2:$A$406,_xlfn.UNICHAR(160)," ")),'worker file'!$M$2:$M$406,0),_xlfn.XLOOKUP($B748,TRIM('pay group &amp; schedule'!$A$2:$A$6),'pay group &amp; schedule'!$D$2:$D$6,0))</f>
        <v>46311</v>
      </c>
      <c r="N748" s="39" t="str">
        <f t="array" ref="N748">_xlfn.LET(_xlpm.t,_xlfn.XLOOKUP($A748,TRIM(SUBSTITUTE('worker file'!$A$2:$A$406,_xlfn.UNICHAR(160)," ")),'worker file'!$N$2:$N$406,""),IF(N(_xlpm.t)=0,"",_xlpm.t))</f>
        <v/>
      </c>
    </row>
    <row r="749" spans="1:14" x14ac:dyDescent="0.2">
      <c r="A749" s="35" t="s">
        <v>357</v>
      </c>
      <c r="B749" s="36" t="str">
        <f t="array" ref="B749">_xlfn.XLOOKUP($A749,TRIM(SUBSTITUTE('worker file'!$A$2:$A$406,_xlfn.UNICHAR(160)," ")),'worker file'!$L$2:$L$406,"Not found")</f>
        <v>US Semi-monthly</v>
      </c>
      <c r="C749" s="36" t="str">
        <f t="array" ref="C749">_xlfn.XLOOKUP($A749,TRIM(SUBSTITUTE('worker file'!$A$2:$A$406,_xlfn.UNICHAR(160)," ")),'worker file'!$D$2:$D$406,"Not found")</f>
        <v>CA</v>
      </c>
      <c r="D749" s="36" t="str">
        <f t="array" ref="D749">_xlfn.XLOOKUP($A749,TRIM(SUBSTITUTE('worker file'!$A$2:$A$406,_xlfn.UNICHAR(160)," ")),'worker file'!$Q$2:$Q$406,"Not found")</f>
        <v>Active</v>
      </c>
      <c r="E749" s="35" t="s">
        <v>618</v>
      </c>
      <c r="F749" t="str">
        <f t="shared" si="85"/>
        <v>401(k) Employee Deferral</v>
      </c>
      <c r="G749" t="str">
        <f t="shared" si="86"/>
        <v>Pre-tax (exempt from FIT/SIT; subject to FICA)</v>
      </c>
      <c r="H749" t="str">
        <f t="shared" si="87"/>
        <v>Percent</v>
      </c>
      <c r="I749" s="37">
        <v>0.04</v>
      </c>
      <c r="J749" s="38" t="str">
        <f t="shared" si="88"/>
        <v/>
      </c>
      <c r="K749" t="str">
        <f t="shared" si="89"/>
        <v>Gross pay</v>
      </c>
      <c r="L749" t="str">
        <f t="shared" si="90"/>
        <v>Every pay period (ongoing)</v>
      </c>
      <c r="M749" s="39">
        <f t="array" ref="M749">MAX(_xlfn.XLOOKUP($A749,TRIM(SUBSTITUTE('worker file'!$A$2:$A$406,_xlfn.UNICHAR(160)," ")),'worker file'!$M$2:$M$406,0),_xlfn.XLOOKUP($B749,TRIM('pay group &amp; schedule'!$A$2:$A$6),'pay group &amp; schedule'!$D$2:$D$6,0))</f>
        <v>46311</v>
      </c>
      <c r="N749" s="39" t="str">
        <f t="array" ref="N749">_xlfn.LET(_xlpm.t,_xlfn.XLOOKUP($A749,TRIM(SUBSTITUTE('worker file'!$A$2:$A$406,_xlfn.UNICHAR(160)," ")),'worker file'!$N$2:$N$406,""),IF(N(_xlpm.t)=0,"",_xlpm.t))</f>
        <v/>
      </c>
    </row>
    <row r="750" spans="1:14" x14ac:dyDescent="0.2">
      <c r="A750" s="35" t="s">
        <v>357</v>
      </c>
      <c r="B750" s="36" t="str">
        <f t="array" ref="B750">_xlfn.XLOOKUP($A750,TRIM(SUBSTITUTE('worker file'!$A$2:$A$406,_xlfn.UNICHAR(160)," ")),'worker file'!$L$2:$L$406,"Not found")</f>
        <v>US Semi-monthly</v>
      </c>
      <c r="C750" s="36" t="str">
        <f t="array" ref="C750">_xlfn.XLOOKUP($A750,TRIM(SUBSTITUTE('worker file'!$A$2:$A$406,_xlfn.UNICHAR(160)," ")),'worker file'!$D$2:$D$406,"Not found")</f>
        <v>CA</v>
      </c>
      <c r="D750" s="36" t="str">
        <f t="array" ref="D750">_xlfn.XLOOKUP($A750,TRIM(SUBSTITUTE('worker file'!$A$2:$A$406,_xlfn.UNICHAR(160)," ")),'worker file'!$Q$2:$Q$406,"Not found")</f>
        <v>Active</v>
      </c>
      <c r="E750" s="35" t="s">
        <v>626</v>
      </c>
      <c r="F750" t="str">
        <f t="shared" si="85"/>
        <v>Medical (Health) – Employee</v>
      </c>
      <c r="G750" t="str">
        <f t="shared" si="86"/>
        <v>Pre-tax Section 125 (exempt from FIT/SIT/FICA)</v>
      </c>
      <c r="H750" t="str">
        <f t="shared" si="87"/>
        <v>Flat</v>
      </c>
      <c r="I750" s="40" t="str">
        <f>IF($H750="Percent",_xlfn.XLOOKUP($E750,$A$5:$A$8,$F$5:$F$8,""),"")</f>
        <v/>
      </c>
      <c r="J750" s="38">
        <f t="shared" si="88"/>
        <v>200</v>
      </c>
      <c r="K750" t="str">
        <f t="shared" si="89"/>
        <v>Per pay period</v>
      </c>
      <c r="L750" t="str">
        <f t="shared" si="90"/>
        <v>Every pay period (ongoing)</v>
      </c>
      <c r="M750" s="39">
        <f t="array" ref="M750">MAX(_xlfn.XLOOKUP($A750,TRIM(SUBSTITUTE('worker file'!$A$2:$A$406,_xlfn.UNICHAR(160)," ")),'worker file'!$M$2:$M$406,0),_xlfn.XLOOKUP($B750,TRIM('pay group &amp; schedule'!$A$2:$A$6),'pay group &amp; schedule'!$D$2:$D$6,0))</f>
        <v>46311</v>
      </c>
      <c r="N750" s="39" t="str">
        <f t="array" ref="N750">_xlfn.LET(_xlpm.t,_xlfn.XLOOKUP($A750,TRIM(SUBSTITUTE('worker file'!$A$2:$A$406,_xlfn.UNICHAR(160)," ")),'worker file'!$N$2:$N$406,""),IF(N(_xlpm.t)=0,"",_xlpm.t))</f>
        <v/>
      </c>
    </row>
    <row r="751" spans="1:14" x14ac:dyDescent="0.2">
      <c r="A751" s="35" t="s">
        <v>357</v>
      </c>
      <c r="B751" s="36" t="str">
        <f t="array" ref="B751">_xlfn.XLOOKUP($A751,TRIM(SUBSTITUTE('worker file'!$A$2:$A$406,_xlfn.UNICHAR(160)," ")),'worker file'!$L$2:$L$406,"Not found")</f>
        <v>US Semi-monthly</v>
      </c>
      <c r="C751" s="36" t="str">
        <f t="array" ref="C751">_xlfn.XLOOKUP($A751,TRIM(SUBSTITUTE('worker file'!$A$2:$A$406,_xlfn.UNICHAR(160)," ")),'worker file'!$D$2:$D$406,"Not found")</f>
        <v>CA</v>
      </c>
      <c r="D751" s="36" t="str">
        <f t="array" ref="D751">_xlfn.XLOOKUP($A751,TRIM(SUBSTITUTE('worker file'!$A$2:$A$406,_xlfn.UNICHAR(160)," ")),'worker file'!$Q$2:$Q$406,"Not found")</f>
        <v>Active</v>
      </c>
      <c r="E751" s="35" t="s">
        <v>632</v>
      </c>
      <c r="F751" t="str">
        <f t="shared" si="85"/>
        <v>Dental – Employee</v>
      </c>
      <c r="G751" t="str">
        <f t="shared" si="86"/>
        <v>Pre-tax Section 125 (exempt from FIT/SIT/FICA)</v>
      </c>
      <c r="H751" t="str">
        <f t="shared" si="87"/>
        <v>Flat</v>
      </c>
      <c r="I751" s="40" t="str">
        <f>IF($H751="Percent",_xlfn.XLOOKUP($E751,$A$5:$A$8,$F$5:$F$8,""),"")</f>
        <v/>
      </c>
      <c r="J751" s="38">
        <f t="shared" si="88"/>
        <v>44</v>
      </c>
      <c r="K751" t="str">
        <f t="shared" si="89"/>
        <v>Per pay period</v>
      </c>
      <c r="L751" t="str">
        <f t="shared" si="90"/>
        <v>Every pay period (ongoing)</v>
      </c>
      <c r="M751" s="39">
        <f t="array" ref="M751">MAX(_xlfn.XLOOKUP($A751,TRIM(SUBSTITUTE('worker file'!$A$2:$A$406,_xlfn.UNICHAR(160)," ")),'worker file'!$M$2:$M$406,0),_xlfn.XLOOKUP($B751,TRIM('pay group &amp; schedule'!$A$2:$A$6),'pay group &amp; schedule'!$D$2:$D$6,0))</f>
        <v>46311</v>
      </c>
      <c r="N751" s="39" t="str">
        <f t="array" ref="N751">_xlfn.LET(_xlpm.t,_xlfn.XLOOKUP($A751,TRIM(SUBSTITUTE('worker file'!$A$2:$A$406,_xlfn.UNICHAR(160)," ")),'worker file'!$N$2:$N$406,""),IF(N(_xlpm.t)=0,"",_xlpm.t))</f>
        <v/>
      </c>
    </row>
    <row r="752" spans="1:14" x14ac:dyDescent="0.2">
      <c r="A752" s="35" t="s">
        <v>357</v>
      </c>
      <c r="B752" s="36" t="str">
        <f t="array" ref="B752">_xlfn.XLOOKUP($A752,TRIM(SUBSTITUTE('worker file'!$A$2:$A$406,_xlfn.UNICHAR(160)," ")),'worker file'!$L$2:$L$406,"Not found")</f>
        <v>US Semi-monthly</v>
      </c>
      <c r="C752" s="36" t="str">
        <f t="array" ref="C752">_xlfn.XLOOKUP($A752,TRIM(SUBSTITUTE('worker file'!$A$2:$A$406,_xlfn.UNICHAR(160)," ")),'worker file'!$D$2:$D$406,"Not found")</f>
        <v>CA</v>
      </c>
      <c r="D752" s="36" t="str">
        <f t="array" ref="D752">_xlfn.XLOOKUP($A752,TRIM(SUBSTITUTE('worker file'!$A$2:$A$406,_xlfn.UNICHAR(160)," ")),'worker file'!$Q$2:$Q$406,"Not found")</f>
        <v>Active</v>
      </c>
      <c r="E752" s="35" t="s">
        <v>634</v>
      </c>
      <c r="F752" t="str">
        <f t="shared" si="85"/>
        <v>Vision – Employee</v>
      </c>
      <c r="G752" t="str">
        <f t="shared" si="86"/>
        <v>Pre-tax Section 125 (exempt from FIT/SIT/FICA)</v>
      </c>
      <c r="H752" t="str">
        <f t="shared" si="87"/>
        <v>Flat</v>
      </c>
      <c r="I752" s="40" t="str">
        <f>IF($H752="Percent",_xlfn.XLOOKUP($E752,$A$5:$A$8,$F$5:$F$8,""),"")</f>
        <v/>
      </c>
      <c r="J752" s="38">
        <f t="shared" si="88"/>
        <v>30</v>
      </c>
      <c r="K752" t="str">
        <f t="shared" si="89"/>
        <v>Per pay period</v>
      </c>
      <c r="L752" t="str">
        <f t="shared" si="90"/>
        <v>Every pay period (ongoing)</v>
      </c>
      <c r="M752" s="39">
        <f t="array" ref="M752">MAX(_xlfn.XLOOKUP($A752,TRIM(SUBSTITUTE('worker file'!$A$2:$A$406,_xlfn.UNICHAR(160)," ")),'worker file'!$M$2:$M$406,0),_xlfn.XLOOKUP($B752,TRIM('pay group &amp; schedule'!$A$2:$A$6),'pay group &amp; schedule'!$D$2:$D$6,0))</f>
        <v>46311</v>
      </c>
      <c r="N752" s="39" t="str">
        <f t="array" ref="N752">_xlfn.LET(_xlpm.t,_xlfn.XLOOKUP($A752,TRIM(SUBSTITUTE('worker file'!$A$2:$A$406,_xlfn.UNICHAR(160)," ")),'worker file'!$N$2:$N$406,""),IF(N(_xlpm.t)=0,"",_xlpm.t))</f>
        <v/>
      </c>
    </row>
    <row r="753" spans="1:15" x14ac:dyDescent="0.2">
      <c r="A753" s="35" t="s">
        <v>358</v>
      </c>
      <c r="B753" s="36" t="str">
        <f t="array" ref="B753">_xlfn.XLOOKUP($A753,TRIM(SUBSTITUTE('worker file'!$A$2:$A$406,_xlfn.UNICHAR(160)," ")),'worker file'!$L$2:$L$406,"Not found")</f>
        <v>US Biweekly</v>
      </c>
      <c r="C753" s="36" t="str">
        <f t="array" ref="C753">_xlfn.XLOOKUP($A753,TRIM(SUBSTITUTE('worker file'!$A$2:$A$406,_xlfn.UNICHAR(160)," ")),'worker file'!$D$2:$D$406,"Not found")</f>
        <v>TX</v>
      </c>
      <c r="D753" s="36" t="str">
        <f t="array" ref="D753">_xlfn.XLOOKUP($A753,TRIM(SUBSTITUTE('worker file'!$A$2:$A$406,_xlfn.UNICHAR(160)," ")),'worker file'!$Q$2:$Q$406,"Not found")</f>
        <v>Active</v>
      </c>
      <c r="E753" s="35" t="s">
        <v>618</v>
      </c>
      <c r="F753" t="str">
        <f t="shared" si="85"/>
        <v>401(k) Employee Deferral</v>
      </c>
      <c r="G753" t="str">
        <f t="shared" si="86"/>
        <v>Pre-tax (exempt from FIT/SIT; subject to FICA)</v>
      </c>
      <c r="H753" t="str">
        <f t="shared" si="87"/>
        <v>Percent</v>
      </c>
      <c r="I753" s="37">
        <v>0.01</v>
      </c>
      <c r="J753" s="38" t="str">
        <f t="shared" si="88"/>
        <v/>
      </c>
      <c r="K753" t="str">
        <f t="shared" si="89"/>
        <v>Gross pay</v>
      </c>
      <c r="L753" t="str">
        <f t="shared" si="90"/>
        <v>Every pay period (ongoing)</v>
      </c>
      <c r="M753" s="39">
        <f t="array" ref="M753">MAX(_xlfn.XLOOKUP($A753,TRIM(SUBSTITUTE('worker file'!$A$2:$A$406,_xlfn.UNICHAR(160)," ")),'worker file'!$M$2:$M$406,0),_xlfn.XLOOKUP($B753,TRIM('pay group &amp; schedule'!$A$2:$A$6),'pay group &amp; schedule'!$D$2:$D$6,0))</f>
        <v>46299</v>
      </c>
      <c r="N753" s="39" t="str">
        <f t="array" ref="N753">_xlfn.LET(_xlpm.t,_xlfn.XLOOKUP($A753,TRIM(SUBSTITUTE('worker file'!$A$2:$A$406,_xlfn.UNICHAR(160)," ")),'worker file'!$N$2:$N$406,""),IF(N(_xlpm.t)=0,"",_xlpm.t))</f>
        <v/>
      </c>
    </row>
    <row r="754" spans="1:15" x14ac:dyDescent="0.2">
      <c r="A754" s="35" t="s">
        <v>358</v>
      </c>
      <c r="B754" s="36" t="str">
        <f t="array" ref="B754">_xlfn.XLOOKUP($A754,TRIM(SUBSTITUTE('worker file'!$A$2:$A$406,_xlfn.UNICHAR(160)," ")),'worker file'!$L$2:$L$406,"Not found")</f>
        <v>US Biweekly</v>
      </c>
      <c r="C754" s="36" t="str">
        <f t="array" ref="C754">_xlfn.XLOOKUP($A754,TRIM(SUBSTITUTE('worker file'!$A$2:$A$406,_xlfn.UNICHAR(160)," ")),'worker file'!$D$2:$D$406,"Not found")</f>
        <v>TX</v>
      </c>
      <c r="D754" s="36" t="str">
        <f t="array" ref="D754">_xlfn.XLOOKUP($A754,TRIM(SUBSTITUTE('worker file'!$A$2:$A$406,_xlfn.UNICHAR(160)," ")),'worker file'!$Q$2:$Q$406,"Not found")</f>
        <v>Active</v>
      </c>
      <c r="E754" s="35" t="s">
        <v>626</v>
      </c>
      <c r="F754" t="str">
        <f t="shared" si="85"/>
        <v>Medical (Health) – Employee</v>
      </c>
      <c r="G754" t="str">
        <f t="shared" si="86"/>
        <v>Pre-tax Section 125 (exempt from FIT/SIT/FICA)</v>
      </c>
      <c r="H754" t="str">
        <f t="shared" si="87"/>
        <v>Flat</v>
      </c>
      <c r="I754" s="40" t="str">
        <f t="shared" ref="I754:I759" si="91">IF($H754="Percent",_xlfn.XLOOKUP($E754,$A$5:$A$8,$F$5:$F$8,""),"")</f>
        <v/>
      </c>
      <c r="J754" s="38">
        <f t="shared" si="88"/>
        <v>200</v>
      </c>
      <c r="K754" t="str">
        <f t="shared" si="89"/>
        <v>Per pay period</v>
      </c>
      <c r="L754" t="str">
        <f t="shared" si="90"/>
        <v>Every pay period (ongoing)</v>
      </c>
      <c r="M754" s="39">
        <f t="array" ref="M754">MAX(_xlfn.XLOOKUP($A754,TRIM(SUBSTITUTE('worker file'!$A$2:$A$406,_xlfn.UNICHAR(160)," ")),'worker file'!$M$2:$M$406,0),_xlfn.XLOOKUP($B754,TRIM('pay group &amp; schedule'!$A$2:$A$6),'pay group &amp; schedule'!$D$2:$D$6,0))</f>
        <v>46299</v>
      </c>
      <c r="N754" s="39" t="str">
        <f t="array" ref="N754">_xlfn.LET(_xlpm.t,_xlfn.XLOOKUP($A754,TRIM(SUBSTITUTE('worker file'!$A$2:$A$406,_xlfn.UNICHAR(160)," ")),'worker file'!$N$2:$N$406,""),IF(N(_xlpm.t)=0,"",_xlpm.t))</f>
        <v/>
      </c>
    </row>
    <row r="755" spans="1:15" x14ac:dyDescent="0.2">
      <c r="A755" s="35" t="s">
        <v>358</v>
      </c>
      <c r="B755" s="36" t="str">
        <f t="array" ref="B755">_xlfn.XLOOKUP($A755,TRIM(SUBSTITUTE('worker file'!$A$2:$A$406,_xlfn.UNICHAR(160)," ")),'worker file'!$L$2:$L$406,"Not found")</f>
        <v>US Biweekly</v>
      </c>
      <c r="C755" s="36" t="str">
        <f t="array" ref="C755">_xlfn.XLOOKUP($A755,TRIM(SUBSTITUTE('worker file'!$A$2:$A$406,_xlfn.UNICHAR(160)," ")),'worker file'!$D$2:$D$406,"Not found")</f>
        <v>TX</v>
      </c>
      <c r="D755" s="36" t="str">
        <f t="array" ref="D755">_xlfn.XLOOKUP($A755,TRIM(SUBSTITUTE('worker file'!$A$2:$A$406,_xlfn.UNICHAR(160)," ")),'worker file'!$Q$2:$Q$406,"Not found")</f>
        <v>Active</v>
      </c>
      <c r="E755" s="35" t="s">
        <v>632</v>
      </c>
      <c r="F755" t="str">
        <f t="shared" si="85"/>
        <v>Dental – Employee</v>
      </c>
      <c r="G755" t="str">
        <f t="shared" si="86"/>
        <v>Pre-tax Section 125 (exempt from FIT/SIT/FICA)</v>
      </c>
      <c r="H755" t="str">
        <f t="shared" si="87"/>
        <v>Flat</v>
      </c>
      <c r="I755" s="40" t="str">
        <f t="shared" si="91"/>
        <v/>
      </c>
      <c r="J755" s="38">
        <f t="shared" si="88"/>
        <v>44</v>
      </c>
      <c r="K755" t="str">
        <f t="shared" si="89"/>
        <v>Per pay period</v>
      </c>
      <c r="L755" t="str">
        <f t="shared" si="90"/>
        <v>Every pay period (ongoing)</v>
      </c>
      <c r="M755" s="39">
        <f t="array" ref="M755">MAX(_xlfn.XLOOKUP($A755,TRIM(SUBSTITUTE('worker file'!$A$2:$A$406,_xlfn.UNICHAR(160)," ")),'worker file'!$M$2:$M$406,0),_xlfn.XLOOKUP($B755,TRIM('pay group &amp; schedule'!$A$2:$A$6),'pay group &amp; schedule'!$D$2:$D$6,0))</f>
        <v>46299</v>
      </c>
      <c r="N755" s="39" t="str">
        <f t="array" ref="N755">_xlfn.LET(_xlpm.t,_xlfn.XLOOKUP($A755,TRIM(SUBSTITUTE('worker file'!$A$2:$A$406,_xlfn.UNICHAR(160)," ")),'worker file'!$N$2:$N$406,""),IF(N(_xlpm.t)=0,"",_xlpm.t))</f>
        <v/>
      </c>
    </row>
    <row r="756" spans="1:15" x14ac:dyDescent="0.2">
      <c r="A756" s="35" t="s">
        <v>358</v>
      </c>
      <c r="B756" s="36" t="str">
        <f t="array" ref="B756">_xlfn.XLOOKUP($A756,TRIM(SUBSTITUTE('worker file'!$A$2:$A$406,_xlfn.UNICHAR(160)," ")),'worker file'!$L$2:$L$406,"Not found")</f>
        <v>US Biweekly</v>
      </c>
      <c r="C756" s="36" t="str">
        <f t="array" ref="C756">_xlfn.XLOOKUP($A756,TRIM(SUBSTITUTE('worker file'!$A$2:$A$406,_xlfn.UNICHAR(160)," ")),'worker file'!$D$2:$D$406,"Not found")</f>
        <v>TX</v>
      </c>
      <c r="D756" s="36" t="str">
        <f t="array" ref="D756">_xlfn.XLOOKUP($A756,TRIM(SUBSTITUTE('worker file'!$A$2:$A$406,_xlfn.UNICHAR(160)," ")),'worker file'!$Q$2:$Q$406,"Not found")</f>
        <v>Active</v>
      </c>
      <c r="E756" s="35" t="s">
        <v>634</v>
      </c>
      <c r="F756" t="str">
        <f t="shared" si="85"/>
        <v>Vision – Employee</v>
      </c>
      <c r="G756" t="str">
        <f t="shared" si="86"/>
        <v>Pre-tax Section 125 (exempt from FIT/SIT/FICA)</v>
      </c>
      <c r="H756" t="str">
        <f t="shared" si="87"/>
        <v>Flat</v>
      </c>
      <c r="I756" s="40" t="str">
        <f t="shared" si="91"/>
        <v/>
      </c>
      <c r="J756" s="38">
        <f t="shared" si="88"/>
        <v>30</v>
      </c>
      <c r="K756" t="str">
        <f t="shared" si="89"/>
        <v>Per pay period</v>
      </c>
      <c r="L756" t="str">
        <f t="shared" si="90"/>
        <v>Every pay period (ongoing)</v>
      </c>
      <c r="M756" s="39">
        <f t="array" ref="M756">MAX(_xlfn.XLOOKUP($A756,TRIM(SUBSTITUTE('worker file'!$A$2:$A$406,_xlfn.UNICHAR(160)," ")),'worker file'!$M$2:$M$406,0),_xlfn.XLOOKUP($B756,TRIM('pay group &amp; schedule'!$A$2:$A$6),'pay group &amp; schedule'!$D$2:$D$6,0))</f>
        <v>46299</v>
      </c>
      <c r="N756" s="39" t="str">
        <f t="array" ref="N756">_xlfn.LET(_xlpm.t,_xlfn.XLOOKUP($A756,TRIM(SUBSTITUTE('worker file'!$A$2:$A$406,_xlfn.UNICHAR(160)," ")),'worker file'!$N$2:$N$406,""),IF(N(_xlpm.t)=0,"",_xlpm.t))</f>
        <v/>
      </c>
    </row>
    <row r="757" spans="1:15" x14ac:dyDescent="0.2">
      <c r="A757" s="35" t="s">
        <v>359</v>
      </c>
      <c r="B757" s="36" t="str">
        <f t="array" ref="B757">_xlfn.XLOOKUP($A757,TRIM(SUBSTITUTE('worker file'!$A$2:$A$406,_xlfn.UNICHAR(160)," ")),'worker file'!$L$2:$L$406,"Not found")</f>
        <v>US Semi-monthly</v>
      </c>
      <c r="C757" s="36" t="str">
        <f t="array" ref="C757">_xlfn.XLOOKUP($A757,TRIM(SUBSTITUTE('worker file'!$A$2:$A$406,_xlfn.UNICHAR(160)," ")),'worker file'!$D$2:$D$406,"Not found")</f>
        <v>CA</v>
      </c>
      <c r="D757" s="36" t="str">
        <f t="array" ref="D757">_xlfn.XLOOKUP($A757,TRIM(SUBSTITUTE('worker file'!$A$2:$A$406,_xlfn.UNICHAR(160)," ")),'worker file'!$Q$2:$Q$406,"Not found")</f>
        <v>Active</v>
      </c>
      <c r="E757" s="35" t="s">
        <v>626</v>
      </c>
      <c r="F757" t="str">
        <f t="shared" si="85"/>
        <v>Medical (Health) – Employee</v>
      </c>
      <c r="G757" t="str">
        <f t="shared" si="86"/>
        <v>Pre-tax Section 125 (exempt from FIT/SIT/FICA)</v>
      </c>
      <c r="H757" t="str">
        <f t="shared" si="87"/>
        <v>Flat</v>
      </c>
      <c r="I757" s="40" t="str">
        <f t="shared" si="91"/>
        <v/>
      </c>
      <c r="J757" s="38">
        <f t="shared" si="88"/>
        <v>200</v>
      </c>
      <c r="K757" t="str">
        <f t="shared" si="89"/>
        <v>Per pay period</v>
      </c>
      <c r="L757" t="str">
        <f t="shared" si="90"/>
        <v>Every pay period (ongoing)</v>
      </c>
      <c r="M757" s="39">
        <f t="array" ref="M757">MAX(_xlfn.XLOOKUP($A757,TRIM(SUBSTITUTE('worker file'!$A$2:$A$406,_xlfn.UNICHAR(160)," ")),'worker file'!$M$2:$M$406,0),_xlfn.XLOOKUP($B757,TRIM('pay group &amp; schedule'!$A$2:$A$6),'pay group &amp; schedule'!$D$2:$D$6,0))</f>
        <v>46311</v>
      </c>
      <c r="N757" s="39" t="str">
        <f t="array" ref="N757">_xlfn.LET(_xlpm.t,_xlfn.XLOOKUP($A757,TRIM(SUBSTITUTE('worker file'!$A$2:$A$406,_xlfn.UNICHAR(160)," ")),'worker file'!$N$2:$N$406,""),IF(N(_xlpm.t)=0,"",_xlpm.t))</f>
        <v/>
      </c>
    </row>
    <row r="758" spans="1:15" x14ac:dyDescent="0.2">
      <c r="A758" s="35" t="s">
        <v>359</v>
      </c>
      <c r="B758" s="36" t="str">
        <f t="array" ref="B758">_xlfn.XLOOKUP($A758,TRIM(SUBSTITUTE('worker file'!$A$2:$A$406,_xlfn.UNICHAR(160)," ")),'worker file'!$L$2:$L$406,"Not found")</f>
        <v>US Semi-monthly</v>
      </c>
      <c r="C758" s="36" t="str">
        <f t="array" ref="C758">_xlfn.XLOOKUP($A758,TRIM(SUBSTITUTE('worker file'!$A$2:$A$406,_xlfn.UNICHAR(160)," ")),'worker file'!$D$2:$D$406,"Not found")</f>
        <v>CA</v>
      </c>
      <c r="D758" s="36" t="str">
        <f t="array" ref="D758">_xlfn.XLOOKUP($A758,TRIM(SUBSTITUTE('worker file'!$A$2:$A$406,_xlfn.UNICHAR(160)," ")),'worker file'!$Q$2:$Q$406,"Not found")</f>
        <v>Active</v>
      </c>
      <c r="E758" s="35" t="s">
        <v>632</v>
      </c>
      <c r="F758" t="str">
        <f t="shared" si="85"/>
        <v>Dental – Employee</v>
      </c>
      <c r="G758" t="str">
        <f t="shared" si="86"/>
        <v>Pre-tax Section 125 (exempt from FIT/SIT/FICA)</v>
      </c>
      <c r="H758" t="str">
        <f t="shared" si="87"/>
        <v>Flat</v>
      </c>
      <c r="I758" s="40" t="str">
        <f t="shared" si="91"/>
        <v/>
      </c>
      <c r="J758" s="38">
        <f t="shared" si="88"/>
        <v>44</v>
      </c>
      <c r="K758" t="str">
        <f t="shared" si="89"/>
        <v>Per pay period</v>
      </c>
      <c r="L758" t="str">
        <f t="shared" si="90"/>
        <v>Every pay period (ongoing)</v>
      </c>
      <c r="M758" s="39">
        <f t="array" ref="M758">MAX(_xlfn.XLOOKUP($A758,TRIM(SUBSTITUTE('worker file'!$A$2:$A$406,_xlfn.UNICHAR(160)," ")),'worker file'!$M$2:$M$406,0),_xlfn.XLOOKUP($B758,TRIM('pay group &amp; schedule'!$A$2:$A$6),'pay group &amp; schedule'!$D$2:$D$6,0))</f>
        <v>46311</v>
      </c>
      <c r="N758" s="39" t="str">
        <f t="array" ref="N758">_xlfn.LET(_xlpm.t,_xlfn.XLOOKUP($A758,TRIM(SUBSTITUTE('worker file'!$A$2:$A$406,_xlfn.UNICHAR(160)," ")),'worker file'!$N$2:$N$406,""),IF(N(_xlpm.t)=0,"",_xlpm.t))</f>
        <v/>
      </c>
    </row>
    <row r="759" spans="1:15" x14ac:dyDescent="0.2">
      <c r="A759" s="35" t="s">
        <v>359</v>
      </c>
      <c r="B759" s="36" t="str">
        <f t="array" ref="B759">_xlfn.XLOOKUP($A759,TRIM(SUBSTITUTE('worker file'!$A$2:$A$406,_xlfn.UNICHAR(160)," ")),'worker file'!$L$2:$L$406,"Not found")</f>
        <v>US Semi-monthly</v>
      </c>
      <c r="C759" s="36" t="str">
        <f t="array" ref="C759">_xlfn.XLOOKUP($A759,TRIM(SUBSTITUTE('worker file'!$A$2:$A$406,_xlfn.UNICHAR(160)," ")),'worker file'!$D$2:$D$406,"Not found")</f>
        <v>CA</v>
      </c>
      <c r="D759" s="36" t="str">
        <f t="array" ref="D759">_xlfn.XLOOKUP($A759,TRIM(SUBSTITUTE('worker file'!$A$2:$A$406,_xlfn.UNICHAR(160)," ")),'worker file'!$Q$2:$Q$406,"Not found")</f>
        <v>Active</v>
      </c>
      <c r="E759" s="35" t="s">
        <v>634</v>
      </c>
      <c r="F759" t="str">
        <f t="shared" si="85"/>
        <v>Vision – Employee</v>
      </c>
      <c r="G759" t="str">
        <f t="shared" si="86"/>
        <v>Pre-tax Section 125 (exempt from FIT/SIT/FICA)</v>
      </c>
      <c r="H759" t="str">
        <f t="shared" si="87"/>
        <v>Flat</v>
      </c>
      <c r="I759" s="40" t="str">
        <f t="shared" si="91"/>
        <v/>
      </c>
      <c r="J759" s="38">
        <f t="shared" si="88"/>
        <v>30</v>
      </c>
      <c r="K759" t="str">
        <f t="shared" si="89"/>
        <v>Per pay period</v>
      </c>
      <c r="L759" t="str">
        <f t="shared" si="90"/>
        <v>Every pay period (ongoing)</v>
      </c>
      <c r="M759" s="39">
        <f t="array" ref="M759">MAX(_xlfn.XLOOKUP($A759,TRIM(SUBSTITUTE('worker file'!$A$2:$A$406,_xlfn.UNICHAR(160)," ")),'worker file'!$M$2:$M$406,0),_xlfn.XLOOKUP($B759,TRIM('pay group &amp; schedule'!$A$2:$A$6),'pay group &amp; schedule'!$D$2:$D$6,0))</f>
        <v>46311</v>
      </c>
      <c r="N759" s="39" t="str">
        <f t="array" ref="N759">_xlfn.LET(_xlpm.t,_xlfn.XLOOKUP($A759,TRIM(SUBSTITUTE('worker file'!$A$2:$A$406,_xlfn.UNICHAR(160)," ")),'worker file'!$N$2:$N$406,""),IF(N(_xlpm.t)=0,"",_xlpm.t))</f>
        <v/>
      </c>
    </row>
    <row r="760" spans="1:15" x14ac:dyDescent="0.2">
      <c r="A760" s="35" t="s">
        <v>361</v>
      </c>
      <c r="B760" s="36" t="str">
        <f t="array" ref="B760">_xlfn.XLOOKUP($A760,TRIM(SUBSTITUTE('worker file'!$A$2:$A$406,_xlfn.UNICHAR(160)," ")),'worker file'!$L$2:$L$406,"Not found")</f>
        <v>US Semi-monthly</v>
      </c>
      <c r="C760" s="36" t="str">
        <f t="array" ref="C760">_xlfn.XLOOKUP($A760,TRIM(SUBSTITUTE('worker file'!$A$2:$A$406,_xlfn.UNICHAR(160)," ")),'worker file'!$D$2:$D$406,"Not found")</f>
        <v>CA</v>
      </c>
      <c r="D760" s="36" t="str">
        <f t="array" ref="D760">_xlfn.XLOOKUP($A760,TRIM(SUBSTITUTE('worker file'!$A$2:$A$406,_xlfn.UNICHAR(160)," ")),'worker file'!$Q$2:$Q$406,"Not found")</f>
        <v>On Leave(unpaid)</v>
      </c>
      <c r="E760" s="35" t="s">
        <v>618</v>
      </c>
      <c r="F760" t="str">
        <f t="shared" si="85"/>
        <v>401(k) Employee Deferral</v>
      </c>
      <c r="G760" t="str">
        <f t="shared" si="86"/>
        <v>Pre-tax (exempt from FIT/SIT; subject to FICA)</v>
      </c>
      <c r="H760" t="str">
        <f t="shared" si="87"/>
        <v>Percent</v>
      </c>
      <c r="I760" s="37">
        <v>0.03</v>
      </c>
      <c r="J760" s="38" t="str">
        <f t="shared" si="88"/>
        <v/>
      </c>
      <c r="K760" t="str">
        <f t="shared" si="89"/>
        <v>Gross pay</v>
      </c>
      <c r="L760" t="str">
        <f t="shared" si="90"/>
        <v>Every pay period (ongoing)</v>
      </c>
      <c r="M760" s="39">
        <f t="array" ref="M760">MAX(_xlfn.XLOOKUP($A760,TRIM(SUBSTITUTE('worker file'!$A$2:$A$406,_xlfn.UNICHAR(160)," ")),'worker file'!$M$2:$M$406,0),_xlfn.XLOOKUP($B760,TRIM('pay group &amp; schedule'!$A$2:$A$6),'pay group &amp; schedule'!$D$2:$D$6,0))</f>
        <v>46311</v>
      </c>
      <c r="N760" s="39" t="str">
        <f t="array" ref="N760">_xlfn.LET(_xlpm.t,_xlfn.XLOOKUP($A760,TRIM(SUBSTITUTE('worker file'!$A$2:$A$406,_xlfn.UNICHAR(160)," ")),'worker file'!$N$2:$N$406,""),IF(N(_xlpm.t)=0,"",_xlpm.t))</f>
        <v/>
      </c>
      <c r="O760" t="s">
        <v>646</v>
      </c>
    </row>
    <row r="761" spans="1:15" x14ac:dyDescent="0.2">
      <c r="A761" s="35" t="s">
        <v>361</v>
      </c>
      <c r="B761" s="36" t="str">
        <f t="array" ref="B761">_xlfn.XLOOKUP($A761,TRIM(SUBSTITUTE('worker file'!$A$2:$A$406,_xlfn.UNICHAR(160)," ")),'worker file'!$L$2:$L$406,"Not found")</f>
        <v>US Semi-monthly</v>
      </c>
      <c r="C761" s="36" t="str">
        <f t="array" ref="C761">_xlfn.XLOOKUP($A761,TRIM(SUBSTITUTE('worker file'!$A$2:$A$406,_xlfn.UNICHAR(160)," ")),'worker file'!$D$2:$D$406,"Not found")</f>
        <v>CA</v>
      </c>
      <c r="D761" s="36" t="str">
        <f t="array" ref="D761">_xlfn.XLOOKUP($A761,TRIM(SUBSTITUTE('worker file'!$A$2:$A$406,_xlfn.UNICHAR(160)," ")),'worker file'!$Q$2:$Q$406,"Not found")</f>
        <v>On Leave(unpaid)</v>
      </c>
      <c r="E761" s="35" t="s">
        <v>626</v>
      </c>
      <c r="F761" t="str">
        <f t="shared" si="85"/>
        <v>Medical (Health) – Employee</v>
      </c>
      <c r="G761" t="str">
        <f t="shared" si="86"/>
        <v>Pre-tax Section 125 (exempt from FIT/SIT/FICA)</v>
      </c>
      <c r="H761" t="str">
        <f t="shared" si="87"/>
        <v>Flat</v>
      </c>
      <c r="I761" s="40" t="str">
        <f>IF($H761="Percent",_xlfn.XLOOKUP($E761,$A$5:$A$8,$F$5:$F$8,""),"")</f>
        <v/>
      </c>
      <c r="J761" s="38">
        <f t="shared" si="88"/>
        <v>200</v>
      </c>
      <c r="K761" t="str">
        <f t="shared" si="89"/>
        <v>Per pay period</v>
      </c>
      <c r="L761" t="str">
        <f t="shared" si="90"/>
        <v>Every pay period (ongoing)</v>
      </c>
      <c r="M761" s="39">
        <f t="array" ref="M761">MAX(_xlfn.XLOOKUP($A761,TRIM(SUBSTITUTE('worker file'!$A$2:$A$406,_xlfn.UNICHAR(160)," ")),'worker file'!$M$2:$M$406,0),_xlfn.XLOOKUP($B761,TRIM('pay group &amp; schedule'!$A$2:$A$6),'pay group &amp; schedule'!$D$2:$D$6,0))</f>
        <v>46311</v>
      </c>
      <c r="N761" s="39" t="str">
        <f t="array" ref="N761">_xlfn.LET(_xlpm.t,_xlfn.XLOOKUP($A761,TRIM(SUBSTITUTE('worker file'!$A$2:$A$406,_xlfn.UNICHAR(160)," ")),'worker file'!$N$2:$N$406,""),IF(N(_xlpm.t)=0,"",_xlpm.t))</f>
        <v/>
      </c>
      <c r="O761" t="s">
        <v>646</v>
      </c>
    </row>
    <row r="762" spans="1:15" x14ac:dyDescent="0.2">
      <c r="A762" s="35" t="s">
        <v>361</v>
      </c>
      <c r="B762" s="36" t="str">
        <f t="array" ref="B762">_xlfn.XLOOKUP($A762,TRIM(SUBSTITUTE('worker file'!$A$2:$A$406,_xlfn.UNICHAR(160)," ")),'worker file'!$L$2:$L$406,"Not found")</f>
        <v>US Semi-monthly</v>
      </c>
      <c r="C762" s="36" t="str">
        <f t="array" ref="C762">_xlfn.XLOOKUP($A762,TRIM(SUBSTITUTE('worker file'!$A$2:$A$406,_xlfn.UNICHAR(160)," ")),'worker file'!$D$2:$D$406,"Not found")</f>
        <v>CA</v>
      </c>
      <c r="D762" s="36" t="str">
        <f t="array" ref="D762">_xlfn.XLOOKUP($A762,TRIM(SUBSTITUTE('worker file'!$A$2:$A$406,_xlfn.UNICHAR(160)," ")),'worker file'!$Q$2:$Q$406,"Not found")</f>
        <v>On Leave(unpaid)</v>
      </c>
      <c r="E762" s="35" t="s">
        <v>632</v>
      </c>
      <c r="F762" t="str">
        <f t="shared" si="85"/>
        <v>Dental – Employee</v>
      </c>
      <c r="G762" t="str">
        <f t="shared" si="86"/>
        <v>Pre-tax Section 125 (exempt from FIT/SIT/FICA)</v>
      </c>
      <c r="H762" t="str">
        <f t="shared" si="87"/>
        <v>Flat</v>
      </c>
      <c r="I762" s="40" t="str">
        <f>IF($H762="Percent",_xlfn.XLOOKUP($E762,$A$5:$A$8,$F$5:$F$8,""),"")</f>
        <v/>
      </c>
      <c r="J762" s="38">
        <f t="shared" si="88"/>
        <v>44</v>
      </c>
      <c r="K762" t="str">
        <f t="shared" si="89"/>
        <v>Per pay period</v>
      </c>
      <c r="L762" t="str">
        <f t="shared" si="90"/>
        <v>Every pay period (ongoing)</v>
      </c>
      <c r="M762" s="39">
        <f t="array" ref="M762">MAX(_xlfn.XLOOKUP($A762,TRIM(SUBSTITUTE('worker file'!$A$2:$A$406,_xlfn.UNICHAR(160)," ")),'worker file'!$M$2:$M$406,0),_xlfn.XLOOKUP($B762,TRIM('pay group &amp; schedule'!$A$2:$A$6),'pay group &amp; schedule'!$D$2:$D$6,0))</f>
        <v>46311</v>
      </c>
      <c r="N762" s="39" t="str">
        <f t="array" ref="N762">_xlfn.LET(_xlpm.t,_xlfn.XLOOKUP($A762,TRIM(SUBSTITUTE('worker file'!$A$2:$A$406,_xlfn.UNICHAR(160)," ")),'worker file'!$N$2:$N$406,""),IF(N(_xlpm.t)=0,"",_xlpm.t))</f>
        <v/>
      </c>
      <c r="O762" t="s">
        <v>646</v>
      </c>
    </row>
    <row r="763" spans="1:15" x14ac:dyDescent="0.2">
      <c r="A763" s="35" t="s">
        <v>361</v>
      </c>
      <c r="B763" s="36" t="str">
        <f t="array" ref="B763">_xlfn.XLOOKUP($A763,TRIM(SUBSTITUTE('worker file'!$A$2:$A$406,_xlfn.UNICHAR(160)," ")),'worker file'!$L$2:$L$406,"Not found")</f>
        <v>US Semi-monthly</v>
      </c>
      <c r="C763" s="36" t="str">
        <f t="array" ref="C763">_xlfn.XLOOKUP($A763,TRIM(SUBSTITUTE('worker file'!$A$2:$A$406,_xlfn.UNICHAR(160)," ")),'worker file'!$D$2:$D$406,"Not found")</f>
        <v>CA</v>
      </c>
      <c r="D763" s="36" t="str">
        <f t="array" ref="D763">_xlfn.XLOOKUP($A763,TRIM(SUBSTITUTE('worker file'!$A$2:$A$406,_xlfn.UNICHAR(160)," ")),'worker file'!$Q$2:$Q$406,"Not found")</f>
        <v>On Leave(unpaid)</v>
      </c>
      <c r="E763" s="35" t="s">
        <v>634</v>
      </c>
      <c r="F763" t="str">
        <f t="shared" si="85"/>
        <v>Vision – Employee</v>
      </c>
      <c r="G763" t="str">
        <f t="shared" si="86"/>
        <v>Pre-tax Section 125 (exempt from FIT/SIT/FICA)</v>
      </c>
      <c r="H763" t="str">
        <f t="shared" si="87"/>
        <v>Flat</v>
      </c>
      <c r="I763" s="40" t="str">
        <f>IF($H763="Percent",_xlfn.XLOOKUP($E763,$A$5:$A$8,$F$5:$F$8,""),"")</f>
        <v/>
      </c>
      <c r="J763" s="38">
        <f t="shared" si="88"/>
        <v>30</v>
      </c>
      <c r="K763" t="str">
        <f t="shared" si="89"/>
        <v>Per pay period</v>
      </c>
      <c r="L763" t="str">
        <f t="shared" si="90"/>
        <v>Every pay period (ongoing)</v>
      </c>
      <c r="M763" s="39">
        <f t="array" ref="M763">MAX(_xlfn.XLOOKUP($A763,TRIM(SUBSTITUTE('worker file'!$A$2:$A$406,_xlfn.UNICHAR(160)," ")),'worker file'!$M$2:$M$406,0),_xlfn.XLOOKUP($B763,TRIM('pay group &amp; schedule'!$A$2:$A$6),'pay group &amp; schedule'!$D$2:$D$6,0))</f>
        <v>46311</v>
      </c>
      <c r="N763" s="39" t="str">
        <f t="array" ref="N763">_xlfn.LET(_xlpm.t,_xlfn.XLOOKUP($A763,TRIM(SUBSTITUTE('worker file'!$A$2:$A$406,_xlfn.UNICHAR(160)," ")),'worker file'!$N$2:$N$406,""),IF(N(_xlpm.t)=0,"",_xlpm.t))</f>
        <v/>
      </c>
      <c r="O763" t="s">
        <v>646</v>
      </c>
    </row>
    <row r="764" spans="1:15" x14ac:dyDescent="0.2">
      <c r="A764" s="35" t="s">
        <v>362</v>
      </c>
      <c r="B764" s="36" t="str">
        <f t="array" ref="B764">_xlfn.XLOOKUP($A764,TRIM(SUBSTITUTE('worker file'!$A$2:$A$406,_xlfn.UNICHAR(160)," ")),'worker file'!$L$2:$L$406,"Not found")</f>
        <v>US Semi-monthly</v>
      </c>
      <c r="C764" s="36" t="str">
        <f t="array" ref="C764">_xlfn.XLOOKUP($A764,TRIM(SUBSTITUTE('worker file'!$A$2:$A$406,_xlfn.UNICHAR(160)," ")),'worker file'!$D$2:$D$406,"Not found")</f>
        <v>CA</v>
      </c>
      <c r="D764" s="36" t="str">
        <f t="array" ref="D764">_xlfn.XLOOKUP($A764,TRIM(SUBSTITUTE('worker file'!$A$2:$A$406,_xlfn.UNICHAR(160)," ")),'worker file'!$Q$2:$Q$406,"Not found")</f>
        <v>Active</v>
      </c>
      <c r="E764" s="35" t="s">
        <v>618</v>
      </c>
      <c r="F764" t="str">
        <f t="shared" si="85"/>
        <v>401(k) Employee Deferral</v>
      </c>
      <c r="G764" t="str">
        <f t="shared" si="86"/>
        <v>Pre-tax (exempt from FIT/SIT; subject to FICA)</v>
      </c>
      <c r="H764" t="str">
        <f t="shared" si="87"/>
        <v>Percent</v>
      </c>
      <c r="I764" s="37">
        <v>0</v>
      </c>
      <c r="J764" s="38" t="str">
        <f t="shared" si="88"/>
        <v/>
      </c>
      <c r="K764" t="str">
        <f t="shared" si="89"/>
        <v>Gross pay</v>
      </c>
      <c r="L764" t="str">
        <f t="shared" si="90"/>
        <v>Every pay period (ongoing)</v>
      </c>
      <c r="M764" s="39">
        <f t="array" ref="M764">MAX(_xlfn.XLOOKUP($A764,TRIM(SUBSTITUTE('worker file'!$A$2:$A$406,_xlfn.UNICHAR(160)," ")),'worker file'!$M$2:$M$406,0),_xlfn.XLOOKUP($B764,TRIM('pay group &amp; schedule'!$A$2:$A$6),'pay group &amp; schedule'!$D$2:$D$6,0))</f>
        <v>46311</v>
      </c>
      <c r="N764" s="39" t="str">
        <f t="array" ref="N764">_xlfn.LET(_xlpm.t,_xlfn.XLOOKUP($A764,TRIM(SUBSTITUTE('worker file'!$A$2:$A$406,_xlfn.UNICHAR(160)," ")),'worker file'!$N$2:$N$406,""),IF(N(_xlpm.t)=0,"",_xlpm.t))</f>
        <v/>
      </c>
    </row>
    <row r="765" spans="1:15" x14ac:dyDescent="0.2">
      <c r="A765" s="35" t="s">
        <v>362</v>
      </c>
      <c r="B765" s="36" t="str">
        <f t="array" ref="B765">_xlfn.XLOOKUP($A765,TRIM(SUBSTITUTE('worker file'!$A$2:$A$406,_xlfn.UNICHAR(160)," ")),'worker file'!$L$2:$L$406,"Not found")</f>
        <v>US Semi-monthly</v>
      </c>
      <c r="C765" s="36" t="str">
        <f t="array" ref="C765">_xlfn.XLOOKUP($A765,TRIM(SUBSTITUTE('worker file'!$A$2:$A$406,_xlfn.UNICHAR(160)," ")),'worker file'!$D$2:$D$406,"Not found")</f>
        <v>CA</v>
      </c>
      <c r="D765" s="36" t="str">
        <f t="array" ref="D765">_xlfn.XLOOKUP($A765,TRIM(SUBSTITUTE('worker file'!$A$2:$A$406,_xlfn.UNICHAR(160)," ")),'worker file'!$Q$2:$Q$406,"Not found")</f>
        <v>Active</v>
      </c>
      <c r="E765" s="35" t="s">
        <v>626</v>
      </c>
      <c r="F765" t="str">
        <f t="shared" si="85"/>
        <v>Medical (Health) – Employee</v>
      </c>
      <c r="G765" t="str">
        <f t="shared" si="86"/>
        <v>Pre-tax Section 125 (exempt from FIT/SIT/FICA)</v>
      </c>
      <c r="H765" t="str">
        <f t="shared" si="87"/>
        <v>Flat</v>
      </c>
      <c r="I765" s="40" t="str">
        <f>IF($H765="Percent",_xlfn.XLOOKUP($E765,$A$5:$A$8,$F$5:$F$8,""),"")</f>
        <v/>
      </c>
      <c r="J765" s="38">
        <f t="shared" si="88"/>
        <v>200</v>
      </c>
      <c r="K765" t="str">
        <f t="shared" si="89"/>
        <v>Per pay period</v>
      </c>
      <c r="L765" t="str">
        <f t="shared" si="90"/>
        <v>Every pay period (ongoing)</v>
      </c>
      <c r="M765" s="39">
        <f t="array" ref="M765">MAX(_xlfn.XLOOKUP($A765,TRIM(SUBSTITUTE('worker file'!$A$2:$A$406,_xlfn.UNICHAR(160)," ")),'worker file'!$M$2:$M$406,0),_xlfn.XLOOKUP($B765,TRIM('pay group &amp; schedule'!$A$2:$A$6),'pay group &amp; schedule'!$D$2:$D$6,0))</f>
        <v>46311</v>
      </c>
      <c r="N765" s="39" t="str">
        <f t="array" ref="N765">_xlfn.LET(_xlpm.t,_xlfn.XLOOKUP($A765,TRIM(SUBSTITUTE('worker file'!$A$2:$A$406,_xlfn.UNICHAR(160)," ")),'worker file'!$N$2:$N$406,""),IF(N(_xlpm.t)=0,"",_xlpm.t))</f>
        <v/>
      </c>
    </row>
    <row r="766" spans="1:15" x14ac:dyDescent="0.2">
      <c r="A766" s="35" t="s">
        <v>362</v>
      </c>
      <c r="B766" s="36" t="str">
        <f t="array" ref="B766">_xlfn.XLOOKUP($A766,TRIM(SUBSTITUTE('worker file'!$A$2:$A$406,_xlfn.UNICHAR(160)," ")),'worker file'!$L$2:$L$406,"Not found")</f>
        <v>US Semi-monthly</v>
      </c>
      <c r="C766" s="36" t="str">
        <f t="array" ref="C766">_xlfn.XLOOKUP($A766,TRIM(SUBSTITUTE('worker file'!$A$2:$A$406,_xlfn.UNICHAR(160)," ")),'worker file'!$D$2:$D$406,"Not found")</f>
        <v>CA</v>
      </c>
      <c r="D766" s="36" t="str">
        <f t="array" ref="D766">_xlfn.XLOOKUP($A766,TRIM(SUBSTITUTE('worker file'!$A$2:$A$406,_xlfn.UNICHAR(160)," ")),'worker file'!$Q$2:$Q$406,"Not found")</f>
        <v>Active</v>
      </c>
      <c r="E766" s="35" t="s">
        <v>632</v>
      </c>
      <c r="F766" t="str">
        <f t="shared" si="85"/>
        <v>Dental – Employee</v>
      </c>
      <c r="G766" t="str">
        <f t="shared" si="86"/>
        <v>Pre-tax Section 125 (exempt from FIT/SIT/FICA)</v>
      </c>
      <c r="H766" t="str">
        <f t="shared" si="87"/>
        <v>Flat</v>
      </c>
      <c r="I766" s="40" t="str">
        <f>IF($H766="Percent",_xlfn.XLOOKUP($E766,$A$5:$A$8,$F$5:$F$8,""),"")</f>
        <v/>
      </c>
      <c r="J766" s="38">
        <f t="shared" si="88"/>
        <v>44</v>
      </c>
      <c r="K766" t="str">
        <f t="shared" si="89"/>
        <v>Per pay period</v>
      </c>
      <c r="L766" t="str">
        <f t="shared" si="90"/>
        <v>Every pay period (ongoing)</v>
      </c>
      <c r="M766" s="39">
        <f t="array" ref="M766">MAX(_xlfn.XLOOKUP($A766,TRIM(SUBSTITUTE('worker file'!$A$2:$A$406,_xlfn.UNICHAR(160)," ")),'worker file'!$M$2:$M$406,0),_xlfn.XLOOKUP($B766,TRIM('pay group &amp; schedule'!$A$2:$A$6),'pay group &amp; schedule'!$D$2:$D$6,0))</f>
        <v>46311</v>
      </c>
      <c r="N766" s="39" t="str">
        <f t="array" ref="N766">_xlfn.LET(_xlpm.t,_xlfn.XLOOKUP($A766,TRIM(SUBSTITUTE('worker file'!$A$2:$A$406,_xlfn.UNICHAR(160)," ")),'worker file'!$N$2:$N$406,""),IF(N(_xlpm.t)=0,"",_xlpm.t))</f>
        <v/>
      </c>
    </row>
    <row r="767" spans="1:15" x14ac:dyDescent="0.2">
      <c r="A767" s="35" t="s">
        <v>362</v>
      </c>
      <c r="B767" s="36" t="str">
        <f t="array" ref="B767">_xlfn.XLOOKUP($A767,TRIM(SUBSTITUTE('worker file'!$A$2:$A$406,_xlfn.UNICHAR(160)," ")),'worker file'!$L$2:$L$406,"Not found")</f>
        <v>US Semi-monthly</v>
      </c>
      <c r="C767" s="36" t="str">
        <f t="array" ref="C767">_xlfn.XLOOKUP($A767,TRIM(SUBSTITUTE('worker file'!$A$2:$A$406,_xlfn.UNICHAR(160)," ")),'worker file'!$D$2:$D$406,"Not found")</f>
        <v>CA</v>
      </c>
      <c r="D767" s="36" t="str">
        <f t="array" ref="D767">_xlfn.XLOOKUP($A767,TRIM(SUBSTITUTE('worker file'!$A$2:$A$406,_xlfn.UNICHAR(160)," ")),'worker file'!$Q$2:$Q$406,"Not found")</f>
        <v>Active</v>
      </c>
      <c r="E767" s="35" t="s">
        <v>634</v>
      </c>
      <c r="F767" t="str">
        <f t="shared" si="85"/>
        <v>Vision – Employee</v>
      </c>
      <c r="G767" t="str">
        <f t="shared" si="86"/>
        <v>Pre-tax Section 125 (exempt from FIT/SIT/FICA)</v>
      </c>
      <c r="H767" t="str">
        <f t="shared" si="87"/>
        <v>Flat</v>
      </c>
      <c r="I767" s="40" t="str">
        <f>IF($H767="Percent",_xlfn.XLOOKUP($E767,$A$5:$A$8,$F$5:$F$8,""),"")</f>
        <v/>
      </c>
      <c r="J767" s="38">
        <f t="shared" si="88"/>
        <v>30</v>
      </c>
      <c r="K767" t="str">
        <f t="shared" si="89"/>
        <v>Per pay period</v>
      </c>
      <c r="L767" t="str">
        <f t="shared" si="90"/>
        <v>Every pay period (ongoing)</v>
      </c>
      <c r="M767" s="39">
        <f t="array" ref="M767">MAX(_xlfn.XLOOKUP($A767,TRIM(SUBSTITUTE('worker file'!$A$2:$A$406,_xlfn.UNICHAR(160)," ")),'worker file'!$M$2:$M$406,0),_xlfn.XLOOKUP($B767,TRIM('pay group &amp; schedule'!$A$2:$A$6),'pay group &amp; schedule'!$D$2:$D$6,0))</f>
        <v>46311</v>
      </c>
      <c r="N767" s="39" t="str">
        <f t="array" ref="N767">_xlfn.LET(_xlpm.t,_xlfn.XLOOKUP($A767,TRIM(SUBSTITUTE('worker file'!$A$2:$A$406,_xlfn.UNICHAR(160)," ")),'worker file'!$N$2:$N$406,""),IF(N(_xlpm.t)=0,"",_xlpm.t))</f>
        <v/>
      </c>
    </row>
    <row r="768" spans="1:15" x14ac:dyDescent="0.2">
      <c r="A768" s="35" t="s">
        <v>363</v>
      </c>
      <c r="B768" s="36" t="str">
        <f t="array" ref="B768">_xlfn.XLOOKUP($A768,TRIM(SUBSTITUTE('worker file'!$A$2:$A$406,_xlfn.UNICHAR(160)," ")),'worker file'!$L$2:$L$406,"Not found")</f>
        <v>US Biweekly</v>
      </c>
      <c r="C768" s="36" t="str">
        <f t="array" ref="C768">_xlfn.XLOOKUP($A768,TRIM(SUBSTITUTE('worker file'!$A$2:$A$406,_xlfn.UNICHAR(160)," ")),'worker file'!$D$2:$D$406,"Not found")</f>
        <v>TX</v>
      </c>
      <c r="D768" s="36" t="str">
        <f t="array" ref="D768">_xlfn.XLOOKUP($A768,TRIM(SUBSTITUTE('worker file'!$A$2:$A$406,_xlfn.UNICHAR(160)," ")),'worker file'!$Q$2:$Q$406,"Not found")</f>
        <v>Active</v>
      </c>
      <c r="E768" s="35" t="s">
        <v>618</v>
      </c>
      <c r="F768" t="str">
        <f t="shared" si="85"/>
        <v>401(k) Employee Deferral</v>
      </c>
      <c r="G768" t="str">
        <f t="shared" si="86"/>
        <v>Pre-tax (exempt from FIT/SIT; subject to FICA)</v>
      </c>
      <c r="H768" t="str">
        <f t="shared" si="87"/>
        <v>Percent</v>
      </c>
      <c r="I768" s="37">
        <v>0.05</v>
      </c>
      <c r="J768" s="38" t="str">
        <f t="shared" si="88"/>
        <v/>
      </c>
      <c r="K768" t="str">
        <f t="shared" si="89"/>
        <v>Gross pay</v>
      </c>
      <c r="L768" t="str">
        <f t="shared" si="90"/>
        <v>Every pay period (ongoing)</v>
      </c>
      <c r="M768" s="39">
        <f t="array" ref="M768">MAX(_xlfn.XLOOKUP($A768,TRIM(SUBSTITUTE('worker file'!$A$2:$A$406,_xlfn.UNICHAR(160)," ")),'worker file'!$M$2:$M$406,0),_xlfn.XLOOKUP($B768,TRIM('pay group &amp; schedule'!$A$2:$A$6),'pay group &amp; schedule'!$D$2:$D$6,0))</f>
        <v>46299</v>
      </c>
      <c r="N768" s="39" t="str">
        <f t="array" ref="N768">_xlfn.LET(_xlpm.t,_xlfn.XLOOKUP($A768,TRIM(SUBSTITUTE('worker file'!$A$2:$A$406,_xlfn.UNICHAR(160)," ")),'worker file'!$N$2:$N$406,""),IF(N(_xlpm.t)=0,"",_xlpm.t))</f>
        <v/>
      </c>
    </row>
    <row r="769" spans="1:14" x14ac:dyDescent="0.2">
      <c r="A769" s="35" t="s">
        <v>363</v>
      </c>
      <c r="B769" s="36" t="str">
        <f t="array" ref="B769">_xlfn.XLOOKUP($A769,TRIM(SUBSTITUTE('worker file'!$A$2:$A$406,_xlfn.UNICHAR(160)," ")),'worker file'!$L$2:$L$406,"Not found")</f>
        <v>US Biweekly</v>
      </c>
      <c r="C769" s="36" t="str">
        <f t="array" ref="C769">_xlfn.XLOOKUP($A769,TRIM(SUBSTITUTE('worker file'!$A$2:$A$406,_xlfn.UNICHAR(160)," ")),'worker file'!$D$2:$D$406,"Not found")</f>
        <v>TX</v>
      </c>
      <c r="D769" s="36" t="str">
        <f t="array" ref="D769">_xlfn.XLOOKUP($A769,TRIM(SUBSTITUTE('worker file'!$A$2:$A$406,_xlfn.UNICHAR(160)," ")),'worker file'!$Q$2:$Q$406,"Not found")</f>
        <v>Active</v>
      </c>
      <c r="E769" s="35" t="s">
        <v>626</v>
      </c>
      <c r="F769" t="str">
        <f t="shared" si="85"/>
        <v>Medical (Health) – Employee</v>
      </c>
      <c r="G769" t="str">
        <f t="shared" si="86"/>
        <v>Pre-tax Section 125 (exempt from FIT/SIT/FICA)</v>
      </c>
      <c r="H769" t="str">
        <f t="shared" si="87"/>
        <v>Flat</v>
      </c>
      <c r="I769" s="40" t="str">
        <f>IF($H769="Percent",_xlfn.XLOOKUP($E769,$A$5:$A$8,$F$5:$F$8,""),"")</f>
        <v/>
      </c>
      <c r="J769" s="38">
        <f t="shared" si="88"/>
        <v>200</v>
      </c>
      <c r="K769" t="str">
        <f t="shared" si="89"/>
        <v>Per pay period</v>
      </c>
      <c r="L769" t="str">
        <f t="shared" si="90"/>
        <v>Every pay period (ongoing)</v>
      </c>
      <c r="M769" s="39">
        <f t="array" ref="M769">MAX(_xlfn.XLOOKUP($A769,TRIM(SUBSTITUTE('worker file'!$A$2:$A$406,_xlfn.UNICHAR(160)," ")),'worker file'!$M$2:$M$406,0),_xlfn.XLOOKUP($B769,TRIM('pay group &amp; schedule'!$A$2:$A$6),'pay group &amp; schedule'!$D$2:$D$6,0))</f>
        <v>46299</v>
      </c>
      <c r="N769" s="39" t="str">
        <f t="array" ref="N769">_xlfn.LET(_xlpm.t,_xlfn.XLOOKUP($A769,TRIM(SUBSTITUTE('worker file'!$A$2:$A$406,_xlfn.UNICHAR(160)," ")),'worker file'!$N$2:$N$406,""),IF(N(_xlpm.t)=0,"",_xlpm.t))</f>
        <v/>
      </c>
    </row>
    <row r="770" spans="1:14" x14ac:dyDescent="0.2">
      <c r="A770" s="35" t="s">
        <v>363</v>
      </c>
      <c r="B770" s="36" t="str">
        <f t="array" ref="B770">_xlfn.XLOOKUP($A770,TRIM(SUBSTITUTE('worker file'!$A$2:$A$406,_xlfn.UNICHAR(160)," ")),'worker file'!$L$2:$L$406,"Not found")</f>
        <v>US Biweekly</v>
      </c>
      <c r="C770" s="36" t="str">
        <f t="array" ref="C770">_xlfn.XLOOKUP($A770,TRIM(SUBSTITUTE('worker file'!$A$2:$A$406,_xlfn.UNICHAR(160)," ")),'worker file'!$D$2:$D$406,"Not found")</f>
        <v>TX</v>
      </c>
      <c r="D770" s="36" t="str">
        <f t="array" ref="D770">_xlfn.XLOOKUP($A770,TRIM(SUBSTITUTE('worker file'!$A$2:$A$406,_xlfn.UNICHAR(160)," ")),'worker file'!$Q$2:$Q$406,"Not found")</f>
        <v>Active</v>
      </c>
      <c r="E770" s="35" t="s">
        <v>632</v>
      </c>
      <c r="F770" t="str">
        <f t="shared" si="85"/>
        <v>Dental – Employee</v>
      </c>
      <c r="G770" t="str">
        <f t="shared" si="86"/>
        <v>Pre-tax Section 125 (exempt from FIT/SIT/FICA)</v>
      </c>
      <c r="H770" t="str">
        <f t="shared" si="87"/>
        <v>Flat</v>
      </c>
      <c r="I770" s="40" t="str">
        <f>IF($H770="Percent",_xlfn.XLOOKUP($E770,$A$5:$A$8,$F$5:$F$8,""),"")</f>
        <v/>
      </c>
      <c r="J770" s="38">
        <f t="shared" si="88"/>
        <v>44</v>
      </c>
      <c r="K770" t="str">
        <f t="shared" si="89"/>
        <v>Per pay period</v>
      </c>
      <c r="L770" t="str">
        <f t="shared" si="90"/>
        <v>Every pay period (ongoing)</v>
      </c>
      <c r="M770" s="39">
        <f t="array" ref="M770">MAX(_xlfn.XLOOKUP($A770,TRIM(SUBSTITUTE('worker file'!$A$2:$A$406,_xlfn.UNICHAR(160)," ")),'worker file'!$M$2:$M$406,0),_xlfn.XLOOKUP($B770,TRIM('pay group &amp; schedule'!$A$2:$A$6),'pay group &amp; schedule'!$D$2:$D$6,0))</f>
        <v>46299</v>
      </c>
      <c r="N770" s="39" t="str">
        <f t="array" ref="N770">_xlfn.LET(_xlpm.t,_xlfn.XLOOKUP($A770,TRIM(SUBSTITUTE('worker file'!$A$2:$A$406,_xlfn.UNICHAR(160)," ")),'worker file'!$N$2:$N$406,""),IF(N(_xlpm.t)=0,"",_xlpm.t))</f>
        <v/>
      </c>
    </row>
    <row r="771" spans="1:14" x14ac:dyDescent="0.2">
      <c r="A771" s="35" t="s">
        <v>363</v>
      </c>
      <c r="B771" s="36" t="str">
        <f t="array" ref="B771">_xlfn.XLOOKUP($A771,TRIM(SUBSTITUTE('worker file'!$A$2:$A$406,_xlfn.UNICHAR(160)," ")),'worker file'!$L$2:$L$406,"Not found")</f>
        <v>US Biweekly</v>
      </c>
      <c r="C771" s="36" t="str">
        <f t="array" ref="C771">_xlfn.XLOOKUP($A771,TRIM(SUBSTITUTE('worker file'!$A$2:$A$406,_xlfn.UNICHAR(160)," ")),'worker file'!$D$2:$D$406,"Not found")</f>
        <v>TX</v>
      </c>
      <c r="D771" s="36" t="str">
        <f t="array" ref="D771">_xlfn.XLOOKUP($A771,TRIM(SUBSTITUTE('worker file'!$A$2:$A$406,_xlfn.UNICHAR(160)," ")),'worker file'!$Q$2:$Q$406,"Not found")</f>
        <v>Active</v>
      </c>
      <c r="E771" s="35" t="s">
        <v>634</v>
      </c>
      <c r="F771" t="str">
        <f t="shared" si="85"/>
        <v>Vision – Employee</v>
      </c>
      <c r="G771" t="str">
        <f t="shared" si="86"/>
        <v>Pre-tax Section 125 (exempt from FIT/SIT/FICA)</v>
      </c>
      <c r="H771" t="str">
        <f t="shared" si="87"/>
        <v>Flat</v>
      </c>
      <c r="I771" s="40" t="str">
        <f>IF($H771="Percent",_xlfn.XLOOKUP($E771,$A$5:$A$8,$F$5:$F$8,""),"")</f>
        <v/>
      </c>
      <c r="J771" s="38">
        <f t="shared" si="88"/>
        <v>30</v>
      </c>
      <c r="K771" t="str">
        <f t="shared" si="89"/>
        <v>Per pay period</v>
      </c>
      <c r="L771" t="str">
        <f t="shared" si="90"/>
        <v>Every pay period (ongoing)</v>
      </c>
      <c r="M771" s="39">
        <f t="array" ref="M771">MAX(_xlfn.XLOOKUP($A771,TRIM(SUBSTITUTE('worker file'!$A$2:$A$406,_xlfn.UNICHAR(160)," ")),'worker file'!$M$2:$M$406,0),_xlfn.XLOOKUP($B771,TRIM('pay group &amp; schedule'!$A$2:$A$6),'pay group &amp; schedule'!$D$2:$D$6,0))</f>
        <v>46299</v>
      </c>
      <c r="N771" s="39" t="str">
        <f t="array" ref="N771">_xlfn.LET(_xlpm.t,_xlfn.XLOOKUP($A771,TRIM(SUBSTITUTE('worker file'!$A$2:$A$406,_xlfn.UNICHAR(160)," ")),'worker file'!$N$2:$N$406,""),IF(N(_xlpm.t)=0,"",_xlpm.t))</f>
        <v/>
      </c>
    </row>
    <row r="772" spans="1:14" x14ac:dyDescent="0.2">
      <c r="A772" s="35" t="s">
        <v>364</v>
      </c>
      <c r="B772" s="36" t="str">
        <f t="array" ref="B772">_xlfn.XLOOKUP($A772,TRIM(SUBSTITUTE('worker file'!$A$2:$A$406,_xlfn.UNICHAR(160)," ")),'worker file'!$L$2:$L$406,"Not found")</f>
        <v>US Semi-monthly</v>
      </c>
      <c r="C772" s="36" t="str">
        <f t="array" ref="C772">_xlfn.XLOOKUP($A772,TRIM(SUBSTITUTE('worker file'!$A$2:$A$406,_xlfn.UNICHAR(160)," ")),'worker file'!$D$2:$D$406,"Not found")</f>
        <v>IL</v>
      </c>
      <c r="D772" s="36" t="str">
        <f t="array" ref="D772">_xlfn.XLOOKUP($A772,TRIM(SUBSTITUTE('worker file'!$A$2:$A$406,_xlfn.UNICHAR(160)," ")),'worker file'!$Q$2:$Q$406,"Not found")</f>
        <v>Active</v>
      </c>
      <c r="E772" s="35" t="s">
        <v>618</v>
      </c>
      <c r="F772" t="str">
        <f t="shared" si="85"/>
        <v>401(k) Employee Deferral</v>
      </c>
      <c r="G772" t="str">
        <f t="shared" si="86"/>
        <v>Pre-tax (exempt from FIT/SIT; subject to FICA)</v>
      </c>
      <c r="H772" t="str">
        <f t="shared" si="87"/>
        <v>Percent</v>
      </c>
      <c r="I772" s="37">
        <v>0.02</v>
      </c>
      <c r="J772" s="38" t="str">
        <f t="shared" si="88"/>
        <v/>
      </c>
      <c r="K772" t="str">
        <f t="shared" si="89"/>
        <v>Gross pay</v>
      </c>
      <c r="L772" t="str">
        <f t="shared" si="90"/>
        <v>Every pay period (ongoing)</v>
      </c>
      <c r="M772" s="39">
        <f t="array" ref="M772">MAX(_xlfn.XLOOKUP($A772,TRIM(SUBSTITUTE('worker file'!$A$2:$A$406,_xlfn.UNICHAR(160)," ")),'worker file'!$M$2:$M$406,0),_xlfn.XLOOKUP($B772,TRIM('pay group &amp; schedule'!$A$2:$A$6),'pay group &amp; schedule'!$D$2:$D$6,0))</f>
        <v>46311</v>
      </c>
      <c r="N772" s="39" t="str">
        <f t="array" ref="N772">_xlfn.LET(_xlpm.t,_xlfn.XLOOKUP($A772,TRIM(SUBSTITUTE('worker file'!$A$2:$A$406,_xlfn.UNICHAR(160)," ")),'worker file'!$N$2:$N$406,""),IF(N(_xlpm.t)=0,"",_xlpm.t))</f>
        <v/>
      </c>
    </row>
    <row r="773" spans="1:14" x14ac:dyDescent="0.2">
      <c r="A773" s="35" t="s">
        <v>364</v>
      </c>
      <c r="B773" s="36" t="str">
        <f t="array" ref="B773">_xlfn.XLOOKUP($A773,TRIM(SUBSTITUTE('worker file'!$A$2:$A$406,_xlfn.UNICHAR(160)," ")),'worker file'!$L$2:$L$406,"Not found")</f>
        <v>US Semi-monthly</v>
      </c>
      <c r="C773" s="36" t="str">
        <f t="array" ref="C773">_xlfn.XLOOKUP($A773,TRIM(SUBSTITUTE('worker file'!$A$2:$A$406,_xlfn.UNICHAR(160)," ")),'worker file'!$D$2:$D$406,"Not found")</f>
        <v>IL</v>
      </c>
      <c r="D773" s="36" t="str">
        <f t="array" ref="D773">_xlfn.XLOOKUP($A773,TRIM(SUBSTITUTE('worker file'!$A$2:$A$406,_xlfn.UNICHAR(160)," ")),'worker file'!$Q$2:$Q$406,"Not found")</f>
        <v>Active</v>
      </c>
      <c r="E773" s="35" t="s">
        <v>626</v>
      </c>
      <c r="F773" t="str">
        <f t="shared" si="85"/>
        <v>Medical (Health) – Employee</v>
      </c>
      <c r="G773" t="str">
        <f t="shared" si="86"/>
        <v>Pre-tax Section 125 (exempt from FIT/SIT/FICA)</v>
      </c>
      <c r="H773" t="str">
        <f t="shared" si="87"/>
        <v>Flat</v>
      </c>
      <c r="I773" s="40" t="str">
        <f>IF($H773="Percent",_xlfn.XLOOKUP($E773,$A$5:$A$8,$F$5:$F$8,""),"")</f>
        <v/>
      </c>
      <c r="J773" s="38">
        <f t="shared" si="88"/>
        <v>200</v>
      </c>
      <c r="K773" t="str">
        <f t="shared" si="89"/>
        <v>Per pay period</v>
      </c>
      <c r="L773" t="str">
        <f t="shared" si="90"/>
        <v>Every pay period (ongoing)</v>
      </c>
      <c r="M773" s="39">
        <f t="array" ref="M773">MAX(_xlfn.XLOOKUP($A773,TRIM(SUBSTITUTE('worker file'!$A$2:$A$406,_xlfn.UNICHAR(160)," ")),'worker file'!$M$2:$M$406,0),_xlfn.XLOOKUP($B773,TRIM('pay group &amp; schedule'!$A$2:$A$6),'pay group &amp; schedule'!$D$2:$D$6,0))</f>
        <v>46311</v>
      </c>
      <c r="N773" s="39" t="str">
        <f t="array" ref="N773">_xlfn.LET(_xlpm.t,_xlfn.XLOOKUP($A773,TRIM(SUBSTITUTE('worker file'!$A$2:$A$406,_xlfn.UNICHAR(160)," ")),'worker file'!$N$2:$N$406,""),IF(N(_xlpm.t)=0,"",_xlpm.t))</f>
        <v/>
      </c>
    </row>
    <row r="774" spans="1:14" x14ac:dyDescent="0.2">
      <c r="A774" s="35" t="s">
        <v>364</v>
      </c>
      <c r="B774" s="36" t="str">
        <f t="array" ref="B774">_xlfn.XLOOKUP($A774,TRIM(SUBSTITUTE('worker file'!$A$2:$A$406,_xlfn.UNICHAR(160)," ")),'worker file'!$L$2:$L$406,"Not found")</f>
        <v>US Semi-monthly</v>
      </c>
      <c r="C774" s="36" t="str">
        <f t="array" ref="C774">_xlfn.XLOOKUP($A774,TRIM(SUBSTITUTE('worker file'!$A$2:$A$406,_xlfn.UNICHAR(160)," ")),'worker file'!$D$2:$D$406,"Not found")</f>
        <v>IL</v>
      </c>
      <c r="D774" s="36" t="str">
        <f t="array" ref="D774">_xlfn.XLOOKUP($A774,TRIM(SUBSTITUTE('worker file'!$A$2:$A$406,_xlfn.UNICHAR(160)," ")),'worker file'!$Q$2:$Q$406,"Not found")</f>
        <v>Active</v>
      </c>
      <c r="E774" s="35" t="s">
        <v>632</v>
      </c>
      <c r="F774" t="str">
        <f t="shared" si="85"/>
        <v>Dental – Employee</v>
      </c>
      <c r="G774" t="str">
        <f t="shared" si="86"/>
        <v>Pre-tax Section 125 (exempt from FIT/SIT/FICA)</v>
      </c>
      <c r="H774" t="str">
        <f t="shared" si="87"/>
        <v>Flat</v>
      </c>
      <c r="I774" s="40" t="str">
        <f>IF($H774="Percent",_xlfn.XLOOKUP($E774,$A$5:$A$8,$F$5:$F$8,""),"")</f>
        <v/>
      </c>
      <c r="J774" s="38">
        <f t="shared" si="88"/>
        <v>44</v>
      </c>
      <c r="K774" t="str">
        <f t="shared" si="89"/>
        <v>Per pay period</v>
      </c>
      <c r="L774" t="str">
        <f t="shared" si="90"/>
        <v>Every pay period (ongoing)</v>
      </c>
      <c r="M774" s="39">
        <f t="array" ref="M774">MAX(_xlfn.XLOOKUP($A774,TRIM(SUBSTITUTE('worker file'!$A$2:$A$406,_xlfn.UNICHAR(160)," ")),'worker file'!$M$2:$M$406,0),_xlfn.XLOOKUP($B774,TRIM('pay group &amp; schedule'!$A$2:$A$6),'pay group &amp; schedule'!$D$2:$D$6,0))</f>
        <v>46311</v>
      </c>
      <c r="N774" s="39" t="str">
        <f t="array" ref="N774">_xlfn.LET(_xlpm.t,_xlfn.XLOOKUP($A774,TRIM(SUBSTITUTE('worker file'!$A$2:$A$406,_xlfn.UNICHAR(160)," ")),'worker file'!$N$2:$N$406,""),IF(N(_xlpm.t)=0,"",_xlpm.t))</f>
        <v/>
      </c>
    </row>
    <row r="775" spans="1:14" x14ac:dyDescent="0.2">
      <c r="A775" s="35" t="s">
        <v>364</v>
      </c>
      <c r="B775" s="36" t="str">
        <f t="array" ref="B775">_xlfn.XLOOKUP($A775,TRIM(SUBSTITUTE('worker file'!$A$2:$A$406,_xlfn.UNICHAR(160)," ")),'worker file'!$L$2:$L$406,"Not found")</f>
        <v>US Semi-monthly</v>
      </c>
      <c r="C775" s="36" t="str">
        <f t="array" ref="C775">_xlfn.XLOOKUP($A775,TRIM(SUBSTITUTE('worker file'!$A$2:$A$406,_xlfn.UNICHAR(160)," ")),'worker file'!$D$2:$D$406,"Not found")</f>
        <v>IL</v>
      </c>
      <c r="D775" s="36" t="str">
        <f t="array" ref="D775">_xlfn.XLOOKUP($A775,TRIM(SUBSTITUTE('worker file'!$A$2:$A$406,_xlfn.UNICHAR(160)," ")),'worker file'!$Q$2:$Q$406,"Not found")</f>
        <v>Active</v>
      </c>
      <c r="E775" s="35" t="s">
        <v>634</v>
      </c>
      <c r="F775" t="str">
        <f t="shared" si="85"/>
        <v>Vision – Employee</v>
      </c>
      <c r="G775" t="str">
        <f t="shared" si="86"/>
        <v>Pre-tax Section 125 (exempt from FIT/SIT/FICA)</v>
      </c>
      <c r="H775" t="str">
        <f t="shared" si="87"/>
        <v>Flat</v>
      </c>
      <c r="I775" s="40" t="str">
        <f>IF($H775="Percent",_xlfn.XLOOKUP($E775,$A$5:$A$8,$F$5:$F$8,""),"")</f>
        <v/>
      </c>
      <c r="J775" s="38">
        <f t="shared" si="88"/>
        <v>30</v>
      </c>
      <c r="K775" t="str">
        <f t="shared" si="89"/>
        <v>Per pay period</v>
      </c>
      <c r="L775" t="str">
        <f t="shared" si="90"/>
        <v>Every pay period (ongoing)</v>
      </c>
      <c r="M775" s="39">
        <f t="array" ref="M775">MAX(_xlfn.XLOOKUP($A775,TRIM(SUBSTITUTE('worker file'!$A$2:$A$406,_xlfn.UNICHAR(160)," ")),'worker file'!$M$2:$M$406,0),_xlfn.XLOOKUP($B775,TRIM('pay group &amp; schedule'!$A$2:$A$6),'pay group &amp; schedule'!$D$2:$D$6,0))</f>
        <v>46311</v>
      </c>
      <c r="N775" s="39" t="str">
        <f t="array" ref="N775">_xlfn.LET(_xlpm.t,_xlfn.XLOOKUP($A775,TRIM(SUBSTITUTE('worker file'!$A$2:$A$406,_xlfn.UNICHAR(160)," ")),'worker file'!$N$2:$N$406,""),IF(N(_xlpm.t)=0,"",_xlpm.t))</f>
        <v/>
      </c>
    </row>
    <row r="776" spans="1:14" x14ac:dyDescent="0.2">
      <c r="A776" s="35" t="s">
        <v>367</v>
      </c>
      <c r="B776" s="36" t="str">
        <f t="array" ref="B776">_xlfn.XLOOKUP($A776,TRIM(SUBSTITUTE('worker file'!$A$2:$A$406,_xlfn.UNICHAR(160)," ")),'worker file'!$L$2:$L$406,"Not found")</f>
        <v>US Semi-monthly</v>
      </c>
      <c r="C776" s="36" t="str">
        <f t="array" ref="C776">_xlfn.XLOOKUP($A776,TRIM(SUBSTITUTE('worker file'!$A$2:$A$406,_xlfn.UNICHAR(160)," ")),'worker file'!$D$2:$D$406,"Not found")</f>
        <v>CA</v>
      </c>
      <c r="D776" s="36" t="str">
        <f t="array" ref="D776">_xlfn.XLOOKUP($A776,TRIM(SUBSTITUTE('worker file'!$A$2:$A$406,_xlfn.UNICHAR(160)," ")),'worker file'!$Q$2:$Q$406,"Not found")</f>
        <v>Active</v>
      </c>
      <c r="E776" s="35" t="s">
        <v>618</v>
      </c>
      <c r="F776" t="str">
        <f t="shared" si="85"/>
        <v>401(k) Employee Deferral</v>
      </c>
      <c r="G776" t="str">
        <f t="shared" si="86"/>
        <v>Pre-tax (exempt from FIT/SIT; subject to FICA)</v>
      </c>
      <c r="H776" t="str">
        <f t="shared" si="87"/>
        <v>Percent</v>
      </c>
      <c r="I776" s="37">
        <v>7.0000000000000007E-2</v>
      </c>
      <c r="J776" s="38" t="str">
        <f t="shared" si="88"/>
        <v/>
      </c>
      <c r="K776" t="str">
        <f t="shared" si="89"/>
        <v>Gross pay</v>
      </c>
      <c r="L776" t="str">
        <f t="shared" si="90"/>
        <v>Every pay period (ongoing)</v>
      </c>
      <c r="M776" s="39">
        <f t="array" ref="M776">MAX(_xlfn.XLOOKUP($A776,TRIM(SUBSTITUTE('worker file'!$A$2:$A$406,_xlfn.UNICHAR(160)," ")),'worker file'!$M$2:$M$406,0),_xlfn.XLOOKUP($B776,TRIM('pay group &amp; schedule'!$A$2:$A$6),'pay group &amp; schedule'!$D$2:$D$6,0))</f>
        <v>46311</v>
      </c>
      <c r="N776" s="39" t="str">
        <f t="array" ref="N776">_xlfn.LET(_xlpm.t,_xlfn.XLOOKUP($A776,TRIM(SUBSTITUTE('worker file'!$A$2:$A$406,_xlfn.UNICHAR(160)," ")),'worker file'!$N$2:$N$406,""),IF(N(_xlpm.t)=0,"",_xlpm.t))</f>
        <v/>
      </c>
    </row>
    <row r="777" spans="1:14" x14ac:dyDescent="0.2">
      <c r="A777" s="35" t="s">
        <v>367</v>
      </c>
      <c r="B777" s="36" t="str">
        <f t="array" ref="B777">_xlfn.XLOOKUP($A777,TRIM(SUBSTITUTE('worker file'!$A$2:$A$406,_xlfn.UNICHAR(160)," ")),'worker file'!$L$2:$L$406,"Not found")</f>
        <v>US Semi-monthly</v>
      </c>
      <c r="C777" s="36" t="str">
        <f t="array" ref="C777">_xlfn.XLOOKUP($A777,TRIM(SUBSTITUTE('worker file'!$A$2:$A$406,_xlfn.UNICHAR(160)," ")),'worker file'!$D$2:$D$406,"Not found")</f>
        <v>CA</v>
      </c>
      <c r="D777" s="36" t="str">
        <f t="array" ref="D777">_xlfn.XLOOKUP($A777,TRIM(SUBSTITUTE('worker file'!$A$2:$A$406,_xlfn.UNICHAR(160)," ")),'worker file'!$Q$2:$Q$406,"Not found")</f>
        <v>Active</v>
      </c>
      <c r="E777" s="35" t="s">
        <v>626</v>
      </c>
      <c r="F777" t="str">
        <f t="shared" si="85"/>
        <v>Medical (Health) – Employee</v>
      </c>
      <c r="G777" t="str">
        <f t="shared" si="86"/>
        <v>Pre-tax Section 125 (exempt from FIT/SIT/FICA)</v>
      </c>
      <c r="H777" t="str">
        <f t="shared" si="87"/>
        <v>Flat</v>
      </c>
      <c r="I777" s="40" t="str">
        <f>IF($H777="Percent",_xlfn.XLOOKUP($E777,$A$5:$A$8,$F$5:$F$8,""),"")</f>
        <v/>
      </c>
      <c r="J777" s="38">
        <f t="shared" si="88"/>
        <v>200</v>
      </c>
      <c r="K777" t="str">
        <f t="shared" si="89"/>
        <v>Per pay period</v>
      </c>
      <c r="L777" t="str">
        <f t="shared" si="90"/>
        <v>Every pay period (ongoing)</v>
      </c>
      <c r="M777" s="39">
        <f t="array" ref="M777">MAX(_xlfn.XLOOKUP($A777,TRIM(SUBSTITUTE('worker file'!$A$2:$A$406,_xlfn.UNICHAR(160)," ")),'worker file'!$M$2:$M$406,0),_xlfn.XLOOKUP($B777,TRIM('pay group &amp; schedule'!$A$2:$A$6),'pay group &amp; schedule'!$D$2:$D$6,0))</f>
        <v>46311</v>
      </c>
      <c r="N777" s="39" t="str">
        <f t="array" ref="N777">_xlfn.LET(_xlpm.t,_xlfn.XLOOKUP($A777,TRIM(SUBSTITUTE('worker file'!$A$2:$A$406,_xlfn.UNICHAR(160)," ")),'worker file'!$N$2:$N$406,""),IF(N(_xlpm.t)=0,"",_xlpm.t))</f>
        <v/>
      </c>
    </row>
    <row r="778" spans="1:14" x14ac:dyDescent="0.2">
      <c r="A778" s="35" t="s">
        <v>367</v>
      </c>
      <c r="B778" s="36" t="str">
        <f t="array" ref="B778">_xlfn.XLOOKUP($A778,TRIM(SUBSTITUTE('worker file'!$A$2:$A$406,_xlfn.UNICHAR(160)," ")),'worker file'!$L$2:$L$406,"Not found")</f>
        <v>US Semi-monthly</v>
      </c>
      <c r="C778" s="36" t="str">
        <f t="array" ref="C778">_xlfn.XLOOKUP($A778,TRIM(SUBSTITUTE('worker file'!$A$2:$A$406,_xlfn.UNICHAR(160)," ")),'worker file'!$D$2:$D$406,"Not found")</f>
        <v>CA</v>
      </c>
      <c r="D778" s="36" t="str">
        <f t="array" ref="D778">_xlfn.XLOOKUP($A778,TRIM(SUBSTITUTE('worker file'!$A$2:$A$406,_xlfn.UNICHAR(160)," ")),'worker file'!$Q$2:$Q$406,"Not found")</f>
        <v>Active</v>
      </c>
      <c r="E778" s="35" t="s">
        <v>632</v>
      </c>
      <c r="F778" t="str">
        <f t="shared" si="85"/>
        <v>Dental – Employee</v>
      </c>
      <c r="G778" t="str">
        <f t="shared" si="86"/>
        <v>Pre-tax Section 125 (exempt from FIT/SIT/FICA)</v>
      </c>
      <c r="H778" t="str">
        <f t="shared" si="87"/>
        <v>Flat</v>
      </c>
      <c r="I778" s="40" t="str">
        <f>IF($H778="Percent",_xlfn.XLOOKUP($E778,$A$5:$A$8,$F$5:$F$8,""),"")</f>
        <v/>
      </c>
      <c r="J778" s="38">
        <f t="shared" si="88"/>
        <v>44</v>
      </c>
      <c r="K778" t="str">
        <f t="shared" si="89"/>
        <v>Per pay period</v>
      </c>
      <c r="L778" t="str">
        <f t="shared" si="90"/>
        <v>Every pay period (ongoing)</v>
      </c>
      <c r="M778" s="39">
        <f t="array" ref="M778">MAX(_xlfn.XLOOKUP($A778,TRIM(SUBSTITUTE('worker file'!$A$2:$A$406,_xlfn.UNICHAR(160)," ")),'worker file'!$M$2:$M$406,0),_xlfn.XLOOKUP($B778,TRIM('pay group &amp; schedule'!$A$2:$A$6),'pay group &amp; schedule'!$D$2:$D$6,0))</f>
        <v>46311</v>
      </c>
      <c r="N778" s="39" t="str">
        <f t="array" ref="N778">_xlfn.LET(_xlpm.t,_xlfn.XLOOKUP($A778,TRIM(SUBSTITUTE('worker file'!$A$2:$A$406,_xlfn.UNICHAR(160)," ")),'worker file'!$N$2:$N$406,""),IF(N(_xlpm.t)=0,"",_xlpm.t))</f>
        <v/>
      </c>
    </row>
    <row r="779" spans="1:14" x14ac:dyDescent="0.2">
      <c r="A779" s="35" t="s">
        <v>367</v>
      </c>
      <c r="B779" s="36" t="str">
        <f t="array" ref="B779">_xlfn.XLOOKUP($A779,TRIM(SUBSTITUTE('worker file'!$A$2:$A$406,_xlfn.UNICHAR(160)," ")),'worker file'!$L$2:$L$406,"Not found")</f>
        <v>US Semi-monthly</v>
      </c>
      <c r="C779" s="36" t="str">
        <f t="array" ref="C779">_xlfn.XLOOKUP($A779,TRIM(SUBSTITUTE('worker file'!$A$2:$A$406,_xlfn.UNICHAR(160)," ")),'worker file'!$D$2:$D$406,"Not found")</f>
        <v>CA</v>
      </c>
      <c r="D779" s="36" t="str">
        <f t="array" ref="D779">_xlfn.XLOOKUP($A779,TRIM(SUBSTITUTE('worker file'!$A$2:$A$406,_xlfn.UNICHAR(160)," ")),'worker file'!$Q$2:$Q$406,"Not found")</f>
        <v>Active</v>
      </c>
      <c r="E779" s="35" t="s">
        <v>634</v>
      </c>
      <c r="F779" t="str">
        <f t="shared" si="85"/>
        <v>Vision – Employee</v>
      </c>
      <c r="G779" t="str">
        <f t="shared" si="86"/>
        <v>Pre-tax Section 125 (exempt from FIT/SIT/FICA)</v>
      </c>
      <c r="H779" t="str">
        <f t="shared" si="87"/>
        <v>Flat</v>
      </c>
      <c r="I779" s="40" t="str">
        <f>IF($H779="Percent",_xlfn.XLOOKUP($E779,$A$5:$A$8,$F$5:$F$8,""),"")</f>
        <v/>
      </c>
      <c r="J779" s="38">
        <f t="shared" si="88"/>
        <v>30</v>
      </c>
      <c r="K779" t="str">
        <f t="shared" si="89"/>
        <v>Per pay period</v>
      </c>
      <c r="L779" t="str">
        <f t="shared" si="90"/>
        <v>Every pay period (ongoing)</v>
      </c>
      <c r="M779" s="39">
        <f t="array" ref="M779">MAX(_xlfn.XLOOKUP($A779,TRIM(SUBSTITUTE('worker file'!$A$2:$A$406,_xlfn.UNICHAR(160)," ")),'worker file'!$M$2:$M$406,0),_xlfn.XLOOKUP($B779,TRIM('pay group &amp; schedule'!$A$2:$A$6),'pay group &amp; schedule'!$D$2:$D$6,0))</f>
        <v>46311</v>
      </c>
      <c r="N779" s="39" t="str">
        <f t="array" ref="N779">_xlfn.LET(_xlpm.t,_xlfn.XLOOKUP($A779,TRIM(SUBSTITUTE('worker file'!$A$2:$A$406,_xlfn.UNICHAR(160)," ")),'worker file'!$N$2:$N$406,""),IF(N(_xlpm.t)=0,"",_xlpm.t))</f>
        <v/>
      </c>
    </row>
    <row r="780" spans="1:14" x14ac:dyDescent="0.2">
      <c r="A780" s="35" t="s">
        <v>368</v>
      </c>
      <c r="B780" s="36" t="str">
        <f t="array" ref="B780">_xlfn.XLOOKUP($A780,TRIM(SUBSTITUTE('worker file'!$A$2:$A$406,_xlfn.UNICHAR(160)," ")),'worker file'!$L$2:$L$406,"Not found")</f>
        <v>US Semi-monthly</v>
      </c>
      <c r="C780" s="36" t="str">
        <f t="array" ref="C780">_xlfn.XLOOKUP($A780,TRIM(SUBSTITUTE('worker file'!$A$2:$A$406,_xlfn.UNICHAR(160)," ")),'worker file'!$D$2:$D$406,"Not found")</f>
        <v>CA</v>
      </c>
      <c r="D780" s="36" t="str">
        <f t="array" ref="D780">_xlfn.XLOOKUP($A780,TRIM(SUBSTITUTE('worker file'!$A$2:$A$406,_xlfn.UNICHAR(160)," ")),'worker file'!$Q$2:$Q$406,"Not found")</f>
        <v>Active</v>
      </c>
      <c r="E780" s="35" t="s">
        <v>618</v>
      </c>
      <c r="F780" t="str">
        <f t="shared" ref="F780:F843" si="92">_xlfn.XLOOKUP($E780,$A$5:$A$8,$B$5:$B$8,"")</f>
        <v>401(k) Employee Deferral</v>
      </c>
      <c r="G780" t="str">
        <f t="shared" ref="G780:G843" si="93">_xlfn.XLOOKUP($E780,$A$5:$A$8,$D$5:$D$8,"")</f>
        <v>Pre-tax (exempt from FIT/SIT; subject to FICA)</v>
      </c>
      <c r="H780" t="str">
        <f t="shared" ref="H780:H843" si="94">_xlfn.XLOOKUP($E780,$A$5:$A$8,$E$5:$E$8,"")</f>
        <v>Percent</v>
      </c>
      <c r="I780" s="37">
        <v>0.04</v>
      </c>
      <c r="J780" s="38" t="str">
        <f t="shared" ref="J780:J843" si="95">IF($H780="Flat",_xlfn.XLOOKUP($E780,$A$5:$A$8,$F$5:$F$8,""),"")</f>
        <v/>
      </c>
      <c r="K780" t="str">
        <f t="shared" ref="K780:K843" si="96">_xlfn.XLOOKUP($E780,$A$5:$A$8,$G$5:$G$8,"")</f>
        <v>Gross pay</v>
      </c>
      <c r="L780" t="str">
        <f t="shared" ref="L780:L843" si="97">_xlfn.XLOOKUP($E780,$A$5:$A$8,$H$5:$H$8,"")</f>
        <v>Every pay period (ongoing)</v>
      </c>
      <c r="M780" s="39">
        <f t="array" ref="M780">MAX(_xlfn.XLOOKUP($A780,TRIM(SUBSTITUTE('worker file'!$A$2:$A$406,_xlfn.UNICHAR(160)," ")),'worker file'!$M$2:$M$406,0),_xlfn.XLOOKUP($B780,TRIM('pay group &amp; schedule'!$A$2:$A$6),'pay group &amp; schedule'!$D$2:$D$6,0))</f>
        <v>46311</v>
      </c>
      <c r="N780" s="39" t="str">
        <f t="array" ref="N780">_xlfn.LET(_xlpm.t,_xlfn.XLOOKUP($A780,TRIM(SUBSTITUTE('worker file'!$A$2:$A$406,_xlfn.UNICHAR(160)," ")),'worker file'!$N$2:$N$406,""),IF(N(_xlpm.t)=0,"",_xlpm.t))</f>
        <v/>
      </c>
    </row>
    <row r="781" spans="1:14" x14ac:dyDescent="0.2">
      <c r="A781" s="35" t="s">
        <v>368</v>
      </c>
      <c r="B781" s="36" t="str">
        <f t="array" ref="B781">_xlfn.XLOOKUP($A781,TRIM(SUBSTITUTE('worker file'!$A$2:$A$406,_xlfn.UNICHAR(160)," ")),'worker file'!$L$2:$L$406,"Not found")</f>
        <v>US Semi-monthly</v>
      </c>
      <c r="C781" s="36" t="str">
        <f t="array" ref="C781">_xlfn.XLOOKUP($A781,TRIM(SUBSTITUTE('worker file'!$A$2:$A$406,_xlfn.UNICHAR(160)," ")),'worker file'!$D$2:$D$406,"Not found")</f>
        <v>CA</v>
      </c>
      <c r="D781" s="36" t="str">
        <f t="array" ref="D781">_xlfn.XLOOKUP($A781,TRIM(SUBSTITUTE('worker file'!$A$2:$A$406,_xlfn.UNICHAR(160)," ")),'worker file'!$Q$2:$Q$406,"Not found")</f>
        <v>Active</v>
      </c>
      <c r="E781" s="35" t="s">
        <v>626</v>
      </c>
      <c r="F781" t="str">
        <f t="shared" si="92"/>
        <v>Medical (Health) – Employee</v>
      </c>
      <c r="G781" t="str">
        <f t="shared" si="93"/>
        <v>Pre-tax Section 125 (exempt from FIT/SIT/FICA)</v>
      </c>
      <c r="H781" t="str">
        <f t="shared" si="94"/>
        <v>Flat</v>
      </c>
      <c r="I781" s="40" t="str">
        <f>IF($H781="Percent",_xlfn.XLOOKUP($E781,$A$5:$A$8,$F$5:$F$8,""),"")</f>
        <v/>
      </c>
      <c r="J781" s="38">
        <f t="shared" si="95"/>
        <v>200</v>
      </c>
      <c r="K781" t="str">
        <f t="shared" si="96"/>
        <v>Per pay period</v>
      </c>
      <c r="L781" t="str">
        <f t="shared" si="97"/>
        <v>Every pay period (ongoing)</v>
      </c>
      <c r="M781" s="39">
        <f t="array" ref="M781">MAX(_xlfn.XLOOKUP($A781,TRIM(SUBSTITUTE('worker file'!$A$2:$A$406,_xlfn.UNICHAR(160)," ")),'worker file'!$M$2:$M$406,0),_xlfn.XLOOKUP($B781,TRIM('pay group &amp; schedule'!$A$2:$A$6),'pay group &amp; schedule'!$D$2:$D$6,0))</f>
        <v>46311</v>
      </c>
      <c r="N781" s="39" t="str">
        <f t="array" ref="N781">_xlfn.LET(_xlpm.t,_xlfn.XLOOKUP($A781,TRIM(SUBSTITUTE('worker file'!$A$2:$A$406,_xlfn.UNICHAR(160)," ")),'worker file'!$N$2:$N$406,""),IF(N(_xlpm.t)=0,"",_xlpm.t))</f>
        <v/>
      </c>
    </row>
    <row r="782" spans="1:14" x14ac:dyDescent="0.2">
      <c r="A782" s="35" t="s">
        <v>368</v>
      </c>
      <c r="B782" s="36" t="str">
        <f t="array" ref="B782">_xlfn.XLOOKUP($A782,TRIM(SUBSTITUTE('worker file'!$A$2:$A$406,_xlfn.UNICHAR(160)," ")),'worker file'!$L$2:$L$406,"Not found")</f>
        <v>US Semi-monthly</v>
      </c>
      <c r="C782" s="36" t="str">
        <f t="array" ref="C782">_xlfn.XLOOKUP($A782,TRIM(SUBSTITUTE('worker file'!$A$2:$A$406,_xlfn.UNICHAR(160)," ")),'worker file'!$D$2:$D$406,"Not found")</f>
        <v>CA</v>
      </c>
      <c r="D782" s="36" t="str">
        <f t="array" ref="D782">_xlfn.XLOOKUP($A782,TRIM(SUBSTITUTE('worker file'!$A$2:$A$406,_xlfn.UNICHAR(160)," ")),'worker file'!$Q$2:$Q$406,"Not found")</f>
        <v>Active</v>
      </c>
      <c r="E782" s="35" t="s">
        <v>632</v>
      </c>
      <c r="F782" t="str">
        <f t="shared" si="92"/>
        <v>Dental – Employee</v>
      </c>
      <c r="G782" t="str">
        <f t="shared" si="93"/>
        <v>Pre-tax Section 125 (exempt from FIT/SIT/FICA)</v>
      </c>
      <c r="H782" t="str">
        <f t="shared" si="94"/>
        <v>Flat</v>
      </c>
      <c r="I782" s="40" t="str">
        <f>IF($H782="Percent",_xlfn.XLOOKUP($E782,$A$5:$A$8,$F$5:$F$8,""),"")</f>
        <v/>
      </c>
      <c r="J782" s="38">
        <f t="shared" si="95"/>
        <v>44</v>
      </c>
      <c r="K782" t="str">
        <f t="shared" si="96"/>
        <v>Per pay period</v>
      </c>
      <c r="L782" t="str">
        <f t="shared" si="97"/>
        <v>Every pay period (ongoing)</v>
      </c>
      <c r="M782" s="39">
        <f t="array" ref="M782">MAX(_xlfn.XLOOKUP($A782,TRIM(SUBSTITUTE('worker file'!$A$2:$A$406,_xlfn.UNICHAR(160)," ")),'worker file'!$M$2:$M$406,0),_xlfn.XLOOKUP($B782,TRIM('pay group &amp; schedule'!$A$2:$A$6),'pay group &amp; schedule'!$D$2:$D$6,0))</f>
        <v>46311</v>
      </c>
      <c r="N782" s="39" t="str">
        <f t="array" ref="N782">_xlfn.LET(_xlpm.t,_xlfn.XLOOKUP($A782,TRIM(SUBSTITUTE('worker file'!$A$2:$A$406,_xlfn.UNICHAR(160)," ")),'worker file'!$N$2:$N$406,""),IF(N(_xlpm.t)=0,"",_xlpm.t))</f>
        <v/>
      </c>
    </row>
    <row r="783" spans="1:14" x14ac:dyDescent="0.2">
      <c r="A783" s="35" t="s">
        <v>368</v>
      </c>
      <c r="B783" s="36" t="str">
        <f t="array" ref="B783">_xlfn.XLOOKUP($A783,TRIM(SUBSTITUTE('worker file'!$A$2:$A$406,_xlfn.UNICHAR(160)," ")),'worker file'!$L$2:$L$406,"Not found")</f>
        <v>US Semi-monthly</v>
      </c>
      <c r="C783" s="36" t="str">
        <f t="array" ref="C783">_xlfn.XLOOKUP($A783,TRIM(SUBSTITUTE('worker file'!$A$2:$A$406,_xlfn.UNICHAR(160)," ")),'worker file'!$D$2:$D$406,"Not found")</f>
        <v>CA</v>
      </c>
      <c r="D783" s="36" t="str">
        <f t="array" ref="D783">_xlfn.XLOOKUP($A783,TRIM(SUBSTITUTE('worker file'!$A$2:$A$406,_xlfn.UNICHAR(160)," ")),'worker file'!$Q$2:$Q$406,"Not found")</f>
        <v>Active</v>
      </c>
      <c r="E783" s="35" t="s">
        <v>634</v>
      </c>
      <c r="F783" t="str">
        <f t="shared" si="92"/>
        <v>Vision – Employee</v>
      </c>
      <c r="G783" t="str">
        <f t="shared" si="93"/>
        <v>Pre-tax Section 125 (exempt from FIT/SIT/FICA)</v>
      </c>
      <c r="H783" t="str">
        <f t="shared" si="94"/>
        <v>Flat</v>
      </c>
      <c r="I783" s="40" t="str">
        <f>IF($H783="Percent",_xlfn.XLOOKUP($E783,$A$5:$A$8,$F$5:$F$8,""),"")</f>
        <v/>
      </c>
      <c r="J783" s="38">
        <f t="shared" si="95"/>
        <v>30</v>
      </c>
      <c r="K783" t="str">
        <f t="shared" si="96"/>
        <v>Per pay period</v>
      </c>
      <c r="L783" t="str">
        <f t="shared" si="97"/>
        <v>Every pay period (ongoing)</v>
      </c>
      <c r="M783" s="39">
        <f t="array" ref="M783">MAX(_xlfn.XLOOKUP($A783,TRIM(SUBSTITUTE('worker file'!$A$2:$A$406,_xlfn.UNICHAR(160)," ")),'worker file'!$M$2:$M$406,0),_xlfn.XLOOKUP($B783,TRIM('pay group &amp; schedule'!$A$2:$A$6),'pay group &amp; schedule'!$D$2:$D$6,0))</f>
        <v>46311</v>
      </c>
      <c r="N783" s="39" t="str">
        <f t="array" ref="N783">_xlfn.LET(_xlpm.t,_xlfn.XLOOKUP($A783,TRIM(SUBSTITUTE('worker file'!$A$2:$A$406,_xlfn.UNICHAR(160)," ")),'worker file'!$N$2:$N$406,""),IF(N(_xlpm.t)=0,"",_xlpm.t))</f>
        <v/>
      </c>
    </row>
    <row r="784" spans="1:14" x14ac:dyDescent="0.2">
      <c r="A784" s="35" t="s">
        <v>370</v>
      </c>
      <c r="B784" s="36" t="str">
        <f t="array" ref="B784">_xlfn.XLOOKUP($A784,TRIM(SUBSTITUTE('worker file'!$A$2:$A$406,_xlfn.UNICHAR(160)," ")),'worker file'!$L$2:$L$406,"Not found")</f>
        <v>US Semi-monthly</v>
      </c>
      <c r="C784" s="36" t="str">
        <f t="array" ref="C784">_xlfn.XLOOKUP($A784,TRIM(SUBSTITUTE('worker file'!$A$2:$A$406,_xlfn.UNICHAR(160)," ")),'worker file'!$D$2:$D$406,"Not found")</f>
        <v>WA</v>
      </c>
      <c r="D784" s="36" t="str">
        <f t="array" ref="D784">_xlfn.XLOOKUP($A784,TRIM(SUBSTITUTE('worker file'!$A$2:$A$406,_xlfn.UNICHAR(160)," ")),'worker file'!$Q$2:$Q$406,"Not found")</f>
        <v>Active</v>
      </c>
      <c r="E784" s="35" t="s">
        <v>618</v>
      </c>
      <c r="F784" t="str">
        <f t="shared" si="92"/>
        <v>401(k) Employee Deferral</v>
      </c>
      <c r="G784" t="str">
        <f t="shared" si="93"/>
        <v>Pre-tax (exempt from FIT/SIT; subject to FICA)</v>
      </c>
      <c r="H784" t="str">
        <f t="shared" si="94"/>
        <v>Percent</v>
      </c>
      <c r="I784" s="37">
        <v>0.01</v>
      </c>
      <c r="J784" s="38" t="str">
        <f t="shared" si="95"/>
        <v/>
      </c>
      <c r="K784" t="str">
        <f t="shared" si="96"/>
        <v>Gross pay</v>
      </c>
      <c r="L784" t="str">
        <f t="shared" si="97"/>
        <v>Every pay period (ongoing)</v>
      </c>
      <c r="M784" s="39">
        <f t="array" ref="M784">MAX(_xlfn.XLOOKUP($A784,TRIM(SUBSTITUTE('worker file'!$A$2:$A$406,_xlfn.UNICHAR(160)," ")),'worker file'!$M$2:$M$406,0),_xlfn.XLOOKUP($B784,TRIM('pay group &amp; schedule'!$A$2:$A$6),'pay group &amp; schedule'!$D$2:$D$6,0))</f>
        <v>46311</v>
      </c>
      <c r="N784" s="39" t="str">
        <f t="array" ref="N784">_xlfn.LET(_xlpm.t,_xlfn.XLOOKUP($A784,TRIM(SUBSTITUTE('worker file'!$A$2:$A$406,_xlfn.UNICHAR(160)," ")),'worker file'!$N$2:$N$406,""),IF(N(_xlpm.t)=0,"",_xlpm.t))</f>
        <v/>
      </c>
    </row>
    <row r="785" spans="1:14" x14ac:dyDescent="0.2">
      <c r="A785" s="35" t="s">
        <v>370</v>
      </c>
      <c r="B785" s="36" t="str">
        <f t="array" ref="B785">_xlfn.XLOOKUP($A785,TRIM(SUBSTITUTE('worker file'!$A$2:$A$406,_xlfn.UNICHAR(160)," ")),'worker file'!$L$2:$L$406,"Not found")</f>
        <v>US Semi-monthly</v>
      </c>
      <c r="C785" s="36" t="str">
        <f t="array" ref="C785">_xlfn.XLOOKUP($A785,TRIM(SUBSTITUTE('worker file'!$A$2:$A$406,_xlfn.UNICHAR(160)," ")),'worker file'!$D$2:$D$406,"Not found")</f>
        <v>WA</v>
      </c>
      <c r="D785" s="36" t="str">
        <f t="array" ref="D785">_xlfn.XLOOKUP($A785,TRIM(SUBSTITUTE('worker file'!$A$2:$A$406,_xlfn.UNICHAR(160)," ")),'worker file'!$Q$2:$Q$406,"Not found")</f>
        <v>Active</v>
      </c>
      <c r="E785" s="35" t="s">
        <v>626</v>
      </c>
      <c r="F785" t="str">
        <f t="shared" si="92"/>
        <v>Medical (Health) – Employee</v>
      </c>
      <c r="G785" t="str">
        <f t="shared" si="93"/>
        <v>Pre-tax Section 125 (exempt from FIT/SIT/FICA)</v>
      </c>
      <c r="H785" t="str">
        <f t="shared" si="94"/>
        <v>Flat</v>
      </c>
      <c r="I785" s="40" t="str">
        <f>IF($H785="Percent",_xlfn.XLOOKUP($E785,$A$5:$A$8,$F$5:$F$8,""),"")</f>
        <v/>
      </c>
      <c r="J785" s="38">
        <f t="shared" si="95"/>
        <v>200</v>
      </c>
      <c r="K785" t="str">
        <f t="shared" si="96"/>
        <v>Per pay period</v>
      </c>
      <c r="L785" t="str">
        <f t="shared" si="97"/>
        <v>Every pay period (ongoing)</v>
      </c>
      <c r="M785" s="39">
        <f t="array" ref="M785">MAX(_xlfn.XLOOKUP($A785,TRIM(SUBSTITUTE('worker file'!$A$2:$A$406,_xlfn.UNICHAR(160)," ")),'worker file'!$M$2:$M$406,0),_xlfn.XLOOKUP($B785,TRIM('pay group &amp; schedule'!$A$2:$A$6),'pay group &amp; schedule'!$D$2:$D$6,0))</f>
        <v>46311</v>
      </c>
      <c r="N785" s="39" t="str">
        <f t="array" ref="N785">_xlfn.LET(_xlpm.t,_xlfn.XLOOKUP($A785,TRIM(SUBSTITUTE('worker file'!$A$2:$A$406,_xlfn.UNICHAR(160)," ")),'worker file'!$N$2:$N$406,""),IF(N(_xlpm.t)=0,"",_xlpm.t))</f>
        <v/>
      </c>
    </row>
    <row r="786" spans="1:14" x14ac:dyDescent="0.2">
      <c r="A786" s="35" t="s">
        <v>370</v>
      </c>
      <c r="B786" s="36" t="str">
        <f t="array" ref="B786">_xlfn.XLOOKUP($A786,TRIM(SUBSTITUTE('worker file'!$A$2:$A$406,_xlfn.UNICHAR(160)," ")),'worker file'!$L$2:$L$406,"Not found")</f>
        <v>US Semi-monthly</v>
      </c>
      <c r="C786" s="36" t="str">
        <f t="array" ref="C786">_xlfn.XLOOKUP($A786,TRIM(SUBSTITUTE('worker file'!$A$2:$A$406,_xlfn.UNICHAR(160)," ")),'worker file'!$D$2:$D$406,"Not found")</f>
        <v>WA</v>
      </c>
      <c r="D786" s="36" t="str">
        <f t="array" ref="D786">_xlfn.XLOOKUP($A786,TRIM(SUBSTITUTE('worker file'!$A$2:$A$406,_xlfn.UNICHAR(160)," ")),'worker file'!$Q$2:$Q$406,"Not found")</f>
        <v>Active</v>
      </c>
      <c r="E786" s="35" t="s">
        <v>632</v>
      </c>
      <c r="F786" t="str">
        <f t="shared" si="92"/>
        <v>Dental – Employee</v>
      </c>
      <c r="G786" t="str">
        <f t="shared" si="93"/>
        <v>Pre-tax Section 125 (exempt from FIT/SIT/FICA)</v>
      </c>
      <c r="H786" t="str">
        <f t="shared" si="94"/>
        <v>Flat</v>
      </c>
      <c r="I786" s="40" t="str">
        <f>IF($H786="Percent",_xlfn.XLOOKUP($E786,$A$5:$A$8,$F$5:$F$8,""),"")</f>
        <v/>
      </c>
      <c r="J786" s="38">
        <f t="shared" si="95"/>
        <v>44</v>
      </c>
      <c r="K786" t="str">
        <f t="shared" si="96"/>
        <v>Per pay period</v>
      </c>
      <c r="L786" t="str">
        <f t="shared" si="97"/>
        <v>Every pay period (ongoing)</v>
      </c>
      <c r="M786" s="39">
        <f t="array" ref="M786">MAX(_xlfn.XLOOKUP($A786,TRIM(SUBSTITUTE('worker file'!$A$2:$A$406,_xlfn.UNICHAR(160)," ")),'worker file'!$M$2:$M$406,0),_xlfn.XLOOKUP($B786,TRIM('pay group &amp; schedule'!$A$2:$A$6),'pay group &amp; schedule'!$D$2:$D$6,0))</f>
        <v>46311</v>
      </c>
      <c r="N786" s="39" t="str">
        <f t="array" ref="N786">_xlfn.LET(_xlpm.t,_xlfn.XLOOKUP($A786,TRIM(SUBSTITUTE('worker file'!$A$2:$A$406,_xlfn.UNICHAR(160)," ")),'worker file'!$N$2:$N$406,""),IF(N(_xlpm.t)=0,"",_xlpm.t))</f>
        <v/>
      </c>
    </row>
    <row r="787" spans="1:14" x14ac:dyDescent="0.2">
      <c r="A787" s="35" t="s">
        <v>370</v>
      </c>
      <c r="B787" s="36" t="str">
        <f t="array" ref="B787">_xlfn.XLOOKUP($A787,TRIM(SUBSTITUTE('worker file'!$A$2:$A$406,_xlfn.UNICHAR(160)," ")),'worker file'!$L$2:$L$406,"Not found")</f>
        <v>US Semi-monthly</v>
      </c>
      <c r="C787" s="36" t="str">
        <f t="array" ref="C787">_xlfn.XLOOKUP($A787,TRIM(SUBSTITUTE('worker file'!$A$2:$A$406,_xlfn.UNICHAR(160)," ")),'worker file'!$D$2:$D$406,"Not found")</f>
        <v>WA</v>
      </c>
      <c r="D787" s="36" t="str">
        <f t="array" ref="D787">_xlfn.XLOOKUP($A787,TRIM(SUBSTITUTE('worker file'!$A$2:$A$406,_xlfn.UNICHAR(160)," ")),'worker file'!$Q$2:$Q$406,"Not found")</f>
        <v>Active</v>
      </c>
      <c r="E787" s="35" t="s">
        <v>634</v>
      </c>
      <c r="F787" t="str">
        <f t="shared" si="92"/>
        <v>Vision – Employee</v>
      </c>
      <c r="G787" t="str">
        <f t="shared" si="93"/>
        <v>Pre-tax Section 125 (exempt from FIT/SIT/FICA)</v>
      </c>
      <c r="H787" t="str">
        <f t="shared" si="94"/>
        <v>Flat</v>
      </c>
      <c r="I787" s="40" t="str">
        <f>IF($H787="Percent",_xlfn.XLOOKUP($E787,$A$5:$A$8,$F$5:$F$8,""),"")</f>
        <v/>
      </c>
      <c r="J787" s="38">
        <f t="shared" si="95"/>
        <v>30</v>
      </c>
      <c r="K787" t="str">
        <f t="shared" si="96"/>
        <v>Per pay period</v>
      </c>
      <c r="L787" t="str">
        <f t="shared" si="97"/>
        <v>Every pay period (ongoing)</v>
      </c>
      <c r="M787" s="39">
        <f t="array" ref="M787">MAX(_xlfn.XLOOKUP($A787,TRIM(SUBSTITUTE('worker file'!$A$2:$A$406,_xlfn.UNICHAR(160)," ")),'worker file'!$M$2:$M$406,0),_xlfn.XLOOKUP($B787,TRIM('pay group &amp; schedule'!$A$2:$A$6),'pay group &amp; schedule'!$D$2:$D$6,0))</f>
        <v>46311</v>
      </c>
      <c r="N787" s="39" t="str">
        <f t="array" ref="N787">_xlfn.LET(_xlpm.t,_xlfn.XLOOKUP($A787,TRIM(SUBSTITUTE('worker file'!$A$2:$A$406,_xlfn.UNICHAR(160)," ")),'worker file'!$N$2:$N$406,""),IF(N(_xlpm.t)=0,"",_xlpm.t))</f>
        <v/>
      </c>
    </row>
    <row r="788" spans="1:14" x14ac:dyDescent="0.2">
      <c r="A788" s="35" t="s">
        <v>371</v>
      </c>
      <c r="B788" s="36" t="str">
        <f t="array" ref="B788">_xlfn.XLOOKUP($A788,TRIM(SUBSTITUTE('worker file'!$A$2:$A$406,_xlfn.UNICHAR(160)," ")),'worker file'!$L$2:$L$406,"Not found")</f>
        <v>US Semi-monthly</v>
      </c>
      <c r="C788" s="36" t="str">
        <f t="array" ref="C788">_xlfn.XLOOKUP($A788,TRIM(SUBSTITUTE('worker file'!$A$2:$A$406,_xlfn.UNICHAR(160)," ")),'worker file'!$D$2:$D$406,"Not found")</f>
        <v>WA</v>
      </c>
      <c r="D788" s="36" t="str">
        <f t="array" ref="D788">_xlfn.XLOOKUP($A788,TRIM(SUBSTITUTE('worker file'!$A$2:$A$406,_xlfn.UNICHAR(160)," ")),'worker file'!$Q$2:$Q$406,"Not found")</f>
        <v>Active</v>
      </c>
      <c r="E788" s="35" t="s">
        <v>618</v>
      </c>
      <c r="F788" t="str">
        <f t="shared" si="92"/>
        <v>401(k) Employee Deferral</v>
      </c>
      <c r="G788" t="str">
        <f t="shared" si="93"/>
        <v>Pre-tax (exempt from FIT/SIT; subject to FICA)</v>
      </c>
      <c r="H788" t="str">
        <f t="shared" si="94"/>
        <v>Percent</v>
      </c>
      <c r="I788" s="37">
        <v>0.06</v>
      </c>
      <c r="J788" s="38" t="str">
        <f t="shared" si="95"/>
        <v/>
      </c>
      <c r="K788" t="str">
        <f t="shared" si="96"/>
        <v>Gross pay</v>
      </c>
      <c r="L788" t="str">
        <f t="shared" si="97"/>
        <v>Every pay period (ongoing)</v>
      </c>
      <c r="M788" s="39">
        <f t="array" ref="M788">MAX(_xlfn.XLOOKUP($A788,TRIM(SUBSTITUTE('worker file'!$A$2:$A$406,_xlfn.UNICHAR(160)," ")),'worker file'!$M$2:$M$406,0),_xlfn.XLOOKUP($B788,TRIM('pay group &amp; schedule'!$A$2:$A$6),'pay group &amp; schedule'!$D$2:$D$6,0))</f>
        <v>46311</v>
      </c>
      <c r="N788" s="39" t="str">
        <f t="array" ref="N788">_xlfn.LET(_xlpm.t,_xlfn.XLOOKUP($A788,TRIM(SUBSTITUTE('worker file'!$A$2:$A$406,_xlfn.UNICHAR(160)," ")),'worker file'!$N$2:$N$406,""),IF(N(_xlpm.t)=0,"",_xlpm.t))</f>
        <v/>
      </c>
    </row>
    <row r="789" spans="1:14" x14ac:dyDescent="0.2">
      <c r="A789" s="35" t="s">
        <v>371</v>
      </c>
      <c r="B789" s="36" t="str">
        <f t="array" ref="B789">_xlfn.XLOOKUP($A789,TRIM(SUBSTITUTE('worker file'!$A$2:$A$406,_xlfn.UNICHAR(160)," ")),'worker file'!$L$2:$L$406,"Not found")</f>
        <v>US Semi-monthly</v>
      </c>
      <c r="C789" s="36" t="str">
        <f t="array" ref="C789">_xlfn.XLOOKUP($A789,TRIM(SUBSTITUTE('worker file'!$A$2:$A$406,_xlfn.UNICHAR(160)," ")),'worker file'!$D$2:$D$406,"Not found")</f>
        <v>WA</v>
      </c>
      <c r="D789" s="36" t="str">
        <f t="array" ref="D789">_xlfn.XLOOKUP($A789,TRIM(SUBSTITUTE('worker file'!$A$2:$A$406,_xlfn.UNICHAR(160)," ")),'worker file'!$Q$2:$Q$406,"Not found")</f>
        <v>Active</v>
      </c>
      <c r="E789" s="35" t="s">
        <v>626</v>
      </c>
      <c r="F789" t="str">
        <f t="shared" si="92"/>
        <v>Medical (Health) – Employee</v>
      </c>
      <c r="G789" t="str">
        <f t="shared" si="93"/>
        <v>Pre-tax Section 125 (exempt from FIT/SIT/FICA)</v>
      </c>
      <c r="H789" t="str">
        <f t="shared" si="94"/>
        <v>Flat</v>
      </c>
      <c r="I789" s="40" t="str">
        <f>IF($H789="Percent",_xlfn.XLOOKUP($E789,$A$5:$A$8,$F$5:$F$8,""),"")</f>
        <v/>
      </c>
      <c r="J789" s="38">
        <f t="shared" si="95"/>
        <v>200</v>
      </c>
      <c r="K789" t="str">
        <f t="shared" si="96"/>
        <v>Per pay period</v>
      </c>
      <c r="L789" t="str">
        <f t="shared" si="97"/>
        <v>Every pay period (ongoing)</v>
      </c>
      <c r="M789" s="39">
        <f t="array" ref="M789">MAX(_xlfn.XLOOKUP($A789,TRIM(SUBSTITUTE('worker file'!$A$2:$A$406,_xlfn.UNICHAR(160)," ")),'worker file'!$M$2:$M$406,0),_xlfn.XLOOKUP($B789,TRIM('pay group &amp; schedule'!$A$2:$A$6),'pay group &amp; schedule'!$D$2:$D$6,0))</f>
        <v>46311</v>
      </c>
      <c r="N789" s="39" t="str">
        <f t="array" ref="N789">_xlfn.LET(_xlpm.t,_xlfn.XLOOKUP($A789,TRIM(SUBSTITUTE('worker file'!$A$2:$A$406,_xlfn.UNICHAR(160)," ")),'worker file'!$N$2:$N$406,""),IF(N(_xlpm.t)=0,"",_xlpm.t))</f>
        <v/>
      </c>
    </row>
    <row r="790" spans="1:14" x14ac:dyDescent="0.2">
      <c r="A790" s="35" t="s">
        <v>371</v>
      </c>
      <c r="B790" s="36" t="str">
        <f t="array" ref="B790">_xlfn.XLOOKUP($A790,TRIM(SUBSTITUTE('worker file'!$A$2:$A$406,_xlfn.UNICHAR(160)," ")),'worker file'!$L$2:$L$406,"Not found")</f>
        <v>US Semi-monthly</v>
      </c>
      <c r="C790" s="36" t="str">
        <f t="array" ref="C790">_xlfn.XLOOKUP($A790,TRIM(SUBSTITUTE('worker file'!$A$2:$A$406,_xlfn.UNICHAR(160)," ")),'worker file'!$D$2:$D$406,"Not found")</f>
        <v>WA</v>
      </c>
      <c r="D790" s="36" t="str">
        <f t="array" ref="D790">_xlfn.XLOOKUP($A790,TRIM(SUBSTITUTE('worker file'!$A$2:$A$406,_xlfn.UNICHAR(160)," ")),'worker file'!$Q$2:$Q$406,"Not found")</f>
        <v>Active</v>
      </c>
      <c r="E790" s="35" t="s">
        <v>632</v>
      </c>
      <c r="F790" t="str">
        <f t="shared" si="92"/>
        <v>Dental – Employee</v>
      </c>
      <c r="G790" t="str">
        <f t="shared" si="93"/>
        <v>Pre-tax Section 125 (exempt from FIT/SIT/FICA)</v>
      </c>
      <c r="H790" t="str">
        <f t="shared" si="94"/>
        <v>Flat</v>
      </c>
      <c r="I790" s="40" t="str">
        <f>IF($H790="Percent",_xlfn.XLOOKUP($E790,$A$5:$A$8,$F$5:$F$8,""),"")</f>
        <v/>
      </c>
      <c r="J790" s="38">
        <f t="shared" si="95"/>
        <v>44</v>
      </c>
      <c r="K790" t="str">
        <f t="shared" si="96"/>
        <v>Per pay period</v>
      </c>
      <c r="L790" t="str">
        <f t="shared" si="97"/>
        <v>Every pay period (ongoing)</v>
      </c>
      <c r="M790" s="39">
        <f t="array" ref="M790">MAX(_xlfn.XLOOKUP($A790,TRIM(SUBSTITUTE('worker file'!$A$2:$A$406,_xlfn.UNICHAR(160)," ")),'worker file'!$M$2:$M$406,0),_xlfn.XLOOKUP($B790,TRIM('pay group &amp; schedule'!$A$2:$A$6),'pay group &amp; schedule'!$D$2:$D$6,0))</f>
        <v>46311</v>
      </c>
      <c r="N790" s="39" t="str">
        <f t="array" ref="N790">_xlfn.LET(_xlpm.t,_xlfn.XLOOKUP($A790,TRIM(SUBSTITUTE('worker file'!$A$2:$A$406,_xlfn.UNICHAR(160)," ")),'worker file'!$N$2:$N$406,""),IF(N(_xlpm.t)=0,"",_xlpm.t))</f>
        <v/>
      </c>
    </row>
    <row r="791" spans="1:14" x14ac:dyDescent="0.2">
      <c r="A791" s="35" t="s">
        <v>371</v>
      </c>
      <c r="B791" s="36" t="str">
        <f t="array" ref="B791">_xlfn.XLOOKUP($A791,TRIM(SUBSTITUTE('worker file'!$A$2:$A$406,_xlfn.UNICHAR(160)," ")),'worker file'!$L$2:$L$406,"Not found")</f>
        <v>US Semi-monthly</v>
      </c>
      <c r="C791" s="36" t="str">
        <f t="array" ref="C791">_xlfn.XLOOKUP($A791,TRIM(SUBSTITUTE('worker file'!$A$2:$A$406,_xlfn.UNICHAR(160)," ")),'worker file'!$D$2:$D$406,"Not found")</f>
        <v>WA</v>
      </c>
      <c r="D791" s="36" t="str">
        <f t="array" ref="D791">_xlfn.XLOOKUP($A791,TRIM(SUBSTITUTE('worker file'!$A$2:$A$406,_xlfn.UNICHAR(160)," ")),'worker file'!$Q$2:$Q$406,"Not found")</f>
        <v>Active</v>
      </c>
      <c r="E791" s="35" t="s">
        <v>634</v>
      </c>
      <c r="F791" t="str">
        <f t="shared" si="92"/>
        <v>Vision – Employee</v>
      </c>
      <c r="G791" t="str">
        <f t="shared" si="93"/>
        <v>Pre-tax Section 125 (exempt from FIT/SIT/FICA)</v>
      </c>
      <c r="H791" t="str">
        <f t="shared" si="94"/>
        <v>Flat</v>
      </c>
      <c r="I791" s="40" t="str">
        <f>IF($H791="Percent",_xlfn.XLOOKUP($E791,$A$5:$A$8,$F$5:$F$8,""),"")</f>
        <v/>
      </c>
      <c r="J791" s="38">
        <f t="shared" si="95"/>
        <v>30</v>
      </c>
      <c r="K791" t="str">
        <f t="shared" si="96"/>
        <v>Per pay period</v>
      </c>
      <c r="L791" t="str">
        <f t="shared" si="97"/>
        <v>Every pay period (ongoing)</v>
      </c>
      <c r="M791" s="39">
        <f t="array" ref="M791">MAX(_xlfn.XLOOKUP($A791,TRIM(SUBSTITUTE('worker file'!$A$2:$A$406,_xlfn.UNICHAR(160)," ")),'worker file'!$M$2:$M$406,0),_xlfn.XLOOKUP($B791,TRIM('pay group &amp; schedule'!$A$2:$A$6),'pay group &amp; schedule'!$D$2:$D$6,0))</f>
        <v>46311</v>
      </c>
      <c r="N791" s="39" t="str">
        <f t="array" ref="N791">_xlfn.LET(_xlpm.t,_xlfn.XLOOKUP($A791,TRIM(SUBSTITUTE('worker file'!$A$2:$A$406,_xlfn.UNICHAR(160)," ")),'worker file'!$N$2:$N$406,""),IF(N(_xlpm.t)=0,"",_xlpm.t))</f>
        <v/>
      </c>
    </row>
    <row r="792" spans="1:14" x14ac:dyDescent="0.2">
      <c r="A792" s="35" t="s">
        <v>372</v>
      </c>
      <c r="B792" s="36" t="str">
        <f t="array" ref="B792">_xlfn.XLOOKUP($A792,TRIM(SUBSTITUTE('worker file'!$A$2:$A$406,_xlfn.UNICHAR(160)," ")),'worker file'!$L$2:$L$406,"Not found")</f>
        <v>US Semi-monthly</v>
      </c>
      <c r="C792" s="36" t="str">
        <f t="array" ref="C792">_xlfn.XLOOKUP($A792,TRIM(SUBSTITUTE('worker file'!$A$2:$A$406,_xlfn.UNICHAR(160)," ")),'worker file'!$D$2:$D$406,"Not found")</f>
        <v>WA</v>
      </c>
      <c r="D792" s="36" t="str">
        <f t="array" ref="D792">_xlfn.XLOOKUP($A792,TRIM(SUBSTITUTE('worker file'!$A$2:$A$406,_xlfn.UNICHAR(160)," ")),'worker file'!$Q$2:$Q$406,"Not found")</f>
        <v>Active</v>
      </c>
      <c r="E792" s="35" t="s">
        <v>618</v>
      </c>
      <c r="F792" t="str">
        <f t="shared" si="92"/>
        <v>401(k) Employee Deferral</v>
      </c>
      <c r="G792" t="str">
        <f t="shared" si="93"/>
        <v>Pre-tax (exempt from FIT/SIT; subject to FICA)</v>
      </c>
      <c r="H792" t="str">
        <f t="shared" si="94"/>
        <v>Percent</v>
      </c>
      <c r="I792" s="37">
        <v>0.03</v>
      </c>
      <c r="J792" s="38" t="str">
        <f t="shared" si="95"/>
        <v/>
      </c>
      <c r="K792" t="str">
        <f t="shared" si="96"/>
        <v>Gross pay</v>
      </c>
      <c r="L792" t="str">
        <f t="shared" si="97"/>
        <v>Every pay period (ongoing)</v>
      </c>
      <c r="M792" s="39">
        <f t="array" ref="M792">MAX(_xlfn.XLOOKUP($A792,TRIM(SUBSTITUTE('worker file'!$A$2:$A$406,_xlfn.UNICHAR(160)," ")),'worker file'!$M$2:$M$406,0),_xlfn.XLOOKUP($B792,TRIM('pay group &amp; schedule'!$A$2:$A$6),'pay group &amp; schedule'!$D$2:$D$6,0))</f>
        <v>46311</v>
      </c>
      <c r="N792" s="39" t="str">
        <f t="array" ref="N792">_xlfn.LET(_xlpm.t,_xlfn.XLOOKUP($A792,TRIM(SUBSTITUTE('worker file'!$A$2:$A$406,_xlfn.UNICHAR(160)," ")),'worker file'!$N$2:$N$406,""),IF(N(_xlpm.t)=0,"",_xlpm.t))</f>
        <v/>
      </c>
    </row>
    <row r="793" spans="1:14" x14ac:dyDescent="0.2">
      <c r="A793" s="35" t="s">
        <v>372</v>
      </c>
      <c r="B793" s="36" t="str">
        <f t="array" ref="B793">_xlfn.XLOOKUP($A793,TRIM(SUBSTITUTE('worker file'!$A$2:$A$406,_xlfn.UNICHAR(160)," ")),'worker file'!$L$2:$L$406,"Not found")</f>
        <v>US Semi-monthly</v>
      </c>
      <c r="C793" s="36" t="str">
        <f t="array" ref="C793">_xlfn.XLOOKUP($A793,TRIM(SUBSTITUTE('worker file'!$A$2:$A$406,_xlfn.UNICHAR(160)," ")),'worker file'!$D$2:$D$406,"Not found")</f>
        <v>WA</v>
      </c>
      <c r="D793" s="36" t="str">
        <f t="array" ref="D793">_xlfn.XLOOKUP($A793,TRIM(SUBSTITUTE('worker file'!$A$2:$A$406,_xlfn.UNICHAR(160)," ")),'worker file'!$Q$2:$Q$406,"Not found")</f>
        <v>Active</v>
      </c>
      <c r="E793" s="35" t="s">
        <v>626</v>
      </c>
      <c r="F793" t="str">
        <f t="shared" si="92"/>
        <v>Medical (Health) – Employee</v>
      </c>
      <c r="G793" t="str">
        <f t="shared" si="93"/>
        <v>Pre-tax Section 125 (exempt from FIT/SIT/FICA)</v>
      </c>
      <c r="H793" t="str">
        <f t="shared" si="94"/>
        <v>Flat</v>
      </c>
      <c r="I793" s="40" t="str">
        <f t="shared" ref="I793:I798" si="98">IF($H793="Percent",_xlfn.XLOOKUP($E793,$A$5:$A$8,$F$5:$F$8,""),"")</f>
        <v/>
      </c>
      <c r="J793" s="38">
        <f t="shared" si="95"/>
        <v>200</v>
      </c>
      <c r="K793" t="str">
        <f t="shared" si="96"/>
        <v>Per pay period</v>
      </c>
      <c r="L793" t="str">
        <f t="shared" si="97"/>
        <v>Every pay period (ongoing)</v>
      </c>
      <c r="M793" s="39">
        <f t="array" ref="M793">MAX(_xlfn.XLOOKUP($A793,TRIM(SUBSTITUTE('worker file'!$A$2:$A$406,_xlfn.UNICHAR(160)," ")),'worker file'!$M$2:$M$406,0),_xlfn.XLOOKUP($B793,TRIM('pay group &amp; schedule'!$A$2:$A$6),'pay group &amp; schedule'!$D$2:$D$6,0))</f>
        <v>46311</v>
      </c>
      <c r="N793" s="39" t="str">
        <f t="array" ref="N793">_xlfn.LET(_xlpm.t,_xlfn.XLOOKUP($A793,TRIM(SUBSTITUTE('worker file'!$A$2:$A$406,_xlfn.UNICHAR(160)," ")),'worker file'!$N$2:$N$406,""),IF(N(_xlpm.t)=0,"",_xlpm.t))</f>
        <v/>
      </c>
    </row>
    <row r="794" spans="1:14" x14ac:dyDescent="0.2">
      <c r="A794" s="35" t="s">
        <v>372</v>
      </c>
      <c r="B794" s="36" t="str">
        <f t="array" ref="B794">_xlfn.XLOOKUP($A794,TRIM(SUBSTITUTE('worker file'!$A$2:$A$406,_xlfn.UNICHAR(160)," ")),'worker file'!$L$2:$L$406,"Not found")</f>
        <v>US Semi-monthly</v>
      </c>
      <c r="C794" s="36" t="str">
        <f t="array" ref="C794">_xlfn.XLOOKUP($A794,TRIM(SUBSTITUTE('worker file'!$A$2:$A$406,_xlfn.UNICHAR(160)," ")),'worker file'!$D$2:$D$406,"Not found")</f>
        <v>WA</v>
      </c>
      <c r="D794" s="36" t="str">
        <f t="array" ref="D794">_xlfn.XLOOKUP($A794,TRIM(SUBSTITUTE('worker file'!$A$2:$A$406,_xlfn.UNICHAR(160)," ")),'worker file'!$Q$2:$Q$406,"Not found")</f>
        <v>Active</v>
      </c>
      <c r="E794" s="35" t="s">
        <v>632</v>
      </c>
      <c r="F794" t="str">
        <f t="shared" si="92"/>
        <v>Dental – Employee</v>
      </c>
      <c r="G794" t="str">
        <f t="shared" si="93"/>
        <v>Pre-tax Section 125 (exempt from FIT/SIT/FICA)</v>
      </c>
      <c r="H794" t="str">
        <f t="shared" si="94"/>
        <v>Flat</v>
      </c>
      <c r="I794" s="40" t="str">
        <f t="shared" si="98"/>
        <v/>
      </c>
      <c r="J794" s="38">
        <f t="shared" si="95"/>
        <v>44</v>
      </c>
      <c r="K794" t="str">
        <f t="shared" si="96"/>
        <v>Per pay period</v>
      </c>
      <c r="L794" t="str">
        <f t="shared" si="97"/>
        <v>Every pay period (ongoing)</v>
      </c>
      <c r="M794" s="39">
        <f t="array" ref="M794">MAX(_xlfn.XLOOKUP($A794,TRIM(SUBSTITUTE('worker file'!$A$2:$A$406,_xlfn.UNICHAR(160)," ")),'worker file'!$M$2:$M$406,0),_xlfn.XLOOKUP($B794,TRIM('pay group &amp; schedule'!$A$2:$A$6),'pay group &amp; schedule'!$D$2:$D$6,0))</f>
        <v>46311</v>
      </c>
      <c r="N794" s="39" t="str">
        <f t="array" ref="N794">_xlfn.LET(_xlpm.t,_xlfn.XLOOKUP($A794,TRIM(SUBSTITUTE('worker file'!$A$2:$A$406,_xlfn.UNICHAR(160)," ")),'worker file'!$N$2:$N$406,""),IF(N(_xlpm.t)=0,"",_xlpm.t))</f>
        <v/>
      </c>
    </row>
    <row r="795" spans="1:14" x14ac:dyDescent="0.2">
      <c r="A795" s="35" t="s">
        <v>372</v>
      </c>
      <c r="B795" s="36" t="str">
        <f t="array" ref="B795">_xlfn.XLOOKUP($A795,TRIM(SUBSTITUTE('worker file'!$A$2:$A$406,_xlfn.UNICHAR(160)," ")),'worker file'!$L$2:$L$406,"Not found")</f>
        <v>US Semi-monthly</v>
      </c>
      <c r="C795" s="36" t="str">
        <f t="array" ref="C795">_xlfn.XLOOKUP($A795,TRIM(SUBSTITUTE('worker file'!$A$2:$A$406,_xlfn.UNICHAR(160)," ")),'worker file'!$D$2:$D$406,"Not found")</f>
        <v>WA</v>
      </c>
      <c r="D795" s="36" t="str">
        <f t="array" ref="D795">_xlfn.XLOOKUP($A795,TRIM(SUBSTITUTE('worker file'!$A$2:$A$406,_xlfn.UNICHAR(160)," ")),'worker file'!$Q$2:$Q$406,"Not found")</f>
        <v>Active</v>
      </c>
      <c r="E795" s="35" t="s">
        <v>634</v>
      </c>
      <c r="F795" t="str">
        <f t="shared" si="92"/>
        <v>Vision – Employee</v>
      </c>
      <c r="G795" t="str">
        <f t="shared" si="93"/>
        <v>Pre-tax Section 125 (exempt from FIT/SIT/FICA)</v>
      </c>
      <c r="H795" t="str">
        <f t="shared" si="94"/>
        <v>Flat</v>
      </c>
      <c r="I795" s="40" t="str">
        <f t="shared" si="98"/>
        <v/>
      </c>
      <c r="J795" s="38">
        <f t="shared" si="95"/>
        <v>30</v>
      </c>
      <c r="K795" t="str">
        <f t="shared" si="96"/>
        <v>Per pay period</v>
      </c>
      <c r="L795" t="str">
        <f t="shared" si="97"/>
        <v>Every pay period (ongoing)</v>
      </c>
      <c r="M795" s="39">
        <f t="array" ref="M795">MAX(_xlfn.XLOOKUP($A795,TRIM(SUBSTITUTE('worker file'!$A$2:$A$406,_xlfn.UNICHAR(160)," ")),'worker file'!$M$2:$M$406,0),_xlfn.XLOOKUP($B795,TRIM('pay group &amp; schedule'!$A$2:$A$6),'pay group &amp; schedule'!$D$2:$D$6,0))</f>
        <v>46311</v>
      </c>
      <c r="N795" s="39" t="str">
        <f t="array" ref="N795">_xlfn.LET(_xlpm.t,_xlfn.XLOOKUP($A795,TRIM(SUBSTITUTE('worker file'!$A$2:$A$406,_xlfn.UNICHAR(160)," ")),'worker file'!$N$2:$N$406,""),IF(N(_xlpm.t)=0,"",_xlpm.t))</f>
        <v/>
      </c>
    </row>
    <row r="796" spans="1:14" x14ac:dyDescent="0.2">
      <c r="A796" s="35" t="s">
        <v>373</v>
      </c>
      <c r="B796" s="36" t="str">
        <f t="array" ref="B796">_xlfn.XLOOKUP($A796,TRIM(SUBSTITUTE('worker file'!$A$2:$A$406,_xlfn.UNICHAR(160)," ")),'worker file'!$L$2:$L$406,"Not found")</f>
        <v>US Semi-monthly</v>
      </c>
      <c r="C796" s="36" t="str">
        <f t="array" ref="C796">_xlfn.XLOOKUP($A796,TRIM(SUBSTITUTE('worker file'!$A$2:$A$406,_xlfn.UNICHAR(160)," ")),'worker file'!$D$2:$D$406,"Not found")</f>
        <v>CA</v>
      </c>
      <c r="D796" s="36" t="str">
        <f t="array" ref="D796">_xlfn.XLOOKUP($A796,TRIM(SUBSTITUTE('worker file'!$A$2:$A$406,_xlfn.UNICHAR(160)," ")),'worker file'!$Q$2:$Q$406,"Not found")</f>
        <v>Active</v>
      </c>
      <c r="E796" s="35" t="s">
        <v>626</v>
      </c>
      <c r="F796" t="str">
        <f t="shared" si="92"/>
        <v>Medical (Health) – Employee</v>
      </c>
      <c r="G796" t="str">
        <f t="shared" si="93"/>
        <v>Pre-tax Section 125 (exempt from FIT/SIT/FICA)</v>
      </c>
      <c r="H796" t="str">
        <f t="shared" si="94"/>
        <v>Flat</v>
      </c>
      <c r="I796" s="40" t="str">
        <f t="shared" si="98"/>
        <v/>
      </c>
      <c r="J796" s="38">
        <f t="shared" si="95"/>
        <v>200</v>
      </c>
      <c r="K796" t="str">
        <f t="shared" si="96"/>
        <v>Per pay period</v>
      </c>
      <c r="L796" t="str">
        <f t="shared" si="97"/>
        <v>Every pay period (ongoing)</v>
      </c>
      <c r="M796" s="39">
        <f t="array" ref="M796">MAX(_xlfn.XLOOKUP($A796,TRIM(SUBSTITUTE('worker file'!$A$2:$A$406,_xlfn.UNICHAR(160)," ")),'worker file'!$M$2:$M$406,0),_xlfn.XLOOKUP($B796,TRIM('pay group &amp; schedule'!$A$2:$A$6),'pay group &amp; schedule'!$D$2:$D$6,0))</f>
        <v>46311</v>
      </c>
      <c r="N796" s="39" t="str">
        <f t="array" ref="N796">_xlfn.LET(_xlpm.t,_xlfn.XLOOKUP($A796,TRIM(SUBSTITUTE('worker file'!$A$2:$A$406,_xlfn.UNICHAR(160)," ")),'worker file'!$N$2:$N$406,""),IF(N(_xlpm.t)=0,"",_xlpm.t))</f>
        <v/>
      </c>
    </row>
    <row r="797" spans="1:14" x14ac:dyDescent="0.2">
      <c r="A797" s="35" t="s">
        <v>373</v>
      </c>
      <c r="B797" s="36" t="str">
        <f t="array" ref="B797">_xlfn.XLOOKUP($A797,TRIM(SUBSTITUTE('worker file'!$A$2:$A$406,_xlfn.UNICHAR(160)," ")),'worker file'!$L$2:$L$406,"Not found")</f>
        <v>US Semi-monthly</v>
      </c>
      <c r="C797" s="36" t="str">
        <f t="array" ref="C797">_xlfn.XLOOKUP($A797,TRIM(SUBSTITUTE('worker file'!$A$2:$A$406,_xlfn.UNICHAR(160)," ")),'worker file'!$D$2:$D$406,"Not found")</f>
        <v>CA</v>
      </c>
      <c r="D797" s="36" t="str">
        <f t="array" ref="D797">_xlfn.XLOOKUP($A797,TRIM(SUBSTITUTE('worker file'!$A$2:$A$406,_xlfn.UNICHAR(160)," ")),'worker file'!$Q$2:$Q$406,"Not found")</f>
        <v>Active</v>
      </c>
      <c r="E797" s="35" t="s">
        <v>632</v>
      </c>
      <c r="F797" t="str">
        <f t="shared" si="92"/>
        <v>Dental – Employee</v>
      </c>
      <c r="G797" t="str">
        <f t="shared" si="93"/>
        <v>Pre-tax Section 125 (exempt from FIT/SIT/FICA)</v>
      </c>
      <c r="H797" t="str">
        <f t="shared" si="94"/>
        <v>Flat</v>
      </c>
      <c r="I797" s="40" t="str">
        <f t="shared" si="98"/>
        <v/>
      </c>
      <c r="J797" s="38">
        <f t="shared" si="95"/>
        <v>44</v>
      </c>
      <c r="K797" t="str">
        <f t="shared" si="96"/>
        <v>Per pay period</v>
      </c>
      <c r="L797" t="str">
        <f t="shared" si="97"/>
        <v>Every pay period (ongoing)</v>
      </c>
      <c r="M797" s="39">
        <f t="array" ref="M797">MAX(_xlfn.XLOOKUP($A797,TRIM(SUBSTITUTE('worker file'!$A$2:$A$406,_xlfn.UNICHAR(160)," ")),'worker file'!$M$2:$M$406,0),_xlfn.XLOOKUP($B797,TRIM('pay group &amp; schedule'!$A$2:$A$6),'pay group &amp; schedule'!$D$2:$D$6,0))</f>
        <v>46311</v>
      </c>
      <c r="N797" s="39" t="str">
        <f t="array" ref="N797">_xlfn.LET(_xlpm.t,_xlfn.XLOOKUP($A797,TRIM(SUBSTITUTE('worker file'!$A$2:$A$406,_xlfn.UNICHAR(160)," ")),'worker file'!$N$2:$N$406,""),IF(N(_xlpm.t)=0,"",_xlpm.t))</f>
        <v/>
      </c>
    </row>
    <row r="798" spans="1:14" x14ac:dyDescent="0.2">
      <c r="A798" s="35" t="s">
        <v>373</v>
      </c>
      <c r="B798" s="36" t="str">
        <f t="array" ref="B798">_xlfn.XLOOKUP($A798,TRIM(SUBSTITUTE('worker file'!$A$2:$A$406,_xlfn.UNICHAR(160)," ")),'worker file'!$L$2:$L$406,"Not found")</f>
        <v>US Semi-monthly</v>
      </c>
      <c r="C798" s="36" t="str">
        <f t="array" ref="C798">_xlfn.XLOOKUP($A798,TRIM(SUBSTITUTE('worker file'!$A$2:$A$406,_xlfn.UNICHAR(160)," ")),'worker file'!$D$2:$D$406,"Not found")</f>
        <v>CA</v>
      </c>
      <c r="D798" s="36" t="str">
        <f t="array" ref="D798">_xlfn.XLOOKUP($A798,TRIM(SUBSTITUTE('worker file'!$A$2:$A$406,_xlfn.UNICHAR(160)," ")),'worker file'!$Q$2:$Q$406,"Not found")</f>
        <v>Active</v>
      </c>
      <c r="E798" s="35" t="s">
        <v>634</v>
      </c>
      <c r="F798" t="str">
        <f t="shared" si="92"/>
        <v>Vision – Employee</v>
      </c>
      <c r="G798" t="str">
        <f t="shared" si="93"/>
        <v>Pre-tax Section 125 (exempt from FIT/SIT/FICA)</v>
      </c>
      <c r="H798" t="str">
        <f t="shared" si="94"/>
        <v>Flat</v>
      </c>
      <c r="I798" s="40" t="str">
        <f t="shared" si="98"/>
        <v/>
      </c>
      <c r="J798" s="38">
        <f t="shared" si="95"/>
        <v>30</v>
      </c>
      <c r="K798" t="str">
        <f t="shared" si="96"/>
        <v>Per pay period</v>
      </c>
      <c r="L798" t="str">
        <f t="shared" si="97"/>
        <v>Every pay period (ongoing)</v>
      </c>
      <c r="M798" s="39">
        <f t="array" ref="M798">MAX(_xlfn.XLOOKUP($A798,TRIM(SUBSTITUTE('worker file'!$A$2:$A$406,_xlfn.UNICHAR(160)," ")),'worker file'!$M$2:$M$406,0),_xlfn.XLOOKUP($B798,TRIM('pay group &amp; schedule'!$A$2:$A$6),'pay group &amp; schedule'!$D$2:$D$6,0))</f>
        <v>46311</v>
      </c>
      <c r="N798" s="39" t="str">
        <f t="array" ref="N798">_xlfn.LET(_xlpm.t,_xlfn.XLOOKUP($A798,TRIM(SUBSTITUTE('worker file'!$A$2:$A$406,_xlfn.UNICHAR(160)," ")),'worker file'!$N$2:$N$406,""),IF(N(_xlpm.t)=0,"",_xlpm.t))</f>
        <v/>
      </c>
    </row>
    <row r="799" spans="1:14" x14ac:dyDescent="0.2">
      <c r="A799" s="35" t="s">
        <v>374</v>
      </c>
      <c r="B799" s="36" t="str">
        <f t="array" ref="B799">_xlfn.XLOOKUP($A799,TRIM(SUBSTITUTE('worker file'!$A$2:$A$406,_xlfn.UNICHAR(160)," ")),'worker file'!$L$2:$L$406,"Not found")</f>
        <v>US Semi-monthly</v>
      </c>
      <c r="C799" s="36" t="str">
        <f t="array" ref="C799">_xlfn.XLOOKUP($A799,TRIM(SUBSTITUTE('worker file'!$A$2:$A$406,_xlfn.UNICHAR(160)," ")),'worker file'!$D$2:$D$406,"Not found")</f>
        <v>WA</v>
      </c>
      <c r="D799" s="36" t="str">
        <f t="array" ref="D799">_xlfn.XLOOKUP($A799,TRIM(SUBSTITUTE('worker file'!$A$2:$A$406,_xlfn.UNICHAR(160)," ")),'worker file'!$Q$2:$Q$406,"Not found")</f>
        <v>Active</v>
      </c>
      <c r="E799" s="35" t="s">
        <v>618</v>
      </c>
      <c r="F799" t="str">
        <f t="shared" si="92"/>
        <v>401(k) Employee Deferral</v>
      </c>
      <c r="G799" t="str">
        <f t="shared" si="93"/>
        <v>Pre-tax (exempt from FIT/SIT; subject to FICA)</v>
      </c>
      <c r="H799" t="str">
        <f t="shared" si="94"/>
        <v>Percent</v>
      </c>
      <c r="I799" s="37">
        <v>0.05</v>
      </c>
      <c r="J799" s="38" t="str">
        <f t="shared" si="95"/>
        <v/>
      </c>
      <c r="K799" t="str">
        <f t="shared" si="96"/>
        <v>Gross pay</v>
      </c>
      <c r="L799" t="str">
        <f t="shared" si="97"/>
        <v>Every pay period (ongoing)</v>
      </c>
      <c r="M799" s="39">
        <f t="array" ref="M799">MAX(_xlfn.XLOOKUP($A799,TRIM(SUBSTITUTE('worker file'!$A$2:$A$406,_xlfn.UNICHAR(160)," ")),'worker file'!$M$2:$M$406,0),_xlfn.XLOOKUP($B799,TRIM('pay group &amp; schedule'!$A$2:$A$6),'pay group &amp; schedule'!$D$2:$D$6,0))</f>
        <v>46311</v>
      </c>
      <c r="N799" s="39" t="str">
        <f t="array" ref="N799">_xlfn.LET(_xlpm.t,_xlfn.XLOOKUP($A799,TRIM(SUBSTITUTE('worker file'!$A$2:$A$406,_xlfn.UNICHAR(160)," ")),'worker file'!$N$2:$N$406,""),IF(N(_xlpm.t)=0,"",_xlpm.t))</f>
        <v/>
      </c>
    </row>
    <row r="800" spans="1:14" x14ac:dyDescent="0.2">
      <c r="A800" s="35" t="s">
        <v>374</v>
      </c>
      <c r="B800" s="36" t="str">
        <f t="array" ref="B800">_xlfn.XLOOKUP($A800,TRIM(SUBSTITUTE('worker file'!$A$2:$A$406,_xlfn.UNICHAR(160)," ")),'worker file'!$L$2:$L$406,"Not found")</f>
        <v>US Semi-monthly</v>
      </c>
      <c r="C800" s="36" t="str">
        <f t="array" ref="C800">_xlfn.XLOOKUP($A800,TRIM(SUBSTITUTE('worker file'!$A$2:$A$406,_xlfn.UNICHAR(160)," ")),'worker file'!$D$2:$D$406,"Not found")</f>
        <v>WA</v>
      </c>
      <c r="D800" s="36" t="str">
        <f t="array" ref="D800">_xlfn.XLOOKUP($A800,TRIM(SUBSTITUTE('worker file'!$A$2:$A$406,_xlfn.UNICHAR(160)," ")),'worker file'!$Q$2:$Q$406,"Not found")</f>
        <v>Active</v>
      </c>
      <c r="E800" s="35" t="s">
        <v>626</v>
      </c>
      <c r="F800" t="str">
        <f t="shared" si="92"/>
        <v>Medical (Health) – Employee</v>
      </c>
      <c r="G800" t="str">
        <f t="shared" si="93"/>
        <v>Pre-tax Section 125 (exempt from FIT/SIT/FICA)</v>
      </c>
      <c r="H800" t="str">
        <f t="shared" si="94"/>
        <v>Flat</v>
      </c>
      <c r="I800" s="40" t="str">
        <f>IF($H800="Percent",_xlfn.XLOOKUP($E800,$A$5:$A$8,$F$5:$F$8,""),"")</f>
        <v/>
      </c>
      <c r="J800" s="38">
        <f t="shared" si="95"/>
        <v>200</v>
      </c>
      <c r="K800" t="str">
        <f t="shared" si="96"/>
        <v>Per pay period</v>
      </c>
      <c r="L800" t="str">
        <f t="shared" si="97"/>
        <v>Every pay period (ongoing)</v>
      </c>
      <c r="M800" s="39">
        <f t="array" ref="M800">MAX(_xlfn.XLOOKUP($A800,TRIM(SUBSTITUTE('worker file'!$A$2:$A$406,_xlfn.UNICHAR(160)," ")),'worker file'!$M$2:$M$406,0),_xlfn.XLOOKUP($B800,TRIM('pay group &amp; schedule'!$A$2:$A$6),'pay group &amp; schedule'!$D$2:$D$6,0))</f>
        <v>46311</v>
      </c>
      <c r="N800" s="39" t="str">
        <f t="array" ref="N800">_xlfn.LET(_xlpm.t,_xlfn.XLOOKUP($A800,TRIM(SUBSTITUTE('worker file'!$A$2:$A$406,_xlfn.UNICHAR(160)," ")),'worker file'!$N$2:$N$406,""),IF(N(_xlpm.t)=0,"",_xlpm.t))</f>
        <v/>
      </c>
    </row>
    <row r="801" spans="1:14" x14ac:dyDescent="0.2">
      <c r="A801" s="35" t="s">
        <v>374</v>
      </c>
      <c r="B801" s="36" t="str">
        <f t="array" ref="B801">_xlfn.XLOOKUP($A801,TRIM(SUBSTITUTE('worker file'!$A$2:$A$406,_xlfn.UNICHAR(160)," ")),'worker file'!$L$2:$L$406,"Not found")</f>
        <v>US Semi-monthly</v>
      </c>
      <c r="C801" s="36" t="str">
        <f t="array" ref="C801">_xlfn.XLOOKUP($A801,TRIM(SUBSTITUTE('worker file'!$A$2:$A$406,_xlfn.UNICHAR(160)," ")),'worker file'!$D$2:$D$406,"Not found")</f>
        <v>WA</v>
      </c>
      <c r="D801" s="36" t="str">
        <f t="array" ref="D801">_xlfn.XLOOKUP($A801,TRIM(SUBSTITUTE('worker file'!$A$2:$A$406,_xlfn.UNICHAR(160)," ")),'worker file'!$Q$2:$Q$406,"Not found")</f>
        <v>Active</v>
      </c>
      <c r="E801" s="35" t="s">
        <v>632</v>
      </c>
      <c r="F801" t="str">
        <f t="shared" si="92"/>
        <v>Dental – Employee</v>
      </c>
      <c r="G801" t="str">
        <f t="shared" si="93"/>
        <v>Pre-tax Section 125 (exempt from FIT/SIT/FICA)</v>
      </c>
      <c r="H801" t="str">
        <f t="shared" si="94"/>
        <v>Flat</v>
      </c>
      <c r="I801" s="40" t="str">
        <f>IF($H801="Percent",_xlfn.XLOOKUP($E801,$A$5:$A$8,$F$5:$F$8,""),"")</f>
        <v/>
      </c>
      <c r="J801" s="38">
        <f t="shared" si="95"/>
        <v>44</v>
      </c>
      <c r="K801" t="str">
        <f t="shared" si="96"/>
        <v>Per pay period</v>
      </c>
      <c r="L801" t="str">
        <f t="shared" si="97"/>
        <v>Every pay period (ongoing)</v>
      </c>
      <c r="M801" s="39">
        <f t="array" ref="M801">MAX(_xlfn.XLOOKUP($A801,TRIM(SUBSTITUTE('worker file'!$A$2:$A$406,_xlfn.UNICHAR(160)," ")),'worker file'!$M$2:$M$406,0),_xlfn.XLOOKUP($B801,TRIM('pay group &amp; schedule'!$A$2:$A$6),'pay group &amp; schedule'!$D$2:$D$6,0))</f>
        <v>46311</v>
      </c>
      <c r="N801" s="39" t="str">
        <f t="array" ref="N801">_xlfn.LET(_xlpm.t,_xlfn.XLOOKUP($A801,TRIM(SUBSTITUTE('worker file'!$A$2:$A$406,_xlfn.UNICHAR(160)," ")),'worker file'!$N$2:$N$406,""),IF(N(_xlpm.t)=0,"",_xlpm.t))</f>
        <v/>
      </c>
    </row>
    <row r="802" spans="1:14" x14ac:dyDescent="0.2">
      <c r="A802" s="35" t="s">
        <v>374</v>
      </c>
      <c r="B802" s="36" t="str">
        <f t="array" ref="B802">_xlfn.XLOOKUP($A802,TRIM(SUBSTITUTE('worker file'!$A$2:$A$406,_xlfn.UNICHAR(160)," ")),'worker file'!$L$2:$L$406,"Not found")</f>
        <v>US Semi-monthly</v>
      </c>
      <c r="C802" s="36" t="str">
        <f t="array" ref="C802">_xlfn.XLOOKUP($A802,TRIM(SUBSTITUTE('worker file'!$A$2:$A$406,_xlfn.UNICHAR(160)," ")),'worker file'!$D$2:$D$406,"Not found")</f>
        <v>WA</v>
      </c>
      <c r="D802" s="36" t="str">
        <f t="array" ref="D802">_xlfn.XLOOKUP($A802,TRIM(SUBSTITUTE('worker file'!$A$2:$A$406,_xlfn.UNICHAR(160)," ")),'worker file'!$Q$2:$Q$406,"Not found")</f>
        <v>Active</v>
      </c>
      <c r="E802" s="35" t="s">
        <v>634</v>
      </c>
      <c r="F802" t="str">
        <f t="shared" si="92"/>
        <v>Vision – Employee</v>
      </c>
      <c r="G802" t="str">
        <f t="shared" si="93"/>
        <v>Pre-tax Section 125 (exempt from FIT/SIT/FICA)</v>
      </c>
      <c r="H802" t="str">
        <f t="shared" si="94"/>
        <v>Flat</v>
      </c>
      <c r="I802" s="40" t="str">
        <f>IF($H802="Percent",_xlfn.XLOOKUP($E802,$A$5:$A$8,$F$5:$F$8,""),"")</f>
        <v/>
      </c>
      <c r="J802" s="38">
        <f t="shared" si="95"/>
        <v>30</v>
      </c>
      <c r="K802" t="str">
        <f t="shared" si="96"/>
        <v>Per pay period</v>
      </c>
      <c r="L802" t="str">
        <f t="shared" si="97"/>
        <v>Every pay period (ongoing)</v>
      </c>
      <c r="M802" s="39">
        <f t="array" ref="M802">MAX(_xlfn.XLOOKUP($A802,TRIM(SUBSTITUTE('worker file'!$A$2:$A$406,_xlfn.UNICHAR(160)," ")),'worker file'!$M$2:$M$406,0),_xlfn.XLOOKUP($B802,TRIM('pay group &amp; schedule'!$A$2:$A$6),'pay group &amp; schedule'!$D$2:$D$6,0))</f>
        <v>46311</v>
      </c>
      <c r="N802" s="39" t="str">
        <f t="array" ref="N802">_xlfn.LET(_xlpm.t,_xlfn.XLOOKUP($A802,TRIM(SUBSTITUTE('worker file'!$A$2:$A$406,_xlfn.UNICHAR(160)," ")),'worker file'!$N$2:$N$406,""),IF(N(_xlpm.t)=0,"",_xlpm.t))</f>
        <v/>
      </c>
    </row>
    <row r="803" spans="1:14" x14ac:dyDescent="0.2">
      <c r="A803" s="35" t="s">
        <v>375</v>
      </c>
      <c r="B803" s="36" t="str">
        <f t="array" ref="B803">_xlfn.XLOOKUP($A803,TRIM(SUBSTITUTE('worker file'!$A$2:$A$406,_xlfn.UNICHAR(160)," ")),'worker file'!$L$2:$L$406,"Not found")</f>
        <v>US Semi-monthly</v>
      </c>
      <c r="C803" s="36" t="str">
        <f t="array" ref="C803">_xlfn.XLOOKUP($A803,TRIM(SUBSTITUTE('worker file'!$A$2:$A$406,_xlfn.UNICHAR(160)," ")),'worker file'!$D$2:$D$406,"Not found")</f>
        <v>CA</v>
      </c>
      <c r="D803" s="36" t="str">
        <f t="array" ref="D803">_xlfn.XLOOKUP($A803,TRIM(SUBSTITUTE('worker file'!$A$2:$A$406,_xlfn.UNICHAR(160)," ")),'worker file'!$Q$2:$Q$406,"Not found")</f>
        <v>Active</v>
      </c>
      <c r="E803" s="35" t="s">
        <v>618</v>
      </c>
      <c r="F803" t="str">
        <f t="shared" si="92"/>
        <v>401(k) Employee Deferral</v>
      </c>
      <c r="G803" t="str">
        <f t="shared" si="93"/>
        <v>Pre-tax (exempt from FIT/SIT; subject to FICA)</v>
      </c>
      <c r="H803" t="str">
        <f t="shared" si="94"/>
        <v>Percent</v>
      </c>
      <c r="I803" s="37">
        <v>0.02</v>
      </c>
      <c r="J803" s="38" t="str">
        <f t="shared" si="95"/>
        <v/>
      </c>
      <c r="K803" t="str">
        <f t="shared" si="96"/>
        <v>Gross pay</v>
      </c>
      <c r="L803" t="str">
        <f t="shared" si="97"/>
        <v>Every pay period (ongoing)</v>
      </c>
      <c r="M803" s="39">
        <f t="array" ref="M803">MAX(_xlfn.XLOOKUP($A803,TRIM(SUBSTITUTE('worker file'!$A$2:$A$406,_xlfn.UNICHAR(160)," ")),'worker file'!$M$2:$M$406,0),_xlfn.XLOOKUP($B803,TRIM('pay group &amp; schedule'!$A$2:$A$6),'pay group &amp; schedule'!$D$2:$D$6,0))</f>
        <v>46311</v>
      </c>
      <c r="N803" s="39" t="str">
        <f t="array" ref="N803">_xlfn.LET(_xlpm.t,_xlfn.XLOOKUP($A803,TRIM(SUBSTITUTE('worker file'!$A$2:$A$406,_xlfn.UNICHAR(160)," ")),'worker file'!$N$2:$N$406,""),IF(N(_xlpm.t)=0,"",_xlpm.t))</f>
        <v/>
      </c>
    </row>
    <row r="804" spans="1:14" x14ac:dyDescent="0.2">
      <c r="A804" s="35" t="s">
        <v>375</v>
      </c>
      <c r="B804" s="36" t="str">
        <f t="array" ref="B804">_xlfn.XLOOKUP($A804,TRIM(SUBSTITUTE('worker file'!$A$2:$A$406,_xlfn.UNICHAR(160)," ")),'worker file'!$L$2:$L$406,"Not found")</f>
        <v>US Semi-monthly</v>
      </c>
      <c r="C804" s="36" t="str">
        <f t="array" ref="C804">_xlfn.XLOOKUP($A804,TRIM(SUBSTITUTE('worker file'!$A$2:$A$406,_xlfn.UNICHAR(160)," ")),'worker file'!$D$2:$D$406,"Not found")</f>
        <v>CA</v>
      </c>
      <c r="D804" s="36" t="str">
        <f t="array" ref="D804">_xlfn.XLOOKUP($A804,TRIM(SUBSTITUTE('worker file'!$A$2:$A$406,_xlfn.UNICHAR(160)," ")),'worker file'!$Q$2:$Q$406,"Not found")</f>
        <v>Active</v>
      </c>
      <c r="E804" s="35" t="s">
        <v>626</v>
      </c>
      <c r="F804" t="str">
        <f t="shared" si="92"/>
        <v>Medical (Health) – Employee</v>
      </c>
      <c r="G804" t="str">
        <f t="shared" si="93"/>
        <v>Pre-tax Section 125 (exempt from FIT/SIT/FICA)</v>
      </c>
      <c r="H804" t="str">
        <f t="shared" si="94"/>
        <v>Flat</v>
      </c>
      <c r="I804" s="40" t="str">
        <f>IF($H804="Percent",_xlfn.XLOOKUP($E804,$A$5:$A$8,$F$5:$F$8,""),"")</f>
        <v/>
      </c>
      <c r="J804" s="38">
        <f t="shared" si="95"/>
        <v>200</v>
      </c>
      <c r="K804" t="str">
        <f t="shared" si="96"/>
        <v>Per pay period</v>
      </c>
      <c r="L804" t="str">
        <f t="shared" si="97"/>
        <v>Every pay period (ongoing)</v>
      </c>
      <c r="M804" s="39">
        <f t="array" ref="M804">MAX(_xlfn.XLOOKUP($A804,TRIM(SUBSTITUTE('worker file'!$A$2:$A$406,_xlfn.UNICHAR(160)," ")),'worker file'!$M$2:$M$406,0),_xlfn.XLOOKUP($B804,TRIM('pay group &amp; schedule'!$A$2:$A$6),'pay group &amp; schedule'!$D$2:$D$6,0))</f>
        <v>46311</v>
      </c>
      <c r="N804" s="39" t="str">
        <f t="array" ref="N804">_xlfn.LET(_xlpm.t,_xlfn.XLOOKUP($A804,TRIM(SUBSTITUTE('worker file'!$A$2:$A$406,_xlfn.UNICHAR(160)," ")),'worker file'!$N$2:$N$406,""),IF(N(_xlpm.t)=0,"",_xlpm.t))</f>
        <v/>
      </c>
    </row>
    <row r="805" spans="1:14" x14ac:dyDescent="0.2">
      <c r="A805" s="35" t="s">
        <v>375</v>
      </c>
      <c r="B805" s="36" t="str">
        <f t="array" ref="B805">_xlfn.XLOOKUP($A805,TRIM(SUBSTITUTE('worker file'!$A$2:$A$406,_xlfn.UNICHAR(160)," ")),'worker file'!$L$2:$L$406,"Not found")</f>
        <v>US Semi-monthly</v>
      </c>
      <c r="C805" s="36" t="str">
        <f t="array" ref="C805">_xlfn.XLOOKUP($A805,TRIM(SUBSTITUTE('worker file'!$A$2:$A$406,_xlfn.UNICHAR(160)," ")),'worker file'!$D$2:$D$406,"Not found")</f>
        <v>CA</v>
      </c>
      <c r="D805" s="36" t="str">
        <f t="array" ref="D805">_xlfn.XLOOKUP($A805,TRIM(SUBSTITUTE('worker file'!$A$2:$A$406,_xlfn.UNICHAR(160)," ")),'worker file'!$Q$2:$Q$406,"Not found")</f>
        <v>Active</v>
      </c>
      <c r="E805" s="35" t="s">
        <v>632</v>
      </c>
      <c r="F805" t="str">
        <f t="shared" si="92"/>
        <v>Dental – Employee</v>
      </c>
      <c r="G805" t="str">
        <f t="shared" si="93"/>
        <v>Pre-tax Section 125 (exempt from FIT/SIT/FICA)</v>
      </c>
      <c r="H805" t="str">
        <f t="shared" si="94"/>
        <v>Flat</v>
      </c>
      <c r="I805" s="40" t="str">
        <f>IF($H805="Percent",_xlfn.XLOOKUP($E805,$A$5:$A$8,$F$5:$F$8,""),"")</f>
        <v/>
      </c>
      <c r="J805" s="38">
        <f t="shared" si="95"/>
        <v>44</v>
      </c>
      <c r="K805" t="str">
        <f t="shared" si="96"/>
        <v>Per pay period</v>
      </c>
      <c r="L805" t="str">
        <f t="shared" si="97"/>
        <v>Every pay period (ongoing)</v>
      </c>
      <c r="M805" s="39">
        <f t="array" ref="M805">MAX(_xlfn.XLOOKUP($A805,TRIM(SUBSTITUTE('worker file'!$A$2:$A$406,_xlfn.UNICHAR(160)," ")),'worker file'!$M$2:$M$406,0),_xlfn.XLOOKUP($B805,TRIM('pay group &amp; schedule'!$A$2:$A$6),'pay group &amp; schedule'!$D$2:$D$6,0))</f>
        <v>46311</v>
      </c>
      <c r="N805" s="39" t="str">
        <f t="array" ref="N805">_xlfn.LET(_xlpm.t,_xlfn.XLOOKUP($A805,TRIM(SUBSTITUTE('worker file'!$A$2:$A$406,_xlfn.UNICHAR(160)," ")),'worker file'!$N$2:$N$406,""),IF(N(_xlpm.t)=0,"",_xlpm.t))</f>
        <v/>
      </c>
    </row>
    <row r="806" spans="1:14" x14ac:dyDescent="0.2">
      <c r="A806" s="35" t="s">
        <v>375</v>
      </c>
      <c r="B806" s="36" t="str">
        <f t="array" ref="B806">_xlfn.XLOOKUP($A806,TRIM(SUBSTITUTE('worker file'!$A$2:$A$406,_xlfn.UNICHAR(160)," ")),'worker file'!$L$2:$L$406,"Not found")</f>
        <v>US Semi-monthly</v>
      </c>
      <c r="C806" s="36" t="str">
        <f t="array" ref="C806">_xlfn.XLOOKUP($A806,TRIM(SUBSTITUTE('worker file'!$A$2:$A$406,_xlfn.UNICHAR(160)," ")),'worker file'!$D$2:$D$406,"Not found")</f>
        <v>CA</v>
      </c>
      <c r="D806" s="36" t="str">
        <f t="array" ref="D806">_xlfn.XLOOKUP($A806,TRIM(SUBSTITUTE('worker file'!$A$2:$A$406,_xlfn.UNICHAR(160)," ")),'worker file'!$Q$2:$Q$406,"Not found")</f>
        <v>Active</v>
      </c>
      <c r="E806" s="35" t="s">
        <v>634</v>
      </c>
      <c r="F806" t="str">
        <f t="shared" si="92"/>
        <v>Vision – Employee</v>
      </c>
      <c r="G806" t="str">
        <f t="shared" si="93"/>
        <v>Pre-tax Section 125 (exempt from FIT/SIT/FICA)</v>
      </c>
      <c r="H806" t="str">
        <f t="shared" si="94"/>
        <v>Flat</v>
      </c>
      <c r="I806" s="40" t="str">
        <f>IF($H806="Percent",_xlfn.XLOOKUP($E806,$A$5:$A$8,$F$5:$F$8,""),"")</f>
        <v/>
      </c>
      <c r="J806" s="38">
        <f t="shared" si="95"/>
        <v>30</v>
      </c>
      <c r="K806" t="str">
        <f t="shared" si="96"/>
        <v>Per pay period</v>
      </c>
      <c r="L806" t="str">
        <f t="shared" si="97"/>
        <v>Every pay period (ongoing)</v>
      </c>
      <c r="M806" s="39">
        <f t="array" ref="M806">MAX(_xlfn.XLOOKUP($A806,TRIM(SUBSTITUTE('worker file'!$A$2:$A$406,_xlfn.UNICHAR(160)," ")),'worker file'!$M$2:$M$406,0),_xlfn.XLOOKUP($B806,TRIM('pay group &amp; schedule'!$A$2:$A$6),'pay group &amp; schedule'!$D$2:$D$6,0))</f>
        <v>46311</v>
      </c>
      <c r="N806" s="39" t="str">
        <f t="array" ref="N806">_xlfn.LET(_xlpm.t,_xlfn.XLOOKUP($A806,TRIM(SUBSTITUTE('worker file'!$A$2:$A$406,_xlfn.UNICHAR(160)," ")),'worker file'!$N$2:$N$406,""),IF(N(_xlpm.t)=0,"",_xlpm.t))</f>
        <v/>
      </c>
    </row>
    <row r="807" spans="1:14" x14ac:dyDescent="0.2">
      <c r="A807" s="35" t="s">
        <v>376</v>
      </c>
      <c r="B807" s="36" t="str">
        <f t="array" ref="B807">_xlfn.XLOOKUP($A807,TRIM(SUBSTITUTE('worker file'!$A$2:$A$406,_xlfn.UNICHAR(160)," ")),'worker file'!$L$2:$L$406,"Not found")</f>
        <v>US Biweekly</v>
      </c>
      <c r="C807" s="36" t="str">
        <f t="array" ref="C807">_xlfn.XLOOKUP($A807,TRIM(SUBSTITUTE('worker file'!$A$2:$A$406,_xlfn.UNICHAR(160)," ")),'worker file'!$D$2:$D$406,"Not found")</f>
        <v>TX</v>
      </c>
      <c r="D807" s="36" t="str">
        <f t="array" ref="D807">_xlfn.XLOOKUP($A807,TRIM(SUBSTITUTE('worker file'!$A$2:$A$406,_xlfn.UNICHAR(160)," ")),'worker file'!$Q$2:$Q$406,"Not found")</f>
        <v>Active</v>
      </c>
      <c r="E807" s="35" t="s">
        <v>618</v>
      </c>
      <c r="F807" t="str">
        <f t="shared" si="92"/>
        <v>401(k) Employee Deferral</v>
      </c>
      <c r="G807" t="str">
        <f t="shared" si="93"/>
        <v>Pre-tax (exempt from FIT/SIT; subject to FICA)</v>
      </c>
      <c r="H807" t="str">
        <f t="shared" si="94"/>
        <v>Percent</v>
      </c>
      <c r="I807" s="37">
        <v>7.0000000000000007E-2</v>
      </c>
      <c r="J807" s="38" t="str">
        <f t="shared" si="95"/>
        <v/>
      </c>
      <c r="K807" t="str">
        <f t="shared" si="96"/>
        <v>Gross pay</v>
      </c>
      <c r="L807" t="str">
        <f t="shared" si="97"/>
        <v>Every pay period (ongoing)</v>
      </c>
      <c r="M807" s="39">
        <f t="array" ref="M807">MAX(_xlfn.XLOOKUP($A807,TRIM(SUBSTITUTE('worker file'!$A$2:$A$406,_xlfn.UNICHAR(160)," ")),'worker file'!$M$2:$M$406,0),_xlfn.XLOOKUP($B807,TRIM('pay group &amp; schedule'!$A$2:$A$6),'pay group &amp; schedule'!$D$2:$D$6,0))</f>
        <v>46299</v>
      </c>
      <c r="N807" s="39" t="str">
        <f t="array" ref="N807">_xlfn.LET(_xlpm.t,_xlfn.XLOOKUP($A807,TRIM(SUBSTITUTE('worker file'!$A$2:$A$406,_xlfn.UNICHAR(160)," ")),'worker file'!$N$2:$N$406,""),IF(N(_xlpm.t)=0,"",_xlpm.t))</f>
        <v/>
      </c>
    </row>
    <row r="808" spans="1:14" x14ac:dyDescent="0.2">
      <c r="A808" s="35" t="s">
        <v>376</v>
      </c>
      <c r="B808" s="36" t="str">
        <f t="array" ref="B808">_xlfn.XLOOKUP($A808,TRIM(SUBSTITUTE('worker file'!$A$2:$A$406,_xlfn.UNICHAR(160)," ")),'worker file'!$L$2:$L$406,"Not found")</f>
        <v>US Biweekly</v>
      </c>
      <c r="C808" s="36" t="str">
        <f t="array" ref="C808">_xlfn.XLOOKUP($A808,TRIM(SUBSTITUTE('worker file'!$A$2:$A$406,_xlfn.UNICHAR(160)," ")),'worker file'!$D$2:$D$406,"Not found")</f>
        <v>TX</v>
      </c>
      <c r="D808" s="36" t="str">
        <f t="array" ref="D808">_xlfn.XLOOKUP($A808,TRIM(SUBSTITUTE('worker file'!$A$2:$A$406,_xlfn.UNICHAR(160)," ")),'worker file'!$Q$2:$Q$406,"Not found")</f>
        <v>Active</v>
      </c>
      <c r="E808" s="35" t="s">
        <v>626</v>
      </c>
      <c r="F808" t="str">
        <f t="shared" si="92"/>
        <v>Medical (Health) – Employee</v>
      </c>
      <c r="G808" t="str">
        <f t="shared" si="93"/>
        <v>Pre-tax Section 125 (exempt from FIT/SIT/FICA)</v>
      </c>
      <c r="H808" t="str">
        <f t="shared" si="94"/>
        <v>Flat</v>
      </c>
      <c r="I808" s="40" t="str">
        <f>IF($H808="Percent",_xlfn.XLOOKUP($E808,$A$5:$A$8,$F$5:$F$8,""),"")</f>
        <v/>
      </c>
      <c r="J808" s="38">
        <f t="shared" si="95"/>
        <v>200</v>
      </c>
      <c r="K808" t="str">
        <f t="shared" si="96"/>
        <v>Per pay period</v>
      </c>
      <c r="L808" t="str">
        <f t="shared" si="97"/>
        <v>Every pay period (ongoing)</v>
      </c>
      <c r="M808" s="39">
        <f t="array" ref="M808">MAX(_xlfn.XLOOKUP($A808,TRIM(SUBSTITUTE('worker file'!$A$2:$A$406,_xlfn.UNICHAR(160)," ")),'worker file'!$M$2:$M$406,0),_xlfn.XLOOKUP($B808,TRIM('pay group &amp; schedule'!$A$2:$A$6),'pay group &amp; schedule'!$D$2:$D$6,0))</f>
        <v>46299</v>
      </c>
      <c r="N808" s="39" t="str">
        <f t="array" ref="N808">_xlfn.LET(_xlpm.t,_xlfn.XLOOKUP($A808,TRIM(SUBSTITUTE('worker file'!$A$2:$A$406,_xlfn.UNICHAR(160)," ")),'worker file'!$N$2:$N$406,""),IF(N(_xlpm.t)=0,"",_xlpm.t))</f>
        <v/>
      </c>
    </row>
    <row r="809" spans="1:14" x14ac:dyDescent="0.2">
      <c r="A809" s="35" t="s">
        <v>376</v>
      </c>
      <c r="B809" s="36" t="str">
        <f t="array" ref="B809">_xlfn.XLOOKUP($A809,TRIM(SUBSTITUTE('worker file'!$A$2:$A$406,_xlfn.UNICHAR(160)," ")),'worker file'!$L$2:$L$406,"Not found")</f>
        <v>US Biweekly</v>
      </c>
      <c r="C809" s="36" t="str">
        <f t="array" ref="C809">_xlfn.XLOOKUP($A809,TRIM(SUBSTITUTE('worker file'!$A$2:$A$406,_xlfn.UNICHAR(160)," ")),'worker file'!$D$2:$D$406,"Not found")</f>
        <v>TX</v>
      </c>
      <c r="D809" s="36" t="str">
        <f t="array" ref="D809">_xlfn.XLOOKUP($A809,TRIM(SUBSTITUTE('worker file'!$A$2:$A$406,_xlfn.UNICHAR(160)," ")),'worker file'!$Q$2:$Q$406,"Not found")</f>
        <v>Active</v>
      </c>
      <c r="E809" s="35" t="s">
        <v>632</v>
      </c>
      <c r="F809" t="str">
        <f t="shared" si="92"/>
        <v>Dental – Employee</v>
      </c>
      <c r="G809" t="str">
        <f t="shared" si="93"/>
        <v>Pre-tax Section 125 (exempt from FIT/SIT/FICA)</v>
      </c>
      <c r="H809" t="str">
        <f t="shared" si="94"/>
        <v>Flat</v>
      </c>
      <c r="I809" s="40" t="str">
        <f>IF($H809="Percent",_xlfn.XLOOKUP($E809,$A$5:$A$8,$F$5:$F$8,""),"")</f>
        <v/>
      </c>
      <c r="J809" s="38">
        <f t="shared" si="95"/>
        <v>44</v>
      </c>
      <c r="K809" t="str">
        <f t="shared" si="96"/>
        <v>Per pay period</v>
      </c>
      <c r="L809" t="str">
        <f t="shared" si="97"/>
        <v>Every pay period (ongoing)</v>
      </c>
      <c r="M809" s="39">
        <f t="array" ref="M809">MAX(_xlfn.XLOOKUP($A809,TRIM(SUBSTITUTE('worker file'!$A$2:$A$406,_xlfn.UNICHAR(160)," ")),'worker file'!$M$2:$M$406,0),_xlfn.XLOOKUP($B809,TRIM('pay group &amp; schedule'!$A$2:$A$6),'pay group &amp; schedule'!$D$2:$D$6,0))</f>
        <v>46299</v>
      </c>
      <c r="N809" s="39" t="str">
        <f t="array" ref="N809">_xlfn.LET(_xlpm.t,_xlfn.XLOOKUP($A809,TRIM(SUBSTITUTE('worker file'!$A$2:$A$406,_xlfn.UNICHAR(160)," ")),'worker file'!$N$2:$N$406,""),IF(N(_xlpm.t)=0,"",_xlpm.t))</f>
        <v/>
      </c>
    </row>
    <row r="810" spans="1:14" x14ac:dyDescent="0.2">
      <c r="A810" s="35" t="s">
        <v>376</v>
      </c>
      <c r="B810" s="36" t="str">
        <f t="array" ref="B810">_xlfn.XLOOKUP($A810,TRIM(SUBSTITUTE('worker file'!$A$2:$A$406,_xlfn.UNICHAR(160)," ")),'worker file'!$L$2:$L$406,"Not found")</f>
        <v>US Biweekly</v>
      </c>
      <c r="C810" s="36" t="str">
        <f t="array" ref="C810">_xlfn.XLOOKUP($A810,TRIM(SUBSTITUTE('worker file'!$A$2:$A$406,_xlfn.UNICHAR(160)," ")),'worker file'!$D$2:$D$406,"Not found")</f>
        <v>TX</v>
      </c>
      <c r="D810" s="36" t="str">
        <f t="array" ref="D810">_xlfn.XLOOKUP($A810,TRIM(SUBSTITUTE('worker file'!$A$2:$A$406,_xlfn.UNICHAR(160)," ")),'worker file'!$Q$2:$Q$406,"Not found")</f>
        <v>Active</v>
      </c>
      <c r="E810" s="35" t="s">
        <v>634</v>
      </c>
      <c r="F810" t="str">
        <f t="shared" si="92"/>
        <v>Vision – Employee</v>
      </c>
      <c r="G810" t="str">
        <f t="shared" si="93"/>
        <v>Pre-tax Section 125 (exempt from FIT/SIT/FICA)</v>
      </c>
      <c r="H810" t="str">
        <f t="shared" si="94"/>
        <v>Flat</v>
      </c>
      <c r="I810" s="40" t="str">
        <f>IF($H810="Percent",_xlfn.XLOOKUP($E810,$A$5:$A$8,$F$5:$F$8,""),"")</f>
        <v/>
      </c>
      <c r="J810" s="38">
        <f t="shared" si="95"/>
        <v>30</v>
      </c>
      <c r="K810" t="str">
        <f t="shared" si="96"/>
        <v>Per pay period</v>
      </c>
      <c r="L810" t="str">
        <f t="shared" si="97"/>
        <v>Every pay period (ongoing)</v>
      </c>
      <c r="M810" s="39">
        <f t="array" ref="M810">MAX(_xlfn.XLOOKUP($A810,TRIM(SUBSTITUTE('worker file'!$A$2:$A$406,_xlfn.UNICHAR(160)," ")),'worker file'!$M$2:$M$406,0),_xlfn.XLOOKUP($B810,TRIM('pay group &amp; schedule'!$A$2:$A$6),'pay group &amp; schedule'!$D$2:$D$6,0))</f>
        <v>46299</v>
      </c>
      <c r="N810" s="39" t="str">
        <f t="array" ref="N810">_xlfn.LET(_xlpm.t,_xlfn.XLOOKUP($A810,TRIM(SUBSTITUTE('worker file'!$A$2:$A$406,_xlfn.UNICHAR(160)," ")),'worker file'!$N$2:$N$406,""),IF(N(_xlpm.t)=0,"",_xlpm.t))</f>
        <v/>
      </c>
    </row>
    <row r="811" spans="1:14" x14ac:dyDescent="0.2">
      <c r="A811" s="35" t="s">
        <v>377</v>
      </c>
      <c r="B811" s="36" t="str">
        <f t="array" ref="B811">_xlfn.XLOOKUP($A811,TRIM(SUBSTITUTE('worker file'!$A$2:$A$406,_xlfn.UNICHAR(160)," ")),'worker file'!$L$2:$L$406,"Not found")</f>
        <v>US Biweekly</v>
      </c>
      <c r="C811" s="36" t="str">
        <f t="array" ref="C811">_xlfn.XLOOKUP($A811,TRIM(SUBSTITUTE('worker file'!$A$2:$A$406,_xlfn.UNICHAR(160)," ")),'worker file'!$D$2:$D$406,"Not found")</f>
        <v>TX</v>
      </c>
      <c r="D811" s="36" t="str">
        <f t="array" ref="D811">_xlfn.XLOOKUP($A811,TRIM(SUBSTITUTE('worker file'!$A$2:$A$406,_xlfn.UNICHAR(160)," ")),'worker file'!$Q$2:$Q$406,"Not found")</f>
        <v>Active</v>
      </c>
      <c r="E811" s="35" t="s">
        <v>618</v>
      </c>
      <c r="F811" t="str">
        <f t="shared" si="92"/>
        <v>401(k) Employee Deferral</v>
      </c>
      <c r="G811" t="str">
        <f t="shared" si="93"/>
        <v>Pre-tax (exempt from FIT/SIT; subject to FICA)</v>
      </c>
      <c r="H811" t="str">
        <f t="shared" si="94"/>
        <v>Percent</v>
      </c>
      <c r="I811" s="37">
        <v>0.04</v>
      </c>
      <c r="J811" s="38" t="str">
        <f t="shared" si="95"/>
        <v/>
      </c>
      <c r="K811" t="str">
        <f t="shared" si="96"/>
        <v>Gross pay</v>
      </c>
      <c r="L811" t="str">
        <f t="shared" si="97"/>
        <v>Every pay period (ongoing)</v>
      </c>
      <c r="M811" s="39">
        <f t="array" ref="M811">MAX(_xlfn.XLOOKUP($A811,TRIM(SUBSTITUTE('worker file'!$A$2:$A$406,_xlfn.UNICHAR(160)," ")),'worker file'!$M$2:$M$406,0),_xlfn.XLOOKUP($B811,TRIM('pay group &amp; schedule'!$A$2:$A$6),'pay group &amp; schedule'!$D$2:$D$6,0))</f>
        <v>46299</v>
      </c>
      <c r="N811" s="39" t="str">
        <f t="array" ref="N811">_xlfn.LET(_xlpm.t,_xlfn.XLOOKUP($A811,TRIM(SUBSTITUTE('worker file'!$A$2:$A$406,_xlfn.UNICHAR(160)," ")),'worker file'!$N$2:$N$406,""),IF(N(_xlpm.t)=0,"",_xlpm.t))</f>
        <v/>
      </c>
    </row>
    <row r="812" spans="1:14" x14ac:dyDescent="0.2">
      <c r="A812" s="35" t="s">
        <v>377</v>
      </c>
      <c r="B812" s="36" t="str">
        <f t="array" ref="B812">_xlfn.XLOOKUP($A812,TRIM(SUBSTITUTE('worker file'!$A$2:$A$406,_xlfn.UNICHAR(160)," ")),'worker file'!$L$2:$L$406,"Not found")</f>
        <v>US Biweekly</v>
      </c>
      <c r="C812" s="36" t="str">
        <f t="array" ref="C812">_xlfn.XLOOKUP($A812,TRIM(SUBSTITUTE('worker file'!$A$2:$A$406,_xlfn.UNICHAR(160)," ")),'worker file'!$D$2:$D$406,"Not found")</f>
        <v>TX</v>
      </c>
      <c r="D812" s="36" t="str">
        <f t="array" ref="D812">_xlfn.XLOOKUP($A812,TRIM(SUBSTITUTE('worker file'!$A$2:$A$406,_xlfn.UNICHAR(160)," ")),'worker file'!$Q$2:$Q$406,"Not found")</f>
        <v>Active</v>
      </c>
      <c r="E812" s="35" t="s">
        <v>626</v>
      </c>
      <c r="F812" t="str">
        <f t="shared" si="92"/>
        <v>Medical (Health) – Employee</v>
      </c>
      <c r="G812" t="str">
        <f t="shared" si="93"/>
        <v>Pre-tax Section 125 (exempt from FIT/SIT/FICA)</v>
      </c>
      <c r="H812" t="str">
        <f t="shared" si="94"/>
        <v>Flat</v>
      </c>
      <c r="I812" s="40" t="str">
        <f>IF($H812="Percent",_xlfn.XLOOKUP($E812,$A$5:$A$8,$F$5:$F$8,""),"")</f>
        <v/>
      </c>
      <c r="J812" s="38">
        <f t="shared" si="95"/>
        <v>200</v>
      </c>
      <c r="K812" t="str">
        <f t="shared" si="96"/>
        <v>Per pay period</v>
      </c>
      <c r="L812" t="str">
        <f t="shared" si="97"/>
        <v>Every pay period (ongoing)</v>
      </c>
      <c r="M812" s="39">
        <f t="array" ref="M812">MAX(_xlfn.XLOOKUP($A812,TRIM(SUBSTITUTE('worker file'!$A$2:$A$406,_xlfn.UNICHAR(160)," ")),'worker file'!$M$2:$M$406,0),_xlfn.XLOOKUP($B812,TRIM('pay group &amp; schedule'!$A$2:$A$6),'pay group &amp; schedule'!$D$2:$D$6,0))</f>
        <v>46299</v>
      </c>
      <c r="N812" s="39" t="str">
        <f t="array" ref="N812">_xlfn.LET(_xlpm.t,_xlfn.XLOOKUP($A812,TRIM(SUBSTITUTE('worker file'!$A$2:$A$406,_xlfn.UNICHAR(160)," ")),'worker file'!$N$2:$N$406,""),IF(N(_xlpm.t)=0,"",_xlpm.t))</f>
        <v/>
      </c>
    </row>
    <row r="813" spans="1:14" x14ac:dyDescent="0.2">
      <c r="A813" s="35" t="s">
        <v>377</v>
      </c>
      <c r="B813" s="36" t="str">
        <f t="array" ref="B813">_xlfn.XLOOKUP($A813,TRIM(SUBSTITUTE('worker file'!$A$2:$A$406,_xlfn.UNICHAR(160)," ")),'worker file'!$L$2:$L$406,"Not found")</f>
        <v>US Biweekly</v>
      </c>
      <c r="C813" s="36" t="str">
        <f t="array" ref="C813">_xlfn.XLOOKUP($A813,TRIM(SUBSTITUTE('worker file'!$A$2:$A$406,_xlfn.UNICHAR(160)," ")),'worker file'!$D$2:$D$406,"Not found")</f>
        <v>TX</v>
      </c>
      <c r="D813" s="36" t="str">
        <f t="array" ref="D813">_xlfn.XLOOKUP($A813,TRIM(SUBSTITUTE('worker file'!$A$2:$A$406,_xlfn.UNICHAR(160)," ")),'worker file'!$Q$2:$Q$406,"Not found")</f>
        <v>Active</v>
      </c>
      <c r="E813" s="35" t="s">
        <v>632</v>
      </c>
      <c r="F813" t="str">
        <f t="shared" si="92"/>
        <v>Dental – Employee</v>
      </c>
      <c r="G813" t="str">
        <f t="shared" si="93"/>
        <v>Pre-tax Section 125 (exempt from FIT/SIT/FICA)</v>
      </c>
      <c r="H813" t="str">
        <f t="shared" si="94"/>
        <v>Flat</v>
      </c>
      <c r="I813" s="40" t="str">
        <f>IF($H813="Percent",_xlfn.XLOOKUP($E813,$A$5:$A$8,$F$5:$F$8,""),"")</f>
        <v/>
      </c>
      <c r="J813" s="38">
        <f t="shared" si="95"/>
        <v>44</v>
      </c>
      <c r="K813" t="str">
        <f t="shared" si="96"/>
        <v>Per pay period</v>
      </c>
      <c r="L813" t="str">
        <f t="shared" si="97"/>
        <v>Every pay period (ongoing)</v>
      </c>
      <c r="M813" s="39">
        <f t="array" ref="M813">MAX(_xlfn.XLOOKUP($A813,TRIM(SUBSTITUTE('worker file'!$A$2:$A$406,_xlfn.UNICHAR(160)," ")),'worker file'!$M$2:$M$406,0),_xlfn.XLOOKUP($B813,TRIM('pay group &amp; schedule'!$A$2:$A$6),'pay group &amp; schedule'!$D$2:$D$6,0))</f>
        <v>46299</v>
      </c>
      <c r="N813" s="39" t="str">
        <f t="array" ref="N813">_xlfn.LET(_xlpm.t,_xlfn.XLOOKUP($A813,TRIM(SUBSTITUTE('worker file'!$A$2:$A$406,_xlfn.UNICHAR(160)," ")),'worker file'!$N$2:$N$406,""),IF(N(_xlpm.t)=0,"",_xlpm.t))</f>
        <v/>
      </c>
    </row>
    <row r="814" spans="1:14" x14ac:dyDescent="0.2">
      <c r="A814" s="35" t="s">
        <v>377</v>
      </c>
      <c r="B814" s="36" t="str">
        <f t="array" ref="B814">_xlfn.XLOOKUP($A814,TRIM(SUBSTITUTE('worker file'!$A$2:$A$406,_xlfn.UNICHAR(160)," ")),'worker file'!$L$2:$L$406,"Not found")</f>
        <v>US Biweekly</v>
      </c>
      <c r="C814" s="36" t="str">
        <f t="array" ref="C814">_xlfn.XLOOKUP($A814,TRIM(SUBSTITUTE('worker file'!$A$2:$A$406,_xlfn.UNICHAR(160)," ")),'worker file'!$D$2:$D$406,"Not found")</f>
        <v>TX</v>
      </c>
      <c r="D814" s="36" t="str">
        <f t="array" ref="D814">_xlfn.XLOOKUP($A814,TRIM(SUBSTITUTE('worker file'!$A$2:$A$406,_xlfn.UNICHAR(160)," ")),'worker file'!$Q$2:$Q$406,"Not found")</f>
        <v>Active</v>
      </c>
      <c r="E814" s="35" t="s">
        <v>634</v>
      </c>
      <c r="F814" t="str">
        <f t="shared" si="92"/>
        <v>Vision – Employee</v>
      </c>
      <c r="G814" t="str">
        <f t="shared" si="93"/>
        <v>Pre-tax Section 125 (exempt from FIT/SIT/FICA)</v>
      </c>
      <c r="H814" t="str">
        <f t="shared" si="94"/>
        <v>Flat</v>
      </c>
      <c r="I814" s="40" t="str">
        <f>IF($H814="Percent",_xlfn.XLOOKUP($E814,$A$5:$A$8,$F$5:$F$8,""),"")</f>
        <v/>
      </c>
      <c r="J814" s="38">
        <f t="shared" si="95"/>
        <v>30</v>
      </c>
      <c r="K814" t="str">
        <f t="shared" si="96"/>
        <v>Per pay period</v>
      </c>
      <c r="L814" t="str">
        <f t="shared" si="97"/>
        <v>Every pay period (ongoing)</v>
      </c>
      <c r="M814" s="39">
        <f t="array" ref="M814">MAX(_xlfn.XLOOKUP($A814,TRIM(SUBSTITUTE('worker file'!$A$2:$A$406,_xlfn.UNICHAR(160)," ")),'worker file'!$M$2:$M$406,0),_xlfn.XLOOKUP($B814,TRIM('pay group &amp; schedule'!$A$2:$A$6),'pay group &amp; schedule'!$D$2:$D$6,0))</f>
        <v>46299</v>
      </c>
      <c r="N814" s="39" t="str">
        <f t="array" ref="N814">_xlfn.LET(_xlpm.t,_xlfn.XLOOKUP($A814,TRIM(SUBSTITUTE('worker file'!$A$2:$A$406,_xlfn.UNICHAR(160)," ")),'worker file'!$N$2:$N$406,""),IF(N(_xlpm.t)=0,"",_xlpm.t))</f>
        <v/>
      </c>
    </row>
    <row r="815" spans="1:14" x14ac:dyDescent="0.2">
      <c r="A815" s="35" t="s">
        <v>378</v>
      </c>
      <c r="B815" s="36" t="str">
        <f t="array" ref="B815">_xlfn.XLOOKUP($A815,TRIM(SUBSTITUTE('worker file'!$A$2:$A$406,_xlfn.UNICHAR(160)," ")),'worker file'!$L$2:$L$406,"Not found")</f>
        <v>US Semi-monthly</v>
      </c>
      <c r="C815" s="36" t="str">
        <f t="array" ref="C815">_xlfn.XLOOKUP($A815,TRIM(SUBSTITUTE('worker file'!$A$2:$A$406,_xlfn.UNICHAR(160)," ")),'worker file'!$D$2:$D$406,"Not found")</f>
        <v>CA</v>
      </c>
      <c r="D815" s="36" t="str">
        <f t="array" ref="D815">_xlfn.XLOOKUP($A815,TRIM(SUBSTITUTE('worker file'!$A$2:$A$406,_xlfn.UNICHAR(160)," ")),'worker file'!$Q$2:$Q$406,"Not found")</f>
        <v>Active</v>
      </c>
      <c r="E815" s="35" t="s">
        <v>618</v>
      </c>
      <c r="F815" t="str">
        <f t="shared" si="92"/>
        <v>401(k) Employee Deferral</v>
      </c>
      <c r="G815" t="str">
        <f t="shared" si="93"/>
        <v>Pre-tax (exempt from FIT/SIT; subject to FICA)</v>
      </c>
      <c r="H815" t="str">
        <f t="shared" si="94"/>
        <v>Percent</v>
      </c>
      <c r="I815" s="37">
        <v>0.01</v>
      </c>
      <c r="J815" s="38" t="str">
        <f t="shared" si="95"/>
        <v/>
      </c>
      <c r="K815" t="str">
        <f t="shared" si="96"/>
        <v>Gross pay</v>
      </c>
      <c r="L815" t="str">
        <f t="shared" si="97"/>
        <v>Every pay period (ongoing)</v>
      </c>
      <c r="M815" s="39">
        <f t="array" ref="M815">MAX(_xlfn.XLOOKUP($A815,TRIM(SUBSTITUTE('worker file'!$A$2:$A$406,_xlfn.UNICHAR(160)," ")),'worker file'!$M$2:$M$406,0),_xlfn.XLOOKUP($B815,TRIM('pay group &amp; schedule'!$A$2:$A$6),'pay group &amp; schedule'!$D$2:$D$6,0))</f>
        <v>46311</v>
      </c>
      <c r="N815" s="39" t="str">
        <f t="array" ref="N815">_xlfn.LET(_xlpm.t,_xlfn.XLOOKUP($A815,TRIM(SUBSTITUTE('worker file'!$A$2:$A$406,_xlfn.UNICHAR(160)," ")),'worker file'!$N$2:$N$406,""),IF(N(_xlpm.t)=0,"",_xlpm.t))</f>
        <v/>
      </c>
    </row>
    <row r="816" spans="1:14" x14ac:dyDescent="0.2">
      <c r="A816" s="35" t="s">
        <v>378</v>
      </c>
      <c r="B816" s="36" t="str">
        <f t="array" ref="B816">_xlfn.XLOOKUP($A816,TRIM(SUBSTITUTE('worker file'!$A$2:$A$406,_xlfn.UNICHAR(160)," ")),'worker file'!$L$2:$L$406,"Not found")</f>
        <v>US Semi-monthly</v>
      </c>
      <c r="C816" s="36" t="str">
        <f t="array" ref="C816">_xlfn.XLOOKUP($A816,TRIM(SUBSTITUTE('worker file'!$A$2:$A$406,_xlfn.UNICHAR(160)," ")),'worker file'!$D$2:$D$406,"Not found")</f>
        <v>CA</v>
      </c>
      <c r="D816" s="36" t="str">
        <f t="array" ref="D816">_xlfn.XLOOKUP($A816,TRIM(SUBSTITUTE('worker file'!$A$2:$A$406,_xlfn.UNICHAR(160)," ")),'worker file'!$Q$2:$Q$406,"Not found")</f>
        <v>Active</v>
      </c>
      <c r="E816" s="35" t="s">
        <v>626</v>
      </c>
      <c r="F816" t="str">
        <f t="shared" si="92"/>
        <v>Medical (Health) – Employee</v>
      </c>
      <c r="G816" t="str">
        <f t="shared" si="93"/>
        <v>Pre-tax Section 125 (exempt from FIT/SIT/FICA)</v>
      </c>
      <c r="H816" t="str">
        <f t="shared" si="94"/>
        <v>Flat</v>
      </c>
      <c r="I816" s="40" t="str">
        <f>IF($H816="Percent",_xlfn.XLOOKUP($E816,$A$5:$A$8,$F$5:$F$8,""),"")</f>
        <v/>
      </c>
      <c r="J816" s="38">
        <f t="shared" si="95"/>
        <v>200</v>
      </c>
      <c r="K816" t="str">
        <f t="shared" si="96"/>
        <v>Per pay period</v>
      </c>
      <c r="L816" t="str">
        <f t="shared" si="97"/>
        <v>Every pay period (ongoing)</v>
      </c>
      <c r="M816" s="39">
        <f t="array" ref="M816">MAX(_xlfn.XLOOKUP($A816,TRIM(SUBSTITUTE('worker file'!$A$2:$A$406,_xlfn.UNICHAR(160)," ")),'worker file'!$M$2:$M$406,0),_xlfn.XLOOKUP($B816,TRIM('pay group &amp; schedule'!$A$2:$A$6),'pay group &amp; schedule'!$D$2:$D$6,0))</f>
        <v>46311</v>
      </c>
      <c r="N816" s="39" t="str">
        <f t="array" ref="N816">_xlfn.LET(_xlpm.t,_xlfn.XLOOKUP($A816,TRIM(SUBSTITUTE('worker file'!$A$2:$A$406,_xlfn.UNICHAR(160)," ")),'worker file'!$N$2:$N$406,""),IF(N(_xlpm.t)=0,"",_xlpm.t))</f>
        <v/>
      </c>
    </row>
    <row r="817" spans="1:15" x14ac:dyDescent="0.2">
      <c r="A817" s="35" t="s">
        <v>378</v>
      </c>
      <c r="B817" s="36" t="str">
        <f t="array" ref="B817">_xlfn.XLOOKUP($A817,TRIM(SUBSTITUTE('worker file'!$A$2:$A$406,_xlfn.UNICHAR(160)," ")),'worker file'!$L$2:$L$406,"Not found")</f>
        <v>US Semi-monthly</v>
      </c>
      <c r="C817" s="36" t="str">
        <f t="array" ref="C817">_xlfn.XLOOKUP($A817,TRIM(SUBSTITUTE('worker file'!$A$2:$A$406,_xlfn.UNICHAR(160)," ")),'worker file'!$D$2:$D$406,"Not found")</f>
        <v>CA</v>
      </c>
      <c r="D817" s="36" t="str">
        <f t="array" ref="D817">_xlfn.XLOOKUP($A817,TRIM(SUBSTITUTE('worker file'!$A$2:$A$406,_xlfn.UNICHAR(160)," ")),'worker file'!$Q$2:$Q$406,"Not found")</f>
        <v>Active</v>
      </c>
      <c r="E817" s="35" t="s">
        <v>632</v>
      </c>
      <c r="F817" t="str">
        <f t="shared" si="92"/>
        <v>Dental – Employee</v>
      </c>
      <c r="G817" t="str">
        <f t="shared" si="93"/>
        <v>Pre-tax Section 125 (exempt from FIT/SIT/FICA)</v>
      </c>
      <c r="H817" t="str">
        <f t="shared" si="94"/>
        <v>Flat</v>
      </c>
      <c r="I817" s="40" t="str">
        <f>IF($H817="Percent",_xlfn.XLOOKUP($E817,$A$5:$A$8,$F$5:$F$8,""),"")</f>
        <v/>
      </c>
      <c r="J817" s="38">
        <f t="shared" si="95"/>
        <v>44</v>
      </c>
      <c r="K817" t="str">
        <f t="shared" si="96"/>
        <v>Per pay period</v>
      </c>
      <c r="L817" t="str">
        <f t="shared" si="97"/>
        <v>Every pay period (ongoing)</v>
      </c>
      <c r="M817" s="39">
        <f t="array" ref="M817">MAX(_xlfn.XLOOKUP($A817,TRIM(SUBSTITUTE('worker file'!$A$2:$A$406,_xlfn.UNICHAR(160)," ")),'worker file'!$M$2:$M$406,0),_xlfn.XLOOKUP($B817,TRIM('pay group &amp; schedule'!$A$2:$A$6),'pay group &amp; schedule'!$D$2:$D$6,0))</f>
        <v>46311</v>
      </c>
      <c r="N817" s="39" t="str">
        <f t="array" ref="N817">_xlfn.LET(_xlpm.t,_xlfn.XLOOKUP($A817,TRIM(SUBSTITUTE('worker file'!$A$2:$A$406,_xlfn.UNICHAR(160)," ")),'worker file'!$N$2:$N$406,""),IF(N(_xlpm.t)=0,"",_xlpm.t))</f>
        <v/>
      </c>
    </row>
    <row r="818" spans="1:15" x14ac:dyDescent="0.2">
      <c r="A818" s="35" t="s">
        <v>378</v>
      </c>
      <c r="B818" s="36" t="str">
        <f t="array" ref="B818">_xlfn.XLOOKUP($A818,TRIM(SUBSTITUTE('worker file'!$A$2:$A$406,_xlfn.UNICHAR(160)," ")),'worker file'!$L$2:$L$406,"Not found")</f>
        <v>US Semi-monthly</v>
      </c>
      <c r="C818" s="36" t="str">
        <f t="array" ref="C818">_xlfn.XLOOKUP($A818,TRIM(SUBSTITUTE('worker file'!$A$2:$A$406,_xlfn.UNICHAR(160)," ")),'worker file'!$D$2:$D$406,"Not found")</f>
        <v>CA</v>
      </c>
      <c r="D818" s="36" t="str">
        <f t="array" ref="D818">_xlfn.XLOOKUP($A818,TRIM(SUBSTITUTE('worker file'!$A$2:$A$406,_xlfn.UNICHAR(160)," ")),'worker file'!$Q$2:$Q$406,"Not found")</f>
        <v>Active</v>
      </c>
      <c r="E818" s="35" t="s">
        <v>634</v>
      </c>
      <c r="F818" t="str">
        <f t="shared" si="92"/>
        <v>Vision – Employee</v>
      </c>
      <c r="G818" t="str">
        <f t="shared" si="93"/>
        <v>Pre-tax Section 125 (exempt from FIT/SIT/FICA)</v>
      </c>
      <c r="H818" t="str">
        <f t="shared" si="94"/>
        <v>Flat</v>
      </c>
      <c r="I818" s="40" t="str">
        <f>IF($H818="Percent",_xlfn.XLOOKUP($E818,$A$5:$A$8,$F$5:$F$8,""),"")</f>
        <v/>
      </c>
      <c r="J818" s="38">
        <f t="shared" si="95"/>
        <v>30</v>
      </c>
      <c r="K818" t="str">
        <f t="shared" si="96"/>
        <v>Per pay period</v>
      </c>
      <c r="L818" t="str">
        <f t="shared" si="97"/>
        <v>Every pay period (ongoing)</v>
      </c>
      <c r="M818" s="39">
        <f t="array" ref="M818">MAX(_xlfn.XLOOKUP($A818,TRIM(SUBSTITUTE('worker file'!$A$2:$A$406,_xlfn.UNICHAR(160)," ")),'worker file'!$M$2:$M$406,0),_xlfn.XLOOKUP($B818,TRIM('pay group &amp; schedule'!$A$2:$A$6),'pay group &amp; schedule'!$D$2:$D$6,0))</f>
        <v>46311</v>
      </c>
      <c r="N818" s="39" t="str">
        <f t="array" ref="N818">_xlfn.LET(_xlpm.t,_xlfn.XLOOKUP($A818,TRIM(SUBSTITUTE('worker file'!$A$2:$A$406,_xlfn.UNICHAR(160)," ")),'worker file'!$N$2:$N$406,""),IF(N(_xlpm.t)=0,"",_xlpm.t))</f>
        <v/>
      </c>
    </row>
    <row r="819" spans="1:15" x14ac:dyDescent="0.2">
      <c r="A819" s="35" t="s">
        <v>379</v>
      </c>
      <c r="B819" s="36" t="str">
        <f t="array" ref="B819">_xlfn.XLOOKUP($A819,TRIM(SUBSTITUTE('worker file'!$A$2:$A$406,_xlfn.UNICHAR(160)," ")),'worker file'!$L$2:$L$406,"Not found")</f>
        <v>US Biweekly</v>
      </c>
      <c r="C819" s="36" t="str">
        <f t="array" ref="C819">_xlfn.XLOOKUP($A819,TRIM(SUBSTITUTE('worker file'!$A$2:$A$406,_xlfn.UNICHAR(160)," ")),'worker file'!$D$2:$D$406,"Not found")</f>
        <v>TX</v>
      </c>
      <c r="D819" s="36" t="str">
        <f t="array" ref="D819">_xlfn.XLOOKUP($A819,TRIM(SUBSTITUTE('worker file'!$A$2:$A$406,_xlfn.UNICHAR(160)," ")),'worker file'!$Q$2:$Q$406,"Not found")</f>
        <v>On Leave(paid)</v>
      </c>
      <c r="E819" s="35" t="s">
        <v>618</v>
      </c>
      <c r="F819" t="str">
        <f t="shared" si="92"/>
        <v>401(k) Employee Deferral</v>
      </c>
      <c r="G819" t="str">
        <f t="shared" si="93"/>
        <v>Pre-tax (exempt from FIT/SIT; subject to FICA)</v>
      </c>
      <c r="H819" t="str">
        <f t="shared" si="94"/>
        <v>Percent</v>
      </c>
      <c r="I819" s="37">
        <v>0.06</v>
      </c>
      <c r="J819" s="38" t="str">
        <f t="shared" si="95"/>
        <v/>
      </c>
      <c r="K819" t="str">
        <f t="shared" si="96"/>
        <v>Gross pay</v>
      </c>
      <c r="L819" t="str">
        <f t="shared" si="97"/>
        <v>Every pay period (ongoing)</v>
      </c>
      <c r="M819" s="39">
        <f t="array" ref="M819">MAX(_xlfn.XLOOKUP($A819,TRIM(SUBSTITUTE('worker file'!$A$2:$A$406,_xlfn.UNICHAR(160)," ")),'worker file'!$M$2:$M$406,0),_xlfn.XLOOKUP($B819,TRIM('pay group &amp; schedule'!$A$2:$A$6),'pay group &amp; schedule'!$D$2:$D$6,0))</f>
        <v>46299</v>
      </c>
      <c r="N819" s="39" t="str">
        <f t="array" ref="N819">_xlfn.LET(_xlpm.t,_xlfn.XLOOKUP($A819,TRIM(SUBSTITUTE('worker file'!$A$2:$A$406,_xlfn.UNICHAR(160)," ")),'worker file'!$N$2:$N$406,""),IF(N(_xlpm.t)=0,"",_xlpm.t))</f>
        <v/>
      </c>
      <c r="O819" t="s">
        <v>648</v>
      </c>
    </row>
    <row r="820" spans="1:15" x14ac:dyDescent="0.2">
      <c r="A820" s="35" t="s">
        <v>379</v>
      </c>
      <c r="B820" s="36" t="str">
        <f t="array" ref="B820">_xlfn.XLOOKUP($A820,TRIM(SUBSTITUTE('worker file'!$A$2:$A$406,_xlfn.UNICHAR(160)," ")),'worker file'!$L$2:$L$406,"Not found")</f>
        <v>US Biweekly</v>
      </c>
      <c r="C820" s="36" t="str">
        <f t="array" ref="C820">_xlfn.XLOOKUP($A820,TRIM(SUBSTITUTE('worker file'!$A$2:$A$406,_xlfn.UNICHAR(160)," ")),'worker file'!$D$2:$D$406,"Not found")</f>
        <v>TX</v>
      </c>
      <c r="D820" s="36" t="str">
        <f t="array" ref="D820">_xlfn.XLOOKUP($A820,TRIM(SUBSTITUTE('worker file'!$A$2:$A$406,_xlfn.UNICHAR(160)," ")),'worker file'!$Q$2:$Q$406,"Not found")</f>
        <v>On Leave(paid)</v>
      </c>
      <c r="E820" s="35" t="s">
        <v>626</v>
      </c>
      <c r="F820" t="str">
        <f t="shared" si="92"/>
        <v>Medical (Health) – Employee</v>
      </c>
      <c r="G820" t="str">
        <f t="shared" si="93"/>
        <v>Pre-tax Section 125 (exempt from FIT/SIT/FICA)</v>
      </c>
      <c r="H820" t="str">
        <f t="shared" si="94"/>
        <v>Flat</v>
      </c>
      <c r="I820" s="40" t="str">
        <f>IF($H820="Percent",_xlfn.XLOOKUP($E820,$A$5:$A$8,$F$5:$F$8,""),"")</f>
        <v/>
      </c>
      <c r="J820" s="38">
        <f t="shared" si="95"/>
        <v>200</v>
      </c>
      <c r="K820" t="str">
        <f t="shared" si="96"/>
        <v>Per pay period</v>
      </c>
      <c r="L820" t="str">
        <f t="shared" si="97"/>
        <v>Every pay period (ongoing)</v>
      </c>
      <c r="M820" s="39">
        <f t="array" ref="M820">MAX(_xlfn.XLOOKUP($A820,TRIM(SUBSTITUTE('worker file'!$A$2:$A$406,_xlfn.UNICHAR(160)," ")),'worker file'!$M$2:$M$406,0),_xlfn.XLOOKUP($B820,TRIM('pay group &amp; schedule'!$A$2:$A$6),'pay group &amp; schedule'!$D$2:$D$6,0))</f>
        <v>46299</v>
      </c>
      <c r="N820" s="39" t="str">
        <f t="array" ref="N820">_xlfn.LET(_xlpm.t,_xlfn.XLOOKUP($A820,TRIM(SUBSTITUTE('worker file'!$A$2:$A$406,_xlfn.UNICHAR(160)," ")),'worker file'!$N$2:$N$406,""),IF(N(_xlpm.t)=0,"",_xlpm.t))</f>
        <v/>
      </c>
      <c r="O820" t="s">
        <v>648</v>
      </c>
    </row>
    <row r="821" spans="1:15" x14ac:dyDescent="0.2">
      <c r="A821" s="35" t="s">
        <v>379</v>
      </c>
      <c r="B821" s="36" t="str">
        <f t="array" ref="B821">_xlfn.XLOOKUP($A821,TRIM(SUBSTITUTE('worker file'!$A$2:$A$406,_xlfn.UNICHAR(160)," ")),'worker file'!$L$2:$L$406,"Not found")</f>
        <v>US Biweekly</v>
      </c>
      <c r="C821" s="36" t="str">
        <f t="array" ref="C821">_xlfn.XLOOKUP($A821,TRIM(SUBSTITUTE('worker file'!$A$2:$A$406,_xlfn.UNICHAR(160)," ")),'worker file'!$D$2:$D$406,"Not found")</f>
        <v>TX</v>
      </c>
      <c r="D821" s="36" t="str">
        <f t="array" ref="D821">_xlfn.XLOOKUP($A821,TRIM(SUBSTITUTE('worker file'!$A$2:$A$406,_xlfn.UNICHAR(160)," ")),'worker file'!$Q$2:$Q$406,"Not found")</f>
        <v>On Leave(paid)</v>
      </c>
      <c r="E821" s="35" t="s">
        <v>632</v>
      </c>
      <c r="F821" t="str">
        <f t="shared" si="92"/>
        <v>Dental – Employee</v>
      </c>
      <c r="G821" t="str">
        <f t="shared" si="93"/>
        <v>Pre-tax Section 125 (exempt from FIT/SIT/FICA)</v>
      </c>
      <c r="H821" t="str">
        <f t="shared" si="94"/>
        <v>Flat</v>
      </c>
      <c r="I821" s="40" t="str">
        <f>IF($H821="Percent",_xlfn.XLOOKUP($E821,$A$5:$A$8,$F$5:$F$8,""),"")</f>
        <v/>
      </c>
      <c r="J821" s="38">
        <f t="shared" si="95"/>
        <v>44</v>
      </c>
      <c r="K821" t="str">
        <f t="shared" si="96"/>
        <v>Per pay period</v>
      </c>
      <c r="L821" t="str">
        <f t="shared" si="97"/>
        <v>Every pay period (ongoing)</v>
      </c>
      <c r="M821" s="39">
        <f t="array" ref="M821">MAX(_xlfn.XLOOKUP($A821,TRIM(SUBSTITUTE('worker file'!$A$2:$A$406,_xlfn.UNICHAR(160)," ")),'worker file'!$M$2:$M$406,0),_xlfn.XLOOKUP($B821,TRIM('pay group &amp; schedule'!$A$2:$A$6),'pay group &amp; schedule'!$D$2:$D$6,0))</f>
        <v>46299</v>
      </c>
      <c r="N821" s="39" t="str">
        <f t="array" ref="N821">_xlfn.LET(_xlpm.t,_xlfn.XLOOKUP($A821,TRIM(SUBSTITUTE('worker file'!$A$2:$A$406,_xlfn.UNICHAR(160)," ")),'worker file'!$N$2:$N$406,""),IF(N(_xlpm.t)=0,"",_xlpm.t))</f>
        <v/>
      </c>
      <c r="O821" t="s">
        <v>648</v>
      </c>
    </row>
    <row r="822" spans="1:15" x14ac:dyDescent="0.2">
      <c r="A822" s="35" t="s">
        <v>379</v>
      </c>
      <c r="B822" s="36" t="str">
        <f t="array" ref="B822">_xlfn.XLOOKUP($A822,TRIM(SUBSTITUTE('worker file'!$A$2:$A$406,_xlfn.UNICHAR(160)," ")),'worker file'!$L$2:$L$406,"Not found")</f>
        <v>US Biweekly</v>
      </c>
      <c r="C822" s="36" t="str">
        <f t="array" ref="C822">_xlfn.XLOOKUP($A822,TRIM(SUBSTITUTE('worker file'!$A$2:$A$406,_xlfn.UNICHAR(160)," ")),'worker file'!$D$2:$D$406,"Not found")</f>
        <v>TX</v>
      </c>
      <c r="D822" s="36" t="str">
        <f t="array" ref="D822">_xlfn.XLOOKUP($A822,TRIM(SUBSTITUTE('worker file'!$A$2:$A$406,_xlfn.UNICHAR(160)," ")),'worker file'!$Q$2:$Q$406,"Not found")</f>
        <v>On Leave(paid)</v>
      </c>
      <c r="E822" s="35" t="s">
        <v>634</v>
      </c>
      <c r="F822" t="str">
        <f t="shared" si="92"/>
        <v>Vision – Employee</v>
      </c>
      <c r="G822" t="str">
        <f t="shared" si="93"/>
        <v>Pre-tax Section 125 (exempt from FIT/SIT/FICA)</v>
      </c>
      <c r="H822" t="str">
        <f t="shared" si="94"/>
        <v>Flat</v>
      </c>
      <c r="I822" s="40" t="str">
        <f>IF($H822="Percent",_xlfn.XLOOKUP($E822,$A$5:$A$8,$F$5:$F$8,""),"")</f>
        <v/>
      </c>
      <c r="J822" s="38">
        <f t="shared" si="95"/>
        <v>30</v>
      </c>
      <c r="K822" t="str">
        <f t="shared" si="96"/>
        <v>Per pay period</v>
      </c>
      <c r="L822" t="str">
        <f t="shared" si="97"/>
        <v>Every pay period (ongoing)</v>
      </c>
      <c r="M822" s="39">
        <f t="array" ref="M822">MAX(_xlfn.XLOOKUP($A822,TRIM(SUBSTITUTE('worker file'!$A$2:$A$406,_xlfn.UNICHAR(160)," ")),'worker file'!$M$2:$M$406,0),_xlfn.XLOOKUP($B822,TRIM('pay group &amp; schedule'!$A$2:$A$6),'pay group &amp; schedule'!$D$2:$D$6,0))</f>
        <v>46299</v>
      </c>
      <c r="N822" s="39" t="str">
        <f t="array" ref="N822">_xlfn.LET(_xlpm.t,_xlfn.XLOOKUP($A822,TRIM(SUBSTITUTE('worker file'!$A$2:$A$406,_xlfn.UNICHAR(160)," ")),'worker file'!$N$2:$N$406,""),IF(N(_xlpm.t)=0,"",_xlpm.t))</f>
        <v/>
      </c>
      <c r="O822" t="s">
        <v>648</v>
      </c>
    </row>
    <row r="823" spans="1:15" x14ac:dyDescent="0.2">
      <c r="A823" s="35" t="s">
        <v>382</v>
      </c>
      <c r="B823" s="36" t="str">
        <f t="array" ref="B823">_xlfn.XLOOKUP($A823,TRIM(SUBSTITUTE('worker file'!$A$2:$A$406,_xlfn.UNICHAR(160)," ")),'worker file'!$L$2:$L$406,"Not found")</f>
        <v>US Semi-monthly</v>
      </c>
      <c r="C823" s="36" t="str">
        <f t="array" ref="C823">_xlfn.XLOOKUP($A823,TRIM(SUBSTITUTE('worker file'!$A$2:$A$406,_xlfn.UNICHAR(160)," ")),'worker file'!$D$2:$D$406,"Not found")</f>
        <v>MA</v>
      </c>
      <c r="D823" s="36" t="str">
        <f t="array" ref="D823">_xlfn.XLOOKUP($A823,TRIM(SUBSTITUTE('worker file'!$A$2:$A$406,_xlfn.UNICHAR(160)," ")),'worker file'!$Q$2:$Q$406,"Not found")</f>
        <v>Active</v>
      </c>
      <c r="E823" s="35" t="s">
        <v>618</v>
      </c>
      <c r="F823" t="str">
        <f t="shared" si="92"/>
        <v>401(k) Employee Deferral</v>
      </c>
      <c r="G823" t="str">
        <f t="shared" si="93"/>
        <v>Pre-tax (exempt from FIT/SIT; subject to FICA)</v>
      </c>
      <c r="H823" t="str">
        <f t="shared" si="94"/>
        <v>Percent</v>
      </c>
      <c r="I823" s="37">
        <v>0.03</v>
      </c>
      <c r="J823" s="38" t="str">
        <f t="shared" si="95"/>
        <v/>
      </c>
      <c r="K823" t="str">
        <f t="shared" si="96"/>
        <v>Gross pay</v>
      </c>
      <c r="L823" t="str">
        <f t="shared" si="97"/>
        <v>Every pay period (ongoing)</v>
      </c>
      <c r="M823" s="39">
        <f t="array" ref="M823">MAX(_xlfn.XLOOKUP($A823,TRIM(SUBSTITUTE('worker file'!$A$2:$A$406,_xlfn.UNICHAR(160)," ")),'worker file'!$M$2:$M$406,0),_xlfn.XLOOKUP($B823,TRIM('pay group &amp; schedule'!$A$2:$A$6),'pay group &amp; schedule'!$D$2:$D$6,0))</f>
        <v>46311</v>
      </c>
      <c r="N823" s="39" t="str">
        <f t="array" ref="N823">_xlfn.LET(_xlpm.t,_xlfn.XLOOKUP($A823,TRIM(SUBSTITUTE('worker file'!$A$2:$A$406,_xlfn.UNICHAR(160)," ")),'worker file'!$N$2:$N$406,""),IF(N(_xlpm.t)=0,"",_xlpm.t))</f>
        <v/>
      </c>
    </row>
    <row r="824" spans="1:15" x14ac:dyDescent="0.2">
      <c r="A824" s="35" t="s">
        <v>382</v>
      </c>
      <c r="B824" s="36" t="str">
        <f t="array" ref="B824">_xlfn.XLOOKUP($A824,TRIM(SUBSTITUTE('worker file'!$A$2:$A$406,_xlfn.UNICHAR(160)," ")),'worker file'!$L$2:$L$406,"Not found")</f>
        <v>US Semi-monthly</v>
      </c>
      <c r="C824" s="36" t="str">
        <f t="array" ref="C824">_xlfn.XLOOKUP($A824,TRIM(SUBSTITUTE('worker file'!$A$2:$A$406,_xlfn.UNICHAR(160)," ")),'worker file'!$D$2:$D$406,"Not found")</f>
        <v>MA</v>
      </c>
      <c r="D824" s="36" t="str">
        <f t="array" ref="D824">_xlfn.XLOOKUP($A824,TRIM(SUBSTITUTE('worker file'!$A$2:$A$406,_xlfn.UNICHAR(160)," ")),'worker file'!$Q$2:$Q$406,"Not found")</f>
        <v>Active</v>
      </c>
      <c r="E824" s="35" t="s">
        <v>626</v>
      </c>
      <c r="F824" t="str">
        <f t="shared" si="92"/>
        <v>Medical (Health) – Employee</v>
      </c>
      <c r="G824" t="str">
        <f t="shared" si="93"/>
        <v>Pre-tax Section 125 (exempt from FIT/SIT/FICA)</v>
      </c>
      <c r="H824" t="str">
        <f t="shared" si="94"/>
        <v>Flat</v>
      </c>
      <c r="I824" s="40" t="str">
        <f>IF($H824="Percent",_xlfn.XLOOKUP($E824,$A$5:$A$8,$F$5:$F$8,""),"")</f>
        <v/>
      </c>
      <c r="J824" s="38">
        <f t="shared" si="95"/>
        <v>200</v>
      </c>
      <c r="K824" t="str">
        <f t="shared" si="96"/>
        <v>Per pay period</v>
      </c>
      <c r="L824" t="str">
        <f t="shared" si="97"/>
        <v>Every pay period (ongoing)</v>
      </c>
      <c r="M824" s="39">
        <f t="array" ref="M824">MAX(_xlfn.XLOOKUP($A824,TRIM(SUBSTITUTE('worker file'!$A$2:$A$406,_xlfn.UNICHAR(160)," ")),'worker file'!$M$2:$M$406,0),_xlfn.XLOOKUP($B824,TRIM('pay group &amp; schedule'!$A$2:$A$6),'pay group &amp; schedule'!$D$2:$D$6,0))</f>
        <v>46311</v>
      </c>
      <c r="N824" s="39" t="str">
        <f t="array" ref="N824">_xlfn.LET(_xlpm.t,_xlfn.XLOOKUP($A824,TRIM(SUBSTITUTE('worker file'!$A$2:$A$406,_xlfn.UNICHAR(160)," ")),'worker file'!$N$2:$N$406,""),IF(N(_xlpm.t)=0,"",_xlpm.t))</f>
        <v/>
      </c>
    </row>
    <row r="825" spans="1:15" x14ac:dyDescent="0.2">
      <c r="A825" s="35" t="s">
        <v>382</v>
      </c>
      <c r="B825" s="36" t="str">
        <f t="array" ref="B825">_xlfn.XLOOKUP($A825,TRIM(SUBSTITUTE('worker file'!$A$2:$A$406,_xlfn.UNICHAR(160)," ")),'worker file'!$L$2:$L$406,"Not found")</f>
        <v>US Semi-monthly</v>
      </c>
      <c r="C825" s="36" t="str">
        <f t="array" ref="C825">_xlfn.XLOOKUP($A825,TRIM(SUBSTITUTE('worker file'!$A$2:$A$406,_xlfn.UNICHAR(160)," ")),'worker file'!$D$2:$D$406,"Not found")</f>
        <v>MA</v>
      </c>
      <c r="D825" s="36" t="str">
        <f t="array" ref="D825">_xlfn.XLOOKUP($A825,TRIM(SUBSTITUTE('worker file'!$A$2:$A$406,_xlfn.UNICHAR(160)," ")),'worker file'!$Q$2:$Q$406,"Not found")</f>
        <v>Active</v>
      </c>
      <c r="E825" s="35" t="s">
        <v>632</v>
      </c>
      <c r="F825" t="str">
        <f t="shared" si="92"/>
        <v>Dental – Employee</v>
      </c>
      <c r="G825" t="str">
        <f t="shared" si="93"/>
        <v>Pre-tax Section 125 (exempt from FIT/SIT/FICA)</v>
      </c>
      <c r="H825" t="str">
        <f t="shared" si="94"/>
        <v>Flat</v>
      </c>
      <c r="I825" s="40" t="str">
        <f>IF($H825="Percent",_xlfn.XLOOKUP($E825,$A$5:$A$8,$F$5:$F$8,""),"")</f>
        <v/>
      </c>
      <c r="J825" s="38">
        <f t="shared" si="95"/>
        <v>44</v>
      </c>
      <c r="K825" t="str">
        <f t="shared" si="96"/>
        <v>Per pay period</v>
      </c>
      <c r="L825" t="str">
        <f t="shared" si="97"/>
        <v>Every pay period (ongoing)</v>
      </c>
      <c r="M825" s="39">
        <f t="array" ref="M825">MAX(_xlfn.XLOOKUP($A825,TRIM(SUBSTITUTE('worker file'!$A$2:$A$406,_xlfn.UNICHAR(160)," ")),'worker file'!$M$2:$M$406,0),_xlfn.XLOOKUP($B825,TRIM('pay group &amp; schedule'!$A$2:$A$6),'pay group &amp; schedule'!$D$2:$D$6,0))</f>
        <v>46311</v>
      </c>
      <c r="N825" s="39" t="str">
        <f t="array" ref="N825">_xlfn.LET(_xlpm.t,_xlfn.XLOOKUP($A825,TRIM(SUBSTITUTE('worker file'!$A$2:$A$406,_xlfn.UNICHAR(160)," ")),'worker file'!$N$2:$N$406,""),IF(N(_xlpm.t)=0,"",_xlpm.t))</f>
        <v/>
      </c>
    </row>
    <row r="826" spans="1:15" x14ac:dyDescent="0.2">
      <c r="A826" s="35" t="s">
        <v>382</v>
      </c>
      <c r="B826" s="36" t="str">
        <f t="array" ref="B826">_xlfn.XLOOKUP($A826,TRIM(SUBSTITUTE('worker file'!$A$2:$A$406,_xlfn.UNICHAR(160)," ")),'worker file'!$L$2:$L$406,"Not found")</f>
        <v>US Semi-monthly</v>
      </c>
      <c r="C826" s="36" t="str">
        <f t="array" ref="C826">_xlfn.XLOOKUP($A826,TRIM(SUBSTITUTE('worker file'!$A$2:$A$406,_xlfn.UNICHAR(160)," ")),'worker file'!$D$2:$D$406,"Not found")</f>
        <v>MA</v>
      </c>
      <c r="D826" s="36" t="str">
        <f t="array" ref="D826">_xlfn.XLOOKUP($A826,TRIM(SUBSTITUTE('worker file'!$A$2:$A$406,_xlfn.UNICHAR(160)," ")),'worker file'!$Q$2:$Q$406,"Not found")</f>
        <v>Active</v>
      </c>
      <c r="E826" s="35" t="s">
        <v>634</v>
      </c>
      <c r="F826" t="str">
        <f t="shared" si="92"/>
        <v>Vision – Employee</v>
      </c>
      <c r="G826" t="str">
        <f t="shared" si="93"/>
        <v>Pre-tax Section 125 (exempt from FIT/SIT/FICA)</v>
      </c>
      <c r="H826" t="str">
        <f t="shared" si="94"/>
        <v>Flat</v>
      </c>
      <c r="I826" s="40" t="str">
        <f>IF($H826="Percent",_xlfn.XLOOKUP($E826,$A$5:$A$8,$F$5:$F$8,""),"")</f>
        <v/>
      </c>
      <c r="J826" s="38">
        <f t="shared" si="95"/>
        <v>30</v>
      </c>
      <c r="K826" t="str">
        <f t="shared" si="96"/>
        <v>Per pay period</v>
      </c>
      <c r="L826" t="str">
        <f t="shared" si="97"/>
        <v>Every pay period (ongoing)</v>
      </c>
      <c r="M826" s="39">
        <f t="array" ref="M826">MAX(_xlfn.XLOOKUP($A826,TRIM(SUBSTITUTE('worker file'!$A$2:$A$406,_xlfn.UNICHAR(160)," ")),'worker file'!$M$2:$M$406,0),_xlfn.XLOOKUP($B826,TRIM('pay group &amp; schedule'!$A$2:$A$6),'pay group &amp; schedule'!$D$2:$D$6,0))</f>
        <v>46311</v>
      </c>
      <c r="N826" s="39" t="str">
        <f t="array" ref="N826">_xlfn.LET(_xlpm.t,_xlfn.XLOOKUP($A826,TRIM(SUBSTITUTE('worker file'!$A$2:$A$406,_xlfn.UNICHAR(160)," ")),'worker file'!$N$2:$N$406,""),IF(N(_xlpm.t)=0,"",_xlpm.t))</f>
        <v/>
      </c>
    </row>
    <row r="827" spans="1:15" x14ac:dyDescent="0.2">
      <c r="A827" s="35" t="s">
        <v>383</v>
      </c>
      <c r="B827" s="36" t="str">
        <f t="array" ref="B827">_xlfn.XLOOKUP($A827,TRIM(SUBSTITUTE('worker file'!$A$2:$A$406,_xlfn.UNICHAR(160)," ")),'worker file'!$L$2:$L$406,"Not found")</f>
        <v>US Semi-monthly</v>
      </c>
      <c r="C827" s="36" t="str">
        <f t="array" ref="C827">_xlfn.XLOOKUP($A827,TRIM(SUBSTITUTE('worker file'!$A$2:$A$406,_xlfn.UNICHAR(160)," ")),'worker file'!$D$2:$D$406,"Not found")</f>
        <v>CA</v>
      </c>
      <c r="D827" s="36" t="str">
        <f t="array" ref="D827">_xlfn.XLOOKUP($A827,TRIM(SUBSTITUTE('worker file'!$A$2:$A$406,_xlfn.UNICHAR(160)," ")),'worker file'!$Q$2:$Q$406,"Not found")</f>
        <v>Active</v>
      </c>
      <c r="E827" s="35" t="s">
        <v>618</v>
      </c>
      <c r="F827" t="str">
        <f t="shared" si="92"/>
        <v>401(k) Employee Deferral</v>
      </c>
      <c r="G827" t="str">
        <f t="shared" si="93"/>
        <v>Pre-tax (exempt from FIT/SIT; subject to FICA)</v>
      </c>
      <c r="H827" t="str">
        <f t="shared" si="94"/>
        <v>Percent</v>
      </c>
      <c r="I827" s="37">
        <v>0</v>
      </c>
      <c r="J827" s="38" t="str">
        <f t="shared" si="95"/>
        <v/>
      </c>
      <c r="K827" t="str">
        <f t="shared" si="96"/>
        <v>Gross pay</v>
      </c>
      <c r="L827" t="str">
        <f t="shared" si="97"/>
        <v>Every pay period (ongoing)</v>
      </c>
      <c r="M827" s="39">
        <f t="array" ref="M827">MAX(_xlfn.XLOOKUP($A827,TRIM(SUBSTITUTE('worker file'!$A$2:$A$406,_xlfn.UNICHAR(160)," ")),'worker file'!$M$2:$M$406,0),_xlfn.XLOOKUP($B827,TRIM('pay group &amp; schedule'!$A$2:$A$6),'pay group &amp; schedule'!$D$2:$D$6,0))</f>
        <v>46311</v>
      </c>
      <c r="N827" s="39" t="str">
        <f t="array" ref="N827">_xlfn.LET(_xlpm.t,_xlfn.XLOOKUP($A827,TRIM(SUBSTITUTE('worker file'!$A$2:$A$406,_xlfn.UNICHAR(160)," ")),'worker file'!$N$2:$N$406,""),IF(N(_xlpm.t)=0,"",_xlpm.t))</f>
        <v/>
      </c>
    </row>
    <row r="828" spans="1:15" x14ac:dyDescent="0.2">
      <c r="A828" s="35" t="s">
        <v>383</v>
      </c>
      <c r="B828" s="36" t="str">
        <f t="array" ref="B828">_xlfn.XLOOKUP($A828,TRIM(SUBSTITUTE('worker file'!$A$2:$A$406,_xlfn.UNICHAR(160)," ")),'worker file'!$L$2:$L$406,"Not found")</f>
        <v>US Semi-monthly</v>
      </c>
      <c r="C828" s="36" t="str">
        <f t="array" ref="C828">_xlfn.XLOOKUP($A828,TRIM(SUBSTITUTE('worker file'!$A$2:$A$406,_xlfn.UNICHAR(160)," ")),'worker file'!$D$2:$D$406,"Not found")</f>
        <v>CA</v>
      </c>
      <c r="D828" s="36" t="str">
        <f t="array" ref="D828">_xlfn.XLOOKUP($A828,TRIM(SUBSTITUTE('worker file'!$A$2:$A$406,_xlfn.UNICHAR(160)," ")),'worker file'!$Q$2:$Q$406,"Not found")</f>
        <v>Active</v>
      </c>
      <c r="E828" s="35" t="s">
        <v>626</v>
      </c>
      <c r="F828" t="str">
        <f t="shared" si="92"/>
        <v>Medical (Health) – Employee</v>
      </c>
      <c r="G828" t="str">
        <f t="shared" si="93"/>
        <v>Pre-tax Section 125 (exempt from FIT/SIT/FICA)</v>
      </c>
      <c r="H828" t="str">
        <f t="shared" si="94"/>
        <v>Flat</v>
      </c>
      <c r="I828" s="40" t="str">
        <f>IF($H828="Percent",_xlfn.XLOOKUP($E828,$A$5:$A$8,$F$5:$F$8,""),"")</f>
        <v/>
      </c>
      <c r="J828" s="38">
        <f t="shared" si="95"/>
        <v>200</v>
      </c>
      <c r="K828" t="str">
        <f t="shared" si="96"/>
        <v>Per pay period</v>
      </c>
      <c r="L828" t="str">
        <f t="shared" si="97"/>
        <v>Every pay period (ongoing)</v>
      </c>
      <c r="M828" s="39">
        <f t="array" ref="M828">MAX(_xlfn.XLOOKUP($A828,TRIM(SUBSTITUTE('worker file'!$A$2:$A$406,_xlfn.UNICHAR(160)," ")),'worker file'!$M$2:$M$406,0),_xlfn.XLOOKUP($B828,TRIM('pay group &amp; schedule'!$A$2:$A$6),'pay group &amp; schedule'!$D$2:$D$6,0))</f>
        <v>46311</v>
      </c>
      <c r="N828" s="39" t="str">
        <f t="array" ref="N828">_xlfn.LET(_xlpm.t,_xlfn.XLOOKUP($A828,TRIM(SUBSTITUTE('worker file'!$A$2:$A$406,_xlfn.UNICHAR(160)," ")),'worker file'!$N$2:$N$406,""),IF(N(_xlpm.t)=0,"",_xlpm.t))</f>
        <v/>
      </c>
    </row>
    <row r="829" spans="1:15" x14ac:dyDescent="0.2">
      <c r="A829" s="35" t="s">
        <v>383</v>
      </c>
      <c r="B829" s="36" t="str">
        <f t="array" ref="B829">_xlfn.XLOOKUP($A829,TRIM(SUBSTITUTE('worker file'!$A$2:$A$406,_xlfn.UNICHAR(160)," ")),'worker file'!$L$2:$L$406,"Not found")</f>
        <v>US Semi-monthly</v>
      </c>
      <c r="C829" s="36" t="str">
        <f t="array" ref="C829">_xlfn.XLOOKUP($A829,TRIM(SUBSTITUTE('worker file'!$A$2:$A$406,_xlfn.UNICHAR(160)," ")),'worker file'!$D$2:$D$406,"Not found")</f>
        <v>CA</v>
      </c>
      <c r="D829" s="36" t="str">
        <f t="array" ref="D829">_xlfn.XLOOKUP($A829,TRIM(SUBSTITUTE('worker file'!$A$2:$A$406,_xlfn.UNICHAR(160)," ")),'worker file'!$Q$2:$Q$406,"Not found")</f>
        <v>Active</v>
      </c>
      <c r="E829" s="35" t="s">
        <v>632</v>
      </c>
      <c r="F829" t="str">
        <f t="shared" si="92"/>
        <v>Dental – Employee</v>
      </c>
      <c r="G829" t="str">
        <f t="shared" si="93"/>
        <v>Pre-tax Section 125 (exempt from FIT/SIT/FICA)</v>
      </c>
      <c r="H829" t="str">
        <f t="shared" si="94"/>
        <v>Flat</v>
      </c>
      <c r="I829" s="40" t="str">
        <f>IF($H829="Percent",_xlfn.XLOOKUP($E829,$A$5:$A$8,$F$5:$F$8,""),"")</f>
        <v/>
      </c>
      <c r="J829" s="38">
        <f t="shared" si="95"/>
        <v>44</v>
      </c>
      <c r="K829" t="str">
        <f t="shared" si="96"/>
        <v>Per pay period</v>
      </c>
      <c r="L829" t="str">
        <f t="shared" si="97"/>
        <v>Every pay period (ongoing)</v>
      </c>
      <c r="M829" s="39">
        <f t="array" ref="M829">MAX(_xlfn.XLOOKUP($A829,TRIM(SUBSTITUTE('worker file'!$A$2:$A$406,_xlfn.UNICHAR(160)," ")),'worker file'!$M$2:$M$406,0),_xlfn.XLOOKUP($B829,TRIM('pay group &amp; schedule'!$A$2:$A$6),'pay group &amp; schedule'!$D$2:$D$6,0))</f>
        <v>46311</v>
      </c>
      <c r="N829" s="39" t="str">
        <f t="array" ref="N829">_xlfn.LET(_xlpm.t,_xlfn.XLOOKUP($A829,TRIM(SUBSTITUTE('worker file'!$A$2:$A$406,_xlfn.UNICHAR(160)," ")),'worker file'!$N$2:$N$406,""),IF(N(_xlpm.t)=0,"",_xlpm.t))</f>
        <v/>
      </c>
    </row>
    <row r="830" spans="1:15" x14ac:dyDescent="0.2">
      <c r="A830" s="35" t="s">
        <v>383</v>
      </c>
      <c r="B830" s="36" t="str">
        <f t="array" ref="B830">_xlfn.XLOOKUP($A830,TRIM(SUBSTITUTE('worker file'!$A$2:$A$406,_xlfn.UNICHAR(160)," ")),'worker file'!$L$2:$L$406,"Not found")</f>
        <v>US Semi-monthly</v>
      </c>
      <c r="C830" s="36" t="str">
        <f t="array" ref="C830">_xlfn.XLOOKUP($A830,TRIM(SUBSTITUTE('worker file'!$A$2:$A$406,_xlfn.UNICHAR(160)," ")),'worker file'!$D$2:$D$406,"Not found")</f>
        <v>CA</v>
      </c>
      <c r="D830" s="36" t="str">
        <f t="array" ref="D830">_xlfn.XLOOKUP($A830,TRIM(SUBSTITUTE('worker file'!$A$2:$A$406,_xlfn.UNICHAR(160)," ")),'worker file'!$Q$2:$Q$406,"Not found")</f>
        <v>Active</v>
      </c>
      <c r="E830" s="35" t="s">
        <v>634</v>
      </c>
      <c r="F830" t="str">
        <f t="shared" si="92"/>
        <v>Vision – Employee</v>
      </c>
      <c r="G830" t="str">
        <f t="shared" si="93"/>
        <v>Pre-tax Section 125 (exempt from FIT/SIT/FICA)</v>
      </c>
      <c r="H830" t="str">
        <f t="shared" si="94"/>
        <v>Flat</v>
      </c>
      <c r="I830" s="40" t="str">
        <f>IF($H830="Percent",_xlfn.XLOOKUP($E830,$A$5:$A$8,$F$5:$F$8,""),"")</f>
        <v/>
      </c>
      <c r="J830" s="38">
        <f t="shared" si="95"/>
        <v>30</v>
      </c>
      <c r="K830" t="str">
        <f t="shared" si="96"/>
        <v>Per pay period</v>
      </c>
      <c r="L830" t="str">
        <f t="shared" si="97"/>
        <v>Every pay period (ongoing)</v>
      </c>
      <c r="M830" s="39">
        <f t="array" ref="M830">MAX(_xlfn.XLOOKUP($A830,TRIM(SUBSTITUTE('worker file'!$A$2:$A$406,_xlfn.UNICHAR(160)," ")),'worker file'!$M$2:$M$406,0),_xlfn.XLOOKUP($B830,TRIM('pay group &amp; schedule'!$A$2:$A$6),'pay group &amp; schedule'!$D$2:$D$6,0))</f>
        <v>46311</v>
      </c>
      <c r="N830" s="39" t="str">
        <f t="array" ref="N830">_xlfn.LET(_xlpm.t,_xlfn.XLOOKUP($A830,TRIM(SUBSTITUTE('worker file'!$A$2:$A$406,_xlfn.UNICHAR(160)," ")),'worker file'!$N$2:$N$406,""),IF(N(_xlpm.t)=0,"",_xlpm.t))</f>
        <v/>
      </c>
    </row>
    <row r="831" spans="1:15" x14ac:dyDescent="0.2">
      <c r="A831" s="35" t="s">
        <v>384</v>
      </c>
      <c r="B831" s="36" t="str">
        <f t="array" ref="B831">_xlfn.XLOOKUP($A831,TRIM(SUBSTITUTE('worker file'!$A$2:$A$406,_xlfn.UNICHAR(160)," ")),'worker file'!$L$2:$L$406,"Not found")</f>
        <v>US Semi-monthly</v>
      </c>
      <c r="C831" s="36" t="str">
        <f t="array" ref="C831">_xlfn.XLOOKUP($A831,TRIM(SUBSTITUTE('worker file'!$A$2:$A$406,_xlfn.UNICHAR(160)," ")),'worker file'!$D$2:$D$406,"Not found")</f>
        <v>NY</v>
      </c>
      <c r="D831" s="36" t="str">
        <f t="array" ref="D831">_xlfn.XLOOKUP($A831,TRIM(SUBSTITUTE('worker file'!$A$2:$A$406,_xlfn.UNICHAR(160)," ")),'worker file'!$Q$2:$Q$406,"Not found")</f>
        <v>Active</v>
      </c>
      <c r="E831" s="35" t="s">
        <v>618</v>
      </c>
      <c r="F831" t="str">
        <f t="shared" si="92"/>
        <v>401(k) Employee Deferral</v>
      </c>
      <c r="G831" t="str">
        <f t="shared" si="93"/>
        <v>Pre-tax (exempt from FIT/SIT; subject to FICA)</v>
      </c>
      <c r="H831" t="str">
        <f t="shared" si="94"/>
        <v>Percent</v>
      </c>
      <c r="I831" s="37">
        <v>0.05</v>
      </c>
      <c r="J831" s="38" t="str">
        <f t="shared" si="95"/>
        <v/>
      </c>
      <c r="K831" t="str">
        <f t="shared" si="96"/>
        <v>Gross pay</v>
      </c>
      <c r="L831" t="str">
        <f t="shared" si="97"/>
        <v>Every pay period (ongoing)</v>
      </c>
      <c r="M831" s="39">
        <f t="array" ref="M831">MAX(_xlfn.XLOOKUP($A831,TRIM(SUBSTITUTE('worker file'!$A$2:$A$406,_xlfn.UNICHAR(160)," ")),'worker file'!$M$2:$M$406,0),_xlfn.XLOOKUP($B831,TRIM('pay group &amp; schedule'!$A$2:$A$6),'pay group &amp; schedule'!$D$2:$D$6,0))</f>
        <v>46311</v>
      </c>
      <c r="N831" s="39" t="str">
        <f t="array" ref="N831">_xlfn.LET(_xlpm.t,_xlfn.XLOOKUP($A831,TRIM(SUBSTITUTE('worker file'!$A$2:$A$406,_xlfn.UNICHAR(160)," ")),'worker file'!$N$2:$N$406,""),IF(N(_xlpm.t)=0,"",_xlpm.t))</f>
        <v/>
      </c>
    </row>
    <row r="832" spans="1:15" x14ac:dyDescent="0.2">
      <c r="A832" s="35" t="s">
        <v>384</v>
      </c>
      <c r="B832" s="36" t="str">
        <f t="array" ref="B832">_xlfn.XLOOKUP($A832,TRIM(SUBSTITUTE('worker file'!$A$2:$A$406,_xlfn.UNICHAR(160)," ")),'worker file'!$L$2:$L$406,"Not found")</f>
        <v>US Semi-monthly</v>
      </c>
      <c r="C832" s="36" t="str">
        <f t="array" ref="C832">_xlfn.XLOOKUP($A832,TRIM(SUBSTITUTE('worker file'!$A$2:$A$406,_xlfn.UNICHAR(160)," ")),'worker file'!$D$2:$D$406,"Not found")</f>
        <v>NY</v>
      </c>
      <c r="D832" s="36" t="str">
        <f t="array" ref="D832">_xlfn.XLOOKUP($A832,TRIM(SUBSTITUTE('worker file'!$A$2:$A$406,_xlfn.UNICHAR(160)," ")),'worker file'!$Q$2:$Q$406,"Not found")</f>
        <v>Active</v>
      </c>
      <c r="E832" s="35" t="s">
        <v>626</v>
      </c>
      <c r="F832" t="str">
        <f t="shared" si="92"/>
        <v>Medical (Health) – Employee</v>
      </c>
      <c r="G832" t="str">
        <f t="shared" si="93"/>
        <v>Pre-tax Section 125 (exempt from FIT/SIT/FICA)</v>
      </c>
      <c r="H832" t="str">
        <f t="shared" si="94"/>
        <v>Flat</v>
      </c>
      <c r="I832" s="40" t="str">
        <f t="shared" ref="I832:I837" si="99">IF($H832="Percent",_xlfn.XLOOKUP($E832,$A$5:$A$8,$F$5:$F$8,""),"")</f>
        <v/>
      </c>
      <c r="J832" s="38">
        <f t="shared" si="95"/>
        <v>200</v>
      </c>
      <c r="K832" t="str">
        <f t="shared" si="96"/>
        <v>Per pay period</v>
      </c>
      <c r="L832" t="str">
        <f t="shared" si="97"/>
        <v>Every pay period (ongoing)</v>
      </c>
      <c r="M832" s="39">
        <f t="array" ref="M832">MAX(_xlfn.XLOOKUP($A832,TRIM(SUBSTITUTE('worker file'!$A$2:$A$406,_xlfn.UNICHAR(160)," ")),'worker file'!$M$2:$M$406,0),_xlfn.XLOOKUP($B832,TRIM('pay group &amp; schedule'!$A$2:$A$6),'pay group &amp; schedule'!$D$2:$D$6,0))</f>
        <v>46311</v>
      </c>
      <c r="N832" s="39" t="str">
        <f t="array" ref="N832">_xlfn.LET(_xlpm.t,_xlfn.XLOOKUP($A832,TRIM(SUBSTITUTE('worker file'!$A$2:$A$406,_xlfn.UNICHAR(160)," ")),'worker file'!$N$2:$N$406,""),IF(N(_xlpm.t)=0,"",_xlpm.t))</f>
        <v/>
      </c>
    </row>
    <row r="833" spans="1:14" x14ac:dyDescent="0.2">
      <c r="A833" s="35" t="s">
        <v>384</v>
      </c>
      <c r="B833" s="36" t="str">
        <f t="array" ref="B833">_xlfn.XLOOKUP($A833,TRIM(SUBSTITUTE('worker file'!$A$2:$A$406,_xlfn.UNICHAR(160)," ")),'worker file'!$L$2:$L$406,"Not found")</f>
        <v>US Semi-monthly</v>
      </c>
      <c r="C833" s="36" t="str">
        <f t="array" ref="C833">_xlfn.XLOOKUP($A833,TRIM(SUBSTITUTE('worker file'!$A$2:$A$406,_xlfn.UNICHAR(160)," ")),'worker file'!$D$2:$D$406,"Not found")</f>
        <v>NY</v>
      </c>
      <c r="D833" s="36" t="str">
        <f t="array" ref="D833">_xlfn.XLOOKUP($A833,TRIM(SUBSTITUTE('worker file'!$A$2:$A$406,_xlfn.UNICHAR(160)," ")),'worker file'!$Q$2:$Q$406,"Not found")</f>
        <v>Active</v>
      </c>
      <c r="E833" s="35" t="s">
        <v>632</v>
      </c>
      <c r="F833" t="str">
        <f t="shared" si="92"/>
        <v>Dental – Employee</v>
      </c>
      <c r="G833" t="str">
        <f t="shared" si="93"/>
        <v>Pre-tax Section 125 (exempt from FIT/SIT/FICA)</v>
      </c>
      <c r="H833" t="str">
        <f t="shared" si="94"/>
        <v>Flat</v>
      </c>
      <c r="I833" s="40" t="str">
        <f t="shared" si="99"/>
        <v/>
      </c>
      <c r="J833" s="38">
        <f t="shared" si="95"/>
        <v>44</v>
      </c>
      <c r="K833" t="str">
        <f t="shared" si="96"/>
        <v>Per pay period</v>
      </c>
      <c r="L833" t="str">
        <f t="shared" si="97"/>
        <v>Every pay period (ongoing)</v>
      </c>
      <c r="M833" s="39">
        <f t="array" ref="M833">MAX(_xlfn.XLOOKUP($A833,TRIM(SUBSTITUTE('worker file'!$A$2:$A$406,_xlfn.UNICHAR(160)," ")),'worker file'!$M$2:$M$406,0),_xlfn.XLOOKUP($B833,TRIM('pay group &amp; schedule'!$A$2:$A$6),'pay group &amp; schedule'!$D$2:$D$6,0))</f>
        <v>46311</v>
      </c>
      <c r="N833" s="39" t="str">
        <f t="array" ref="N833">_xlfn.LET(_xlpm.t,_xlfn.XLOOKUP($A833,TRIM(SUBSTITUTE('worker file'!$A$2:$A$406,_xlfn.UNICHAR(160)," ")),'worker file'!$N$2:$N$406,""),IF(N(_xlpm.t)=0,"",_xlpm.t))</f>
        <v/>
      </c>
    </row>
    <row r="834" spans="1:14" x14ac:dyDescent="0.2">
      <c r="A834" s="35" t="s">
        <v>384</v>
      </c>
      <c r="B834" s="36" t="str">
        <f t="array" ref="B834">_xlfn.XLOOKUP($A834,TRIM(SUBSTITUTE('worker file'!$A$2:$A$406,_xlfn.UNICHAR(160)," ")),'worker file'!$L$2:$L$406,"Not found")</f>
        <v>US Semi-monthly</v>
      </c>
      <c r="C834" s="36" t="str">
        <f t="array" ref="C834">_xlfn.XLOOKUP($A834,TRIM(SUBSTITUTE('worker file'!$A$2:$A$406,_xlfn.UNICHAR(160)," ")),'worker file'!$D$2:$D$406,"Not found")</f>
        <v>NY</v>
      </c>
      <c r="D834" s="36" t="str">
        <f t="array" ref="D834">_xlfn.XLOOKUP($A834,TRIM(SUBSTITUTE('worker file'!$A$2:$A$406,_xlfn.UNICHAR(160)," ")),'worker file'!$Q$2:$Q$406,"Not found")</f>
        <v>Active</v>
      </c>
      <c r="E834" s="35" t="s">
        <v>634</v>
      </c>
      <c r="F834" t="str">
        <f t="shared" si="92"/>
        <v>Vision – Employee</v>
      </c>
      <c r="G834" t="str">
        <f t="shared" si="93"/>
        <v>Pre-tax Section 125 (exempt from FIT/SIT/FICA)</v>
      </c>
      <c r="H834" t="str">
        <f t="shared" si="94"/>
        <v>Flat</v>
      </c>
      <c r="I834" s="40" t="str">
        <f t="shared" si="99"/>
        <v/>
      </c>
      <c r="J834" s="38">
        <f t="shared" si="95"/>
        <v>30</v>
      </c>
      <c r="K834" t="str">
        <f t="shared" si="96"/>
        <v>Per pay period</v>
      </c>
      <c r="L834" t="str">
        <f t="shared" si="97"/>
        <v>Every pay period (ongoing)</v>
      </c>
      <c r="M834" s="39">
        <f t="array" ref="M834">MAX(_xlfn.XLOOKUP($A834,TRIM(SUBSTITUTE('worker file'!$A$2:$A$406,_xlfn.UNICHAR(160)," ")),'worker file'!$M$2:$M$406,0),_xlfn.XLOOKUP($B834,TRIM('pay group &amp; schedule'!$A$2:$A$6),'pay group &amp; schedule'!$D$2:$D$6,0))</f>
        <v>46311</v>
      </c>
      <c r="N834" s="39" t="str">
        <f t="array" ref="N834">_xlfn.LET(_xlpm.t,_xlfn.XLOOKUP($A834,TRIM(SUBSTITUTE('worker file'!$A$2:$A$406,_xlfn.UNICHAR(160)," ")),'worker file'!$N$2:$N$406,""),IF(N(_xlpm.t)=0,"",_xlpm.t))</f>
        <v/>
      </c>
    </row>
    <row r="835" spans="1:14" x14ac:dyDescent="0.2">
      <c r="A835" s="35" t="s">
        <v>385</v>
      </c>
      <c r="B835" s="36" t="str">
        <f t="array" ref="B835">_xlfn.XLOOKUP($A835,TRIM(SUBSTITUTE('worker file'!$A$2:$A$406,_xlfn.UNICHAR(160)," ")),'worker file'!$L$2:$L$406,"Not found")</f>
        <v>US Semi-monthly</v>
      </c>
      <c r="C835" s="36" t="str">
        <f t="array" ref="C835">_xlfn.XLOOKUP($A835,TRIM(SUBSTITUTE('worker file'!$A$2:$A$406,_xlfn.UNICHAR(160)," ")),'worker file'!$D$2:$D$406,"Not found")</f>
        <v>WA</v>
      </c>
      <c r="D835" s="36" t="str">
        <f t="array" ref="D835">_xlfn.XLOOKUP($A835,TRIM(SUBSTITUTE('worker file'!$A$2:$A$406,_xlfn.UNICHAR(160)," ")),'worker file'!$Q$2:$Q$406,"Not found")</f>
        <v>Active</v>
      </c>
      <c r="E835" s="35" t="s">
        <v>626</v>
      </c>
      <c r="F835" t="str">
        <f t="shared" si="92"/>
        <v>Medical (Health) – Employee</v>
      </c>
      <c r="G835" t="str">
        <f t="shared" si="93"/>
        <v>Pre-tax Section 125 (exempt from FIT/SIT/FICA)</v>
      </c>
      <c r="H835" t="str">
        <f t="shared" si="94"/>
        <v>Flat</v>
      </c>
      <c r="I835" s="40" t="str">
        <f t="shared" si="99"/>
        <v/>
      </c>
      <c r="J835" s="38">
        <f t="shared" si="95"/>
        <v>200</v>
      </c>
      <c r="K835" t="str">
        <f t="shared" si="96"/>
        <v>Per pay period</v>
      </c>
      <c r="L835" t="str">
        <f t="shared" si="97"/>
        <v>Every pay period (ongoing)</v>
      </c>
      <c r="M835" s="39">
        <f t="array" ref="M835">MAX(_xlfn.XLOOKUP($A835,TRIM(SUBSTITUTE('worker file'!$A$2:$A$406,_xlfn.UNICHAR(160)," ")),'worker file'!$M$2:$M$406,0),_xlfn.XLOOKUP($B835,TRIM('pay group &amp; schedule'!$A$2:$A$6),'pay group &amp; schedule'!$D$2:$D$6,0))</f>
        <v>46311</v>
      </c>
      <c r="N835" s="39" t="str">
        <f t="array" ref="N835">_xlfn.LET(_xlpm.t,_xlfn.XLOOKUP($A835,TRIM(SUBSTITUTE('worker file'!$A$2:$A$406,_xlfn.UNICHAR(160)," ")),'worker file'!$N$2:$N$406,""),IF(N(_xlpm.t)=0,"",_xlpm.t))</f>
        <v/>
      </c>
    </row>
    <row r="836" spans="1:14" x14ac:dyDescent="0.2">
      <c r="A836" s="35" t="s">
        <v>385</v>
      </c>
      <c r="B836" s="36" t="str">
        <f t="array" ref="B836">_xlfn.XLOOKUP($A836,TRIM(SUBSTITUTE('worker file'!$A$2:$A$406,_xlfn.UNICHAR(160)," ")),'worker file'!$L$2:$L$406,"Not found")</f>
        <v>US Semi-monthly</v>
      </c>
      <c r="C836" s="36" t="str">
        <f t="array" ref="C836">_xlfn.XLOOKUP($A836,TRIM(SUBSTITUTE('worker file'!$A$2:$A$406,_xlfn.UNICHAR(160)," ")),'worker file'!$D$2:$D$406,"Not found")</f>
        <v>WA</v>
      </c>
      <c r="D836" s="36" t="str">
        <f t="array" ref="D836">_xlfn.XLOOKUP($A836,TRIM(SUBSTITUTE('worker file'!$A$2:$A$406,_xlfn.UNICHAR(160)," ")),'worker file'!$Q$2:$Q$406,"Not found")</f>
        <v>Active</v>
      </c>
      <c r="E836" s="35" t="s">
        <v>632</v>
      </c>
      <c r="F836" t="str">
        <f t="shared" si="92"/>
        <v>Dental – Employee</v>
      </c>
      <c r="G836" t="str">
        <f t="shared" si="93"/>
        <v>Pre-tax Section 125 (exempt from FIT/SIT/FICA)</v>
      </c>
      <c r="H836" t="str">
        <f t="shared" si="94"/>
        <v>Flat</v>
      </c>
      <c r="I836" s="40" t="str">
        <f t="shared" si="99"/>
        <v/>
      </c>
      <c r="J836" s="38">
        <f t="shared" si="95"/>
        <v>44</v>
      </c>
      <c r="K836" t="str">
        <f t="shared" si="96"/>
        <v>Per pay period</v>
      </c>
      <c r="L836" t="str">
        <f t="shared" si="97"/>
        <v>Every pay period (ongoing)</v>
      </c>
      <c r="M836" s="39">
        <f t="array" ref="M836">MAX(_xlfn.XLOOKUP($A836,TRIM(SUBSTITUTE('worker file'!$A$2:$A$406,_xlfn.UNICHAR(160)," ")),'worker file'!$M$2:$M$406,0),_xlfn.XLOOKUP($B836,TRIM('pay group &amp; schedule'!$A$2:$A$6),'pay group &amp; schedule'!$D$2:$D$6,0))</f>
        <v>46311</v>
      </c>
      <c r="N836" s="39" t="str">
        <f t="array" ref="N836">_xlfn.LET(_xlpm.t,_xlfn.XLOOKUP($A836,TRIM(SUBSTITUTE('worker file'!$A$2:$A$406,_xlfn.UNICHAR(160)," ")),'worker file'!$N$2:$N$406,""),IF(N(_xlpm.t)=0,"",_xlpm.t))</f>
        <v/>
      </c>
    </row>
    <row r="837" spans="1:14" x14ac:dyDescent="0.2">
      <c r="A837" s="35" t="s">
        <v>385</v>
      </c>
      <c r="B837" s="36" t="str">
        <f t="array" ref="B837">_xlfn.XLOOKUP($A837,TRIM(SUBSTITUTE('worker file'!$A$2:$A$406,_xlfn.UNICHAR(160)," ")),'worker file'!$L$2:$L$406,"Not found")</f>
        <v>US Semi-monthly</v>
      </c>
      <c r="C837" s="36" t="str">
        <f t="array" ref="C837">_xlfn.XLOOKUP($A837,TRIM(SUBSTITUTE('worker file'!$A$2:$A$406,_xlfn.UNICHAR(160)," ")),'worker file'!$D$2:$D$406,"Not found")</f>
        <v>WA</v>
      </c>
      <c r="D837" s="36" t="str">
        <f t="array" ref="D837">_xlfn.XLOOKUP($A837,TRIM(SUBSTITUTE('worker file'!$A$2:$A$406,_xlfn.UNICHAR(160)," ")),'worker file'!$Q$2:$Q$406,"Not found")</f>
        <v>Active</v>
      </c>
      <c r="E837" s="35" t="s">
        <v>634</v>
      </c>
      <c r="F837" t="str">
        <f t="shared" si="92"/>
        <v>Vision – Employee</v>
      </c>
      <c r="G837" t="str">
        <f t="shared" si="93"/>
        <v>Pre-tax Section 125 (exempt from FIT/SIT/FICA)</v>
      </c>
      <c r="H837" t="str">
        <f t="shared" si="94"/>
        <v>Flat</v>
      </c>
      <c r="I837" s="40" t="str">
        <f t="shared" si="99"/>
        <v/>
      </c>
      <c r="J837" s="38">
        <f t="shared" si="95"/>
        <v>30</v>
      </c>
      <c r="K837" t="str">
        <f t="shared" si="96"/>
        <v>Per pay period</v>
      </c>
      <c r="L837" t="str">
        <f t="shared" si="97"/>
        <v>Every pay period (ongoing)</v>
      </c>
      <c r="M837" s="39">
        <f t="array" ref="M837">MAX(_xlfn.XLOOKUP($A837,TRIM(SUBSTITUTE('worker file'!$A$2:$A$406,_xlfn.UNICHAR(160)," ")),'worker file'!$M$2:$M$406,0),_xlfn.XLOOKUP($B837,TRIM('pay group &amp; schedule'!$A$2:$A$6),'pay group &amp; schedule'!$D$2:$D$6,0))</f>
        <v>46311</v>
      </c>
      <c r="N837" s="39" t="str">
        <f t="array" ref="N837">_xlfn.LET(_xlpm.t,_xlfn.XLOOKUP($A837,TRIM(SUBSTITUTE('worker file'!$A$2:$A$406,_xlfn.UNICHAR(160)," ")),'worker file'!$N$2:$N$406,""),IF(N(_xlpm.t)=0,"",_xlpm.t))</f>
        <v/>
      </c>
    </row>
    <row r="838" spans="1:14" x14ac:dyDescent="0.2">
      <c r="A838" s="35" t="s">
        <v>386</v>
      </c>
      <c r="B838" s="36" t="str">
        <f t="array" ref="B838">_xlfn.XLOOKUP($A838,TRIM(SUBSTITUTE('worker file'!$A$2:$A$406,_xlfn.UNICHAR(160)," ")),'worker file'!$L$2:$L$406,"Not found")</f>
        <v>US Semi-monthly</v>
      </c>
      <c r="C838" s="36" t="str">
        <f t="array" ref="C838">_xlfn.XLOOKUP($A838,TRIM(SUBSTITUTE('worker file'!$A$2:$A$406,_xlfn.UNICHAR(160)," ")),'worker file'!$D$2:$D$406,"Not found")</f>
        <v>CA</v>
      </c>
      <c r="D838" s="36" t="str">
        <f t="array" ref="D838">_xlfn.XLOOKUP($A838,TRIM(SUBSTITUTE('worker file'!$A$2:$A$406,_xlfn.UNICHAR(160)," ")),'worker file'!$Q$2:$Q$406,"Not found")</f>
        <v>Active</v>
      </c>
      <c r="E838" s="35" t="s">
        <v>618</v>
      </c>
      <c r="F838" t="str">
        <f t="shared" si="92"/>
        <v>401(k) Employee Deferral</v>
      </c>
      <c r="G838" t="str">
        <f t="shared" si="93"/>
        <v>Pre-tax (exempt from FIT/SIT; subject to FICA)</v>
      </c>
      <c r="H838" t="str">
        <f t="shared" si="94"/>
        <v>Percent</v>
      </c>
      <c r="I838" s="37">
        <v>7.0000000000000007E-2</v>
      </c>
      <c r="J838" s="38" t="str">
        <f t="shared" si="95"/>
        <v/>
      </c>
      <c r="K838" t="str">
        <f t="shared" si="96"/>
        <v>Gross pay</v>
      </c>
      <c r="L838" t="str">
        <f t="shared" si="97"/>
        <v>Every pay period (ongoing)</v>
      </c>
      <c r="M838" s="39">
        <f t="array" ref="M838">MAX(_xlfn.XLOOKUP($A838,TRIM(SUBSTITUTE('worker file'!$A$2:$A$406,_xlfn.UNICHAR(160)," ")),'worker file'!$M$2:$M$406,0),_xlfn.XLOOKUP($B838,TRIM('pay group &amp; schedule'!$A$2:$A$6),'pay group &amp; schedule'!$D$2:$D$6,0))</f>
        <v>46311</v>
      </c>
      <c r="N838" s="39" t="str">
        <f t="array" ref="N838">_xlfn.LET(_xlpm.t,_xlfn.XLOOKUP($A838,TRIM(SUBSTITUTE('worker file'!$A$2:$A$406,_xlfn.UNICHAR(160)," ")),'worker file'!$N$2:$N$406,""),IF(N(_xlpm.t)=0,"",_xlpm.t))</f>
        <v/>
      </c>
    </row>
    <row r="839" spans="1:14" x14ac:dyDescent="0.2">
      <c r="A839" s="35" t="s">
        <v>386</v>
      </c>
      <c r="B839" s="36" t="str">
        <f t="array" ref="B839">_xlfn.XLOOKUP($A839,TRIM(SUBSTITUTE('worker file'!$A$2:$A$406,_xlfn.UNICHAR(160)," ")),'worker file'!$L$2:$L$406,"Not found")</f>
        <v>US Semi-monthly</v>
      </c>
      <c r="C839" s="36" t="str">
        <f t="array" ref="C839">_xlfn.XLOOKUP($A839,TRIM(SUBSTITUTE('worker file'!$A$2:$A$406,_xlfn.UNICHAR(160)," ")),'worker file'!$D$2:$D$406,"Not found")</f>
        <v>CA</v>
      </c>
      <c r="D839" s="36" t="str">
        <f t="array" ref="D839">_xlfn.XLOOKUP($A839,TRIM(SUBSTITUTE('worker file'!$A$2:$A$406,_xlfn.UNICHAR(160)," ")),'worker file'!$Q$2:$Q$406,"Not found")</f>
        <v>Active</v>
      </c>
      <c r="E839" s="35" t="s">
        <v>626</v>
      </c>
      <c r="F839" t="str">
        <f t="shared" si="92"/>
        <v>Medical (Health) – Employee</v>
      </c>
      <c r="G839" t="str">
        <f t="shared" si="93"/>
        <v>Pre-tax Section 125 (exempt from FIT/SIT/FICA)</v>
      </c>
      <c r="H839" t="str">
        <f t="shared" si="94"/>
        <v>Flat</v>
      </c>
      <c r="I839" s="40" t="str">
        <f>IF($H839="Percent",_xlfn.XLOOKUP($E839,$A$5:$A$8,$F$5:$F$8,""),"")</f>
        <v/>
      </c>
      <c r="J839" s="38">
        <f t="shared" si="95"/>
        <v>200</v>
      </c>
      <c r="K839" t="str">
        <f t="shared" si="96"/>
        <v>Per pay period</v>
      </c>
      <c r="L839" t="str">
        <f t="shared" si="97"/>
        <v>Every pay period (ongoing)</v>
      </c>
      <c r="M839" s="39">
        <f t="array" ref="M839">MAX(_xlfn.XLOOKUP($A839,TRIM(SUBSTITUTE('worker file'!$A$2:$A$406,_xlfn.UNICHAR(160)," ")),'worker file'!$M$2:$M$406,0),_xlfn.XLOOKUP($B839,TRIM('pay group &amp; schedule'!$A$2:$A$6),'pay group &amp; schedule'!$D$2:$D$6,0))</f>
        <v>46311</v>
      </c>
      <c r="N839" s="39" t="str">
        <f t="array" ref="N839">_xlfn.LET(_xlpm.t,_xlfn.XLOOKUP($A839,TRIM(SUBSTITUTE('worker file'!$A$2:$A$406,_xlfn.UNICHAR(160)," ")),'worker file'!$N$2:$N$406,""),IF(N(_xlpm.t)=0,"",_xlpm.t))</f>
        <v/>
      </c>
    </row>
    <row r="840" spans="1:14" x14ac:dyDescent="0.2">
      <c r="A840" s="35" t="s">
        <v>386</v>
      </c>
      <c r="B840" s="36" t="str">
        <f t="array" ref="B840">_xlfn.XLOOKUP($A840,TRIM(SUBSTITUTE('worker file'!$A$2:$A$406,_xlfn.UNICHAR(160)," ")),'worker file'!$L$2:$L$406,"Not found")</f>
        <v>US Semi-monthly</v>
      </c>
      <c r="C840" s="36" t="str">
        <f t="array" ref="C840">_xlfn.XLOOKUP($A840,TRIM(SUBSTITUTE('worker file'!$A$2:$A$406,_xlfn.UNICHAR(160)," ")),'worker file'!$D$2:$D$406,"Not found")</f>
        <v>CA</v>
      </c>
      <c r="D840" s="36" t="str">
        <f t="array" ref="D840">_xlfn.XLOOKUP($A840,TRIM(SUBSTITUTE('worker file'!$A$2:$A$406,_xlfn.UNICHAR(160)," ")),'worker file'!$Q$2:$Q$406,"Not found")</f>
        <v>Active</v>
      </c>
      <c r="E840" s="35" t="s">
        <v>632</v>
      </c>
      <c r="F840" t="str">
        <f t="shared" si="92"/>
        <v>Dental – Employee</v>
      </c>
      <c r="G840" t="str">
        <f t="shared" si="93"/>
        <v>Pre-tax Section 125 (exempt from FIT/SIT/FICA)</v>
      </c>
      <c r="H840" t="str">
        <f t="shared" si="94"/>
        <v>Flat</v>
      </c>
      <c r="I840" s="40" t="str">
        <f>IF($H840="Percent",_xlfn.XLOOKUP($E840,$A$5:$A$8,$F$5:$F$8,""),"")</f>
        <v/>
      </c>
      <c r="J840" s="38">
        <f t="shared" si="95"/>
        <v>44</v>
      </c>
      <c r="K840" t="str">
        <f t="shared" si="96"/>
        <v>Per pay period</v>
      </c>
      <c r="L840" t="str">
        <f t="shared" si="97"/>
        <v>Every pay period (ongoing)</v>
      </c>
      <c r="M840" s="39">
        <f t="array" ref="M840">MAX(_xlfn.XLOOKUP($A840,TRIM(SUBSTITUTE('worker file'!$A$2:$A$406,_xlfn.UNICHAR(160)," ")),'worker file'!$M$2:$M$406,0),_xlfn.XLOOKUP($B840,TRIM('pay group &amp; schedule'!$A$2:$A$6),'pay group &amp; schedule'!$D$2:$D$6,0))</f>
        <v>46311</v>
      </c>
      <c r="N840" s="39" t="str">
        <f t="array" ref="N840">_xlfn.LET(_xlpm.t,_xlfn.XLOOKUP($A840,TRIM(SUBSTITUTE('worker file'!$A$2:$A$406,_xlfn.UNICHAR(160)," ")),'worker file'!$N$2:$N$406,""),IF(N(_xlpm.t)=0,"",_xlpm.t))</f>
        <v/>
      </c>
    </row>
    <row r="841" spans="1:14" x14ac:dyDescent="0.2">
      <c r="A841" s="35" t="s">
        <v>386</v>
      </c>
      <c r="B841" s="36" t="str">
        <f t="array" ref="B841">_xlfn.XLOOKUP($A841,TRIM(SUBSTITUTE('worker file'!$A$2:$A$406,_xlfn.UNICHAR(160)," ")),'worker file'!$L$2:$L$406,"Not found")</f>
        <v>US Semi-monthly</v>
      </c>
      <c r="C841" s="36" t="str">
        <f t="array" ref="C841">_xlfn.XLOOKUP($A841,TRIM(SUBSTITUTE('worker file'!$A$2:$A$406,_xlfn.UNICHAR(160)," ")),'worker file'!$D$2:$D$406,"Not found")</f>
        <v>CA</v>
      </c>
      <c r="D841" s="36" t="str">
        <f t="array" ref="D841">_xlfn.XLOOKUP($A841,TRIM(SUBSTITUTE('worker file'!$A$2:$A$406,_xlfn.UNICHAR(160)," ")),'worker file'!$Q$2:$Q$406,"Not found")</f>
        <v>Active</v>
      </c>
      <c r="E841" s="35" t="s">
        <v>634</v>
      </c>
      <c r="F841" t="str">
        <f t="shared" si="92"/>
        <v>Vision – Employee</v>
      </c>
      <c r="G841" t="str">
        <f t="shared" si="93"/>
        <v>Pre-tax Section 125 (exempt from FIT/SIT/FICA)</v>
      </c>
      <c r="H841" t="str">
        <f t="shared" si="94"/>
        <v>Flat</v>
      </c>
      <c r="I841" s="40" t="str">
        <f>IF($H841="Percent",_xlfn.XLOOKUP($E841,$A$5:$A$8,$F$5:$F$8,""),"")</f>
        <v/>
      </c>
      <c r="J841" s="38">
        <f t="shared" si="95"/>
        <v>30</v>
      </c>
      <c r="K841" t="str">
        <f t="shared" si="96"/>
        <v>Per pay period</v>
      </c>
      <c r="L841" t="str">
        <f t="shared" si="97"/>
        <v>Every pay period (ongoing)</v>
      </c>
      <c r="M841" s="39">
        <f t="array" ref="M841">MAX(_xlfn.XLOOKUP($A841,TRIM(SUBSTITUTE('worker file'!$A$2:$A$406,_xlfn.UNICHAR(160)," ")),'worker file'!$M$2:$M$406,0),_xlfn.XLOOKUP($B841,TRIM('pay group &amp; schedule'!$A$2:$A$6),'pay group &amp; schedule'!$D$2:$D$6,0))</f>
        <v>46311</v>
      </c>
      <c r="N841" s="39" t="str">
        <f t="array" ref="N841">_xlfn.LET(_xlpm.t,_xlfn.XLOOKUP($A841,TRIM(SUBSTITUTE('worker file'!$A$2:$A$406,_xlfn.UNICHAR(160)," ")),'worker file'!$N$2:$N$406,""),IF(N(_xlpm.t)=0,"",_xlpm.t))</f>
        <v/>
      </c>
    </row>
    <row r="842" spans="1:14" x14ac:dyDescent="0.2">
      <c r="A842" s="35" t="s">
        <v>387</v>
      </c>
      <c r="B842" s="36" t="str">
        <f t="array" ref="B842">_xlfn.XLOOKUP($A842,TRIM(SUBSTITUTE('worker file'!$A$2:$A$406,_xlfn.UNICHAR(160)," ")),'worker file'!$L$2:$L$406,"Not found")</f>
        <v>US Semi-monthly</v>
      </c>
      <c r="C842" s="36" t="str">
        <f t="array" ref="C842">_xlfn.XLOOKUP($A842,TRIM(SUBSTITUTE('worker file'!$A$2:$A$406,_xlfn.UNICHAR(160)," ")),'worker file'!$D$2:$D$406,"Not found")</f>
        <v>TX</v>
      </c>
      <c r="D842" s="36" t="str">
        <f t="array" ref="D842">_xlfn.XLOOKUP($A842,TRIM(SUBSTITUTE('worker file'!$A$2:$A$406,_xlfn.UNICHAR(160)," ")),'worker file'!$Q$2:$Q$406,"Not found")</f>
        <v>Active</v>
      </c>
      <c r="E842" s="35" t="s">
        <v>618</v>
      </c>
      <c r="F842" t="str">
        <f t="shared" si="92"/>
        <v>401(k) Employee Deferral</v>
      </c>
      <c r="G842" t="str">
        <f t="shared" si="93"/>
        <v>Pre-tax (exempt from FIT/SIT; subject to FICA)</v>
      </c>
      <c r="H842" t="str">
        <f t="shared" si="94"/>
        <v>Percent</v>
      </c>
      <c r="I842" s="37">
        <v>0.04</v>
      </c>
      <c r="J842" s="38" t="str">
        <f t="shared" si="95"/>
        <v/>
      </c>
      <c r="K842" t="str">
        <f t="shared" si="96"/>
        <v>Gross pay</v>
      </c>
      <c r="L842" t="str">
        <f t="shared" si="97"/>
        <v>Every pay period (ongoing)</v>
      </c>
      <c r="M842" s="39">
        <f t="array" ref="M842">MAX(_xlfn.XLOOKUP($A842,TRIM(SUBSTITUTE('worker file'!$A$2:$A$406,_xlfn.UNICHAR(160)," ")),'worker file'!$M$2:$M$406,0),_xlfn.XLOOKUP($B842,TRIM('pay group &amp; schedule'!$A$2:$A$6),'pay group &amp; schedule'!$D$2:$D$6,0))</f>
        <v>46311</v>
      </c>
      <c r="N842" s="39" t="str">
        <f t="array" ref="N842">_xlfn.LET(_xlpm.t,_xlfn.XLOOKUP($A842,TRIM(SUBSTITUTE('worker file'!$A$2:$A$406,_xlfn.UNICHAR(160)," ")),'worker file'!$N$2:$N$406,""),IF(N(_xlpm.t)=0,"",_xlpm.t))</f>
        <v/>
      </c>
    </row>
    <row r="843" spans="1:14" x14ac:dyDescent="0.2">
      <c r="A843" s="35" t="s">
        <v>387</v>
      </c>
      <c r="B843" s="36" t="str">
        <f t="array" ref="B843">_xlfn.XLOOKUP($A843,TRIM(SUBSTITUTE('worker file'!$A$2:$A$406,_xlfn.UNICHAR(160)," ")),'worker file'!$L$2:$L$406,"Not found")</f>
        <v>US Semi-monthly</v>
      </c>
      <c r="C843" s="36" t="str">
        <f t="array" ref="C843">_xlfn.XLOOKUP($A843,TRIM(SUBSTITUTE('worker file'!$A$2:$A$406,_xlfn.UNICHAR(160)," ")),'worker file'!$D$2:$D$406,"Not found")</f>
        <v>TX</v>
      </c>
      <c r="D843" s="36" t="str">
        <f t="array" ref="D843">_xlfn.XLOOKUP($A843,TRIM(SUBSTITUTE('worker file'!$A$2:$A$406,_xlfn.UNICHAR(160)," ")),'worker file'!$Q$2:$Q$406,"Not found")</f>
        <v>Active</v>
      </c>
      <c r="E843" s="35" t="s">
        <v>626</v>
      </c>
      <c r="F843" t="str">
        <f t="shared" si="92"/>
        <v>Medical (Health) – Employee</v>
      </c>
      <c r="G843" t="str">
        <f t="shared" si="93"/>
        <v>Pre-tax Section 125 (exempt from FIT/SIT/FICA)</v>
      </c>
      <c r="H843" t="str">
        <f t="shared" si="94"/>
        <v>Flat</v>
      </c>
      <c r="I843" s="40" t="str">
        <f>IF($H843="Percent",_xlfn.XLOOKUP($E843,$A$5:$A$8,$F$5:$F$8,""),"")</f>
        <v/>
      </c>
      <c r="J843" s="38">
        <f t="shared" si="95"/>
        <v>200</v>
      </c>
      <c r="K843" t="str">
        <f t="shared" si="96"/>
        <v>Per pay period</v>
      </c>
      <c r="L843" t="str">
        <f t="shared" si="97"/>
        <v>Every pay period (ongoing)</v>
      </c>
      <c r="M843" s="39">
        <f t="array" ref="M843">MAX(_xlfn.XLOOKUP($A843,TRIM(SUBSTITUTE('worker file'!$A$2:$A$406,_xlfn.UNICHAR(160)," ")),'worker file'!$M$2:$M$406,0),_xlfn.XLOOKUP($B843,TRIM('pay group &amp; schedule'!$A$2:$A$6),'pay group &amp; schedule'!$D$2:$D$6,0))</f>
        <v>46311</v>
      </c>
      <c r="N843" s="39" t="str">
        <f t="array" ref="N843">_xlfn.LET(_xlpm.t,_xlfn.XLOOKUP($A843,TRIM(SUBSTITUTE('worker file'!$A$2:$A$406,_xlfn.UNICHAR(160)," ")),'worker file'!$N$2:$N$406,""),IF(N(_xlpm.t)=0,"",_xlpm.t))</f>
        <v/>
      </c>
    </row>
    <row r="844" spans="1:14" x14ac:dyDescent="0.2">
      <c r="A844" s="35" t="s">
        <v>387</v>
      </c>
      <c r="B844" s="36" t="str">
        <f t="array" ref="B844">_xlfn.XLOOKUP($A844,TRIM(SUBSTITUTE('worker file'!$A$2:$A$406,_xlfn.UNICHAR(160)," ")),'worker file'!$L$2:$L$406,"Not found")</f>
        <v>US Semi-monthly</v>
      </c>
      <c r="C844" s="36" t="str">
        <f t="array" ref="C844">_xlfn.XLOOKUP($A844,TRIM(SUBSTITUTE('worker file'!$A$2:$A$406,_xlfn.UNICHAR(160)," ")),'worker file'!$D$2:$D$406,"Not found")</f>
        <v>TX</v>
      </c>
      <c r="D844" s="36" t="str">
        <f t="array" ref="D844">_xlfn.XLOOKUP($A844,TRIM(SUBSTITUTE('worker file'!$A$2:$A$406,_xlfn.UNICHAR(160)," ")),'worker file'!$Q$2:$Q$406,"Not found")</f>
        <v>Active</v>
      </c>
      <c r="E844" s="35" t="s">
        <v>632</v>
      </c>
      <c r="F844" t="str">
        <f t="shared" ref="F844:F907" si="100">_xlfn.XLOOKUP($E844,$A$5:$A$8,$B$5:$B$8,"")</f>
        <v>Dental – Employee</v>
      </c>
      <c r="G844" t="str">
        <f t="shared" ref="G844:G907" si="101">_xlfn.XLOOKUP($E844,$A$5:$A$8,$D$5:$D$8,"")</f>
        <v>Pre-tax Section 125 (exempt from FIT/SIT/FICA)</v>
      </c>
      <c r="H844" t="str">
        <f t="shared" ref="H844:H907" si="102">_xlfn.XLOOKUP($E844,$A$5:$A$8,$E$5:$E$8,"")</f>
        <v>Flat</v>
      </c>
      <c r="I844" s="40" t="str">
        <f>IF($H844="Percent",_xlfn.XLOOKUP($E844,$A$5:$A$8,$F$5:$F$8,""),"")</f>
        <v/>
      </c>
      <c r="J844" s="38">
        <f t="shared" ref="J844:J907" si="103">IF($H844="Flat",_xlfn.XLOOKUP($E844,$A$5:$A$8,$F$5:$F$8,""),"")</f>
        <v>44</v>
      </c>
      <c r="K844" t="str">
        <f t="shared" ref="K844:K907" si="104">_xlfn.XLOOKUP($E844,$A$5:$A$8,$G$5:$G$8,"")</f>
        <v>Per pay period</v>
      </c>
      <c r="L844" t="str">
        <f t="shared" ref="L844:L907" si="105">_xlfn.XLOOKUP($E844,$A$5:$A$8,$H$5:$H$8,"")</f>
        <v>Every pay period (ongoing)</v>
      </c>
      <c r="M844" s="39">
        <f t="array" ref="M844">MAX(_xlfn.XLOOKUP($A844,TRIM(SUBSTITUTE('worker file'!$A$2:$A$406,_xlfn.UNICHAR(160)," ")),'worker file'!$M$2:$M$406,0),_xlfn.XLOOKUP($B844,TRIM('pay group &amp; schedule'!$A$2:$A$6),'pay group &amp; schedule'!$D$2:$D$6,0))</f>
        <v>46311</v>
      </c>
      <c r="N844" s="39" t="str">
        <f t="array" ref="N844">_xlfn.LET(_xlpm.t,_xlfn.XLOOKUP($A844,TRIM(SUBSTITUTE('worker file'!$A$2:$A$406,_xlfn.UNICHAR(160)," ")),'worker file'!$N$2:$N$406,""),IF(N(_xlpm.t)=0,"",_xlpm.t))</f>
        <v/>
      </c>
    </row>
    <row r="845" spans="1:14" x14ac:dyDescent="0.2">
      <c r="A845" s="35" t="s">
        <v>387</v>
      </c>
      <c r="B845" s="36" t="str">
        <f t="array" ref="B845">_xlfn.XLOOKUP($A845,TRIM(SUBSTITUTE('worker file'!$A$2:$A$406,_xlfn.UNICHAR(160)," ")),'worker file'!$L$2:$L$406,"Not found")</f>
        <v>US Semi-monthly</v>
      </c>
      <c r="C845" s="36" t="str">
        <f t="array" ref="C845">_xlfn.XLOOKUP($A845,TRIM(SUBSTITUTE('worker file'!$A$2:$A$406,_xlfn.UNICHAR(160)," ")),'worker file'!$D$2:$D$406,"Not found")</f>
        <v>TX</v>
      </c>
      <c r="D845" s="36" t="str">
        <f t="array" ref="D845">_xlfn.XLOOKUP($A845,TRIM(SUBSTITUTE('worker file'!$A$2:$A$406,_xlfn.UNICHAR(160)," ")),'worker file'!$Q$2:$Q$406,"Not found")</f>
        <v>Active</v>
      </c>
      <c r="E845" s="35" t="s">
        <v>634</v>
      </c>
      <c r="F845" t="str">
        <f t="shared" si="100"/>
        <v>Vision – Employee</v>
      </c>
      <c r="G845" t="str">
        <f t="shared" si="101"/>
        <v>Pre-tax Section 125 (exempt from FIT/SIT/FICA)</v>
      </c>
      <c r="H845" t="str">
        <f t="shared" si="102"/>
        <v>Flat</v>
      </c>
      <c r="I845" s="40" t="str">
        <f>IF($H845="Percent",_xlfn.XLOOKUP($E845,$A$5:$A$8,$F$5:$F$8,""),"")</f>
        <v/>
      </c>
      <c r="J845" s="38">
        <f t="shared" si="103"/>
        <v>30</v>
      </c>
      <c r="K845" t="str">
        <f t="shared" si="104"/>
        <v>Per pay period</v>
      </c>
      <c r="L845" t="str">
        <f t="shared" si="105"/>
        <v>Every pay period (ongoing)</v>
      </c>
      <c r="M845" s="39">
        <f t="array" ref="M845">MAX(_xlfn.XLOOKUP($A845,TRIM(SUBSTITUTE('worker file'!$A$2:$A$406,_xlfn.UNICHAR(160)," ")),'worker file'!$M$2:$M$406,0),_xlfn.XLOOKUP($B845,TRIM('pay group &amp; schedule'!$A$2:$A$6),'pay group &amp; schedule'!$D$2:$D$6,0))</f>
        <v>46311</v>
      </c>
      <c r="N845" s="39" t="str">
        <f t="array" ref="N845">_xlfn.LET(_xlpm.t,_xlfn.XLOOKUP($A845,TRIM(SUBSTITUTE('worker file'!$A$2:$A$406,_xlfn.UNICHAR(160)," ")),'worker file'!$N$2:$N$406,""),IF(N(_xlpm.t)=0,"",_xlpm.t))</f>
        <v/>
      </c>
    </row>
    <row r="846" spans="1:14" x14ac:dyDescent="0.2">
      <c r="A846" s="35" t="s">
        <v>388</v>
      </c>
      <c r="B846" s="36" t="str">
        <f t="array" ref="B846">_xlfn.XLOOKUP($A846,TRIM(SUBSTITUTE('worker file'!$A$2:$A$406,_xlfn.UNICHAR(160)," ")),'worker file'!$L$2:$L$406,"Not found")</f>
        <v>US Semi-monthly</v>
      </c>
      <c r="C846" s="36" t="str">
        <f t="array" ref="C846">_xlfn.XLOOKUP($A846,TRIM(SUBSTITUTE('worker file'!$A$2:$A$406,_xlfn.UNICHAR(160)," ")),'worker file'!$D$2:$D$406,"Not found")</f>
        <v>CA</v>
      </c>
      <c r="D846" s="36" t="str">
        <f t="array" ref="D846">_xlfn.XLOOKUP($A846,TRIM(SUBSTITUTE('worker file'!$A$2:$A$406,_xlfn.UNICHAR(160)," ")),'worker file'!$Q$2:$Q$406,"Not found")</f>
        <v>Active</v>
      </c>
      <c r="E846" s="35" t="s">
        <v>618</v>
      </c>
      <c r="F846" t="str">
        <f t="shared" si="100"/>
        <v>401(k) Employee Deferral</v>
      </c>
      <c r="G846" t="str">
        <f t="shared" si="101"/>
        <v>Pre-tax (exempt from FIT/SIT; subject to FICA)</v>
      </c>
      <c r="H846" t="str">
        <f t="shared" si="102"/>
        <v>Percent</v>
      </c>
      <c r="I846" s="37">
        <v>0.01</v>
      </c>
      <c r="J846" s="38" t="str">
        <f t="shared" si="103"/>
        <v/>
      </c>
      <c r="K846" t="str">
        <f t="shared" si="104"/>
        <v>Gross pay</v>
      </c>
      <c r="L846" t="str">
        <f t="shared" si="105"/>
        <v>Every pay period (ongoing)</v>
      </c>
      <c r="M846" s="39">
        <f t="array" ref="M846">MAX(_xlfn.XLOOKUP($A846,TRIM(SUBSTITUTE('worker file'!$A$2:$A$406,_xlfn.UNICHAR(160)," ")),'worker file'!$M$2:$M$406,0),_xlfn.XLOOKUP($B846,TRIM('pay group &amp; schedule'!$A$2:$A$6),'pay group &amp; schedule'!$D$2:$D$6,0))</f>
        <v>46311</v>
      </c>
      <c r="N846" s="39" t="str">
        <f t="array" ref="N846">_xlfn.LET(_xlpm.t,_xlfn.XLOOKUP($A846,TRIM(SUBSTITUTE('worker file'!$A$2:$A$406,_xlfn.UNICHAR(160)," ")),'worker file'!$N$2:$N$406,""),IF(N(_xlpm.t)=0,"",_xlpm.t))</f>
        <v/>
      </c>
    </row>
    <row r="847" spans="1:14" x14ac:dyDescent="0.2">
      <c r="A847" s="35" t="s">
        <v>388</v>
      </c>
      <c r="B847" s="36" t="str">
        <f t="array" ref="B847">_xlfn.XLOOKUP($A847,TRIM(SUBSTITUTE('worker file'!$A$2:$A$406,_xlfn.UNICHAR(160)," ")),'worker file'!$L$2:$L$406,"Not found")</f>
        <v>US Semi-monthly</v>
      </c>
      <c r="C847" s="36" t="str">
        <f t="array" ref="C847">_xlfn.XLOOKUP($A847,TRIM(SUBSTITUTE('worker file'!$A$2:$A$406,_xlfn.UNICHAR(160)," ")),'worker file'!$D$2:$D$406,"Not found")</f>
        <v>CA</v>
      </c>
      <c r="D847" s="36" t="str">
        <f t="array" ref="D847">_xlfn.XLOOKUP($A847,TRIM(SUBSTITUTE('worker file'!$A$2:$A$406,_xlfn.UNICHAR(160)," ")),'worker file'!$Q$2:$Q$406,"Not found")</f>
        <v>Active</v>
      </c>
      <c r="E847" s="35" t="s">
        <v>626</v>
      </c>
      <c r="F847" t="str">
        <f t="shared" si="100"/>
        <v>Medical (Health) – Employee</v>
      </c>
      <c r="G847" t="str">
        <f t="shared" si="101"/>
        <v>Pre-tax Section 125 (exempt from FIT/SIT/FICA)</v>
      </c>
      <c r="H847" t="str">
        <f t="shared" si="102"/>
        <v>Flat</v>
      </c>
      <c r="I847" s="40" t="str">
        <f>IF($H847="Percent",_xlfn.XLOOKUP($E847,$A$5:$A$8,$F$5:$F$8,""),"")</f>
        <v/>
      </c>
      <c r="J847" s="38">
        <f t="shared" si="103"/>
        <v>200</v>
      </c>
      <c r="K847" t="str">
        <f t="shared" si="104"/>
        <v>Per pay period</v>
      </c>
      <c r="L847" t="str">
        <f t="shared" si="105"/>
        <v>Every pay period (ongoing)</v>
      </c>
      <c r="M847" s="39">
        <f t="array" ref="M847">MAX(_xlfn.XLOOKUP($A847,TRIM(SUBSTITUTE('worker file'!$A$2:$A$406,_xlfn.UNICHAR(160)," ")),'worker file'!$M$2:$M$406,0),_xlfn.XLOOKUP($B847,TRIM('pay group &amp; schedule'!$A$2:$A$6),'pay group &amp; schedule'!$D$2:$D$6,0))</f>
        <v>46311</v>
      </c>
      <c r="N847" s="39" t="str">
        <f t="array" ref="N847">_xlfn.LET(_xlpm.t,_xlfn.XLOOKUP($A847,TRIM(SUBSTITUTE('worker file'!$A$2:$A$406,_xlfn.UNICHAR(160)," ")),'worker file'!$N$2:$N$406,""),IF(N(_xlpm.t)=0,"",_xlpm.t))</f>
        <v/>
      </c>
    </row>
    <row r="848" spans="1:14" x14ac:dyDescent="0.2">
      <c r="A848" s="35" t="s">
        <v>388</v>
      </c>
      <c r="B848" s="36" t="str">
        <f t="array" ref="B848">_xlfn.XLOOKUP($A848,TRIM(SUBSTITUTE('worker file'!$A$2:$A$406,_xlfn.UNICHAR(160)," ")),'worker file'!$L$2:$L$406,"Not found")</f>
        <v>US Semi-monthly</v>
      </c>
      <c r="C848" s="36" t="str">
        <f t="array" ref="C848">_xlfn.XLOOKUP($A848,TRIM(SUBSTITUTE('worker file'!$A$2:$A$406,_xlfn.UNICHAR(160)," ")),'worker file'!$D$2:$D$406,"Not found")</f>
        <v>CA</v>
      </c>
      <c r="D848" s="36" t="str">
        <f t="array" ref="D848">_xlfn.XLOOKUP($A848,TRIM(SUBSTITUTE('worker file'!$A$2:$A$406,_xlfn.UNICHAR(160)," ")),'worker file'!$Q$2:$Q$406,"Not found")</f>
        <v>Active</v>
      </c>
      <c r="E848" s="35" t="s">
        <v>632</v>
      </c>
      <c r="F848" t="str">
        <f t="shared" si="100"/>
        <v>Dental – Employee</v>
      </c>
      <c r="G848" t="str">
        <f t="shared" si="101"/>
        <v>Pre-tax Section 125 (exempt from FIT/SIT/FICA)</v>
      </c>
      <c r="H848" t="str">
        <f t="shared" si="102"/>
        <v>Flat</v>
      </c>
      <c r="I848" s="40" t="str">
        <f>IF($H848="Percent",_xlfn.XLOOKUP($E848,$A$5:$A$8,$F$5:$F$8,""),"")</f>
        <v/>
      </c>
      <c r="J848" s="38">
        <f t="shared" si="103"/>
        <v>44</v>
      </c>
      <c r="K848" t="str">
        <f t="shared" si="104"/>
        <v>Per pay period</v>
      </c>
      <c r="L848" t="str">
        <f t="shared" si="105"/>
        <v>Every pay period (ongoing)</v>
      </c>
      <c r="M848" s="39">
        <f t="array" ref="M848">MAX(_xlfn.XLOOKUP($A848,TRIM(SUBSTITUTE('worker file'!$A$2:$A$406,_xlfn.UNICHAR(160)," ")),'worker file'!$M$2:$M$406,0),_xlfn.XLOOKUP($B848,TRIM('pay group &amp; schedule'!$A$2:$A$6),'pay group &amp; schedule'!$D$2:$D$6,0))</f>
        <v>46311</v>
      </c>
      <c r="N848" s="39" t="str">
        <f t="array" ref="N848">_xlfn.LET(_xlpm.t,_xlfn.XLOOKUP($A848,TRIM(SUBSTITUTE('worker file'!$A$2:$A$406,_xlfn.UNICHAR(160)," ")),'worker file'!$N$2:$N$406,""),IF(N(_xlpm.t)=0,"",_xlpm.t))</f>
        <v/>
      </c>
    </row>
    <row r="849" spans="1:14" x14ac:dyDescent="0.2">
      <c r="A849" s="35" t="s">
        <v>388</v>
      </c>
      <c r="B849" s="36" t="str">
        <f t="array" ref="B849">_xlfn.XLOOKUP($A849,TRIM(SUBSTITUTE('worker file'!$A$2:$A$406,_xlfn.UNICHAR(160)," ")),'worker file'!$L$2:$L$406,"Not found")</f>
        <v>US Semi-monthly</v>
      </c>
      <c r="C849" s="36" t="str">
        <f t="array" ref="C849">_xlfn.XLOOKUP($A849,TRIM(SUBSTITUTE('worker file'!$A$2:$A$406,_xlfn.UNICHAR(160)," ")),'worker file'!$D$2:$D$406,"Not found")</f>
        <v>CA</v>
      </c>
      <c r="D849" s="36" t="str">
        <f t="array" ref="D849">_xlfn.XLOOKUP($A849,TRIM(SUBSTITUTE('worker file'!$A$2:$A$406,_xlfn.UNICHAR(160)," ")),'worker file'!$Q$2:$Q$406,"Not found")</f>
        <v>Active</v>
      </c>
      <c r="E849" s="35" t="s">
        <v>634</v>
      </c>
      <c r="F849" t="str">
        <f t="shared" si="100"/>
        <v>Vision – Employee</v>
      </c>
      <c r="G849" t="str">
        <f t="shared" si="101"/>
        <v>Pre-tax Section 125 (exempt from FIT/SIT/FICA)</v>
      </c>
      <c r="H849" t="str">
        <f t="shared" si="102"/>
        <v>Flat</v>
      </c>
      <c r="I849" s="40" t="str">
        <f>IF($H849="Percent",_xlfn.XLOOKUP($E849,$A$5:$A$8,$F$5:$F$8,""),"")</f>
        <v/>
      </c>
      <c r="J849" s="38">
        <f t="shared" si="103"/>
        <v>30</v>
      </c>
      <c r="K849" t="str">
        <f t="shared" si="104"/>
        <v>Per pay period</v>
      </c>
      <c r="L849" t="str">
        <f t="shared" si="105"/>
        <v>Every pay period (ongoing)</v>
      </c>
      <c r="M849" s="39">
        <f t="array" ref="M849">MAX(_xlfn.XLOOKUP($A849,TRIM(SUBSTITUTE('worker file'!$A$2:$A$406,_xlfn.UNICHAR(160)," ")),'worker file'!$M$2:$M$406,0),_xlfn.XLOOKUP($B849,TRIM('pay group &amp; schedule'!$A$2:$A$6),'pay group &amp; schedule'!$D$2:$D$6,0))</f>
        <v>46311</v>
      </c>
      <c r="N849" s="39" t="str">
        <f t="array" ref="N849">_xlfn.LET(_xlpm.t,_xlfn.XLOOKUP($A849,TRIM(SUBSTITUTE('worker file'!$A$2:$A$406,_xlfn.UNICHAR(160)," ")),'worker file'!$N$2:$N$406,""),IF(N(_xlpm.t)=0,"",_xlpm.t))</f>
        <v/>
      </c>
    </row>
    <row r="850" spans="1:14" x14ac:dyDescent="0.2">
      <c r="A850" s="35" t="s">
        <v>389</v>
      </c>
      <c r="B850" s="36" t="str">
        <f t="array" ref="B850">_xlfn.XLOOKUP($A850,TRIM(SUBSTITUTE('worker file'!$A$2:$A$406,_xlfn.UNICHAR(160)," ")),'worker file'!$L$2:$L$406,"Not found")</f>
        <v>US Semi-monthly</v>
      </c>
      <c r="C850" s="36" t="str">
        <f t="array" ref="C850">_xlfn.XLOOKUP($A850,TRIM(SUBSTITUTE('worker file'!$A$2:$A$406,_xlfn.UNICHAR(160)," ")),'worker file'!$D$2:$D$406,"Not found")</f>
        <v>CA</v>
      </c>
      <c r="D850" s="36" t="str">
        <f t="array" ref="D850">_xlfn.XLOOKUP($A850,TRIM(SUBSTITUTE('worker file'!$A$2:$A$406,_xlfn.UNICHAR(160)," ")),'worker file'!$Q$2:$Q$406,"Not found")</f>
        <v>Active</v>
      </c>
      <c r="E850" s="35" t="s">
        <v>618</v>
      </c>
      <c r="F850" t="str">
        <f t="shared" si="100"/>
        <v>401(k) Employee Deferral</v>
      </c>
      <c r="G850" t="str">
        <f t="shared" si="101"/>
        <v>Pre-tax (exempt from FIT/SIT; subject to FICA)</v>
      </c>
      <c r="H850" t="str">
        <f t="shared" si="102"/>
        <v>Percent</v>
      </c>
      <c r="I850" s="37">
        <v>0.06</v>
      </c>
      <c r="J850" s="38" t="str">
        <f t="shared" si="103"/>
        <v/>
      </c>
      <c r="K850" t="str">
        <f t="shared" si="104"/>
        <v>Gross pay</v>
      </c>
      <c r="L850" t="str">
        <f t="shared" si="105"/>
        <v>Every pay period (ongoing)</v>
      </c>
      <c r="M850" s="39">
        <f t="array" ref="M850">MAX(_xlfn.XLOOKUP($A850,TRIM(SUBSTITUTE('worker file'!$A$2:$A$406,_xlfn.UNICHAR(160)," ")),'worker file'!$M$2:$M$406,0),_xlfn.XLOOKUP($B850,TRIM('pay group &amp; schedule'!$A$2:$A$6),'pay group &amp; schedule'!$D$2:$D$6,0))</f>
        <v>46311</v>
      </c>
      <c r="N850" s="39" t="str">
        <f t="array" ref="N850">_xlfn.LET(_xlpm.t,_xlfn.XLOOKUP($A850,TRIM(SUBSTITUTE('worker file'!$A$2:$A$406,_xlfn.UNICHAR(160)," ")),'worker file'!$N$2:$N$406,""),IF(N(_xlpm.t)=0,"",_xlpm.t))</f>
        <v/>
      </c>
    </row>
    <row r="851" spans="1:14" x14ac:dyDescent="0.2">
      <c r="A851" s="35" t="s">
        <v>389</v>
      </c>
      <c r="B851" s="36" t="str">
        <f t="array" ref="B851">_xlfn.XLOOKUP($A851,TRIM(SUBSTITUTE('worker file'!$A$2:$A$406,_xlfn.UNICHAR(160)," ")),'worker file'!$L$2:$L$406,"Not found")</f>
        <v>US Semi-monthly</v>
      </c>
      <c r="C851" s="36" t="str">
        <f t="array" ref="C851">_xlfn.XLOOKUP($A851,TRIM(SUBSTITUTE('worker file'!$A$2:$A$406,_xlfn.UNICHAR(160)," ")),'worker file'!$D$2:$D$406,"Not found")</f>
        <v>CA</v>
      </c>
      <c r="D851" s="36" t="str">
        <f t="array" ref="D851">_xlfn.XLOOKUP($A851,TRIM(SUBSTITUTE('worker file'!$A$2:$A$406,_xlfn.UNICHAR(160)," ")),'worker file'!$Q$2:$Q$406,"Not found")</f>
        <v>Active</v>
      </c>
      <c r="E851" s="35" t="s">
        <v>626</v>
      </c>
      <c r="F851" t="str">
        <f t="shared" si="100"/>
        <v>Medical (Health) – Employee</v>
      </c>
      <c r="G851" t="str">
        <f t="shared" si="101"/>
        <v>Pre-tax Section 125 (exempt from FIT/SIT/FICA)</v>
      </c>
      <c r="H851" t="str">
        <f t="shared" si="102"/>
        <v>Flat</v>
      </c>
      <c r="I851" s="40" t="str">
        <f>IF($H851="Percent",_xlfn.XLOOKUP($E851,$A$5:$A$8,$F$5:$F$8,""),"")</f>
        <v/>
      </c>
      <c r="J851" s="38">
        <f t="shared" si="103"/>
        <v>200</v>
      </c>
      <c r="K851" t="str">
        <f t="shared" si="104"/>
        <v>Per pay period</v>
      </c>
      <c r="L851" t="str">
        <f t="shared" si="105"/>
        <v>Every pay period (ongoing)</v>
      </c>
      <c r="M851" s="39">
        <f t="array" ref="M851">MAX(_xlfn.XLOOKUP($A851,TRIM(SUBSTITUTE('worker file'!$A$2:$A$406,_xlfn.UNICHAR(160)," ")),'worker file'!$M$2:$M$406,0),_xlfn.XLOOKUP($B851,TRIM('pay group &amp; schedule'!$A$2:$A$6),'pay group &amp; schedule'!$D$2:$D$6,0))</f>
        <v>46311</v>
      </c>
      <c r="N851" s="39" t="str">
        <f t="array" ref="N851">_xlfn.LET(_xlpm.t,_xlfn.XLOOKUP($A851,TRIM(SUBSTITUTE('worker file'!$A$2:$A$406,_xlfn.UNICHAR(160)," ")),'worker file'!$N$2:$N$406,""),IF(N(_xlpm.t)=0,"",_xlpm.t))</f>
        <v/>
      </c>
    </row>
    <row r="852" spans="1:14" x14ac:dyDescent="0.2">
      <c r="A852" s="35" t="s">
        <v>389</v>
      </c>
      <c r="B852" s="36" t="str">
        <f t="array" ref="B852">_xlfn.XLOOKUP($A852,TRIM(SUBSTITUTE('worker file'!$A$2:$A$406,_xlfn.UNICHAR(160)," ")),'worker file'!$L$2:$L$406,"Not found")</f>
        <v>US Semi-monthly</v>
      </c>
      <c r="C852" s="36" t="str">
        <f t="array" ref="C852">_xlfn.XLOOKUP($A852,TRIM(SUBSTITUTE('worker file'!$A$2:$A$406,_xlfn.UNICHAR(160)," ")),'worker file'!$D$2:$D$406,"Not found")</f>
        <v>CA</v>
      </c>
      <c r="D852" s="36" t="str">
        <f t="array" ref="D852">_xlfn.XLOOKUP($A852,TRIM(SUBSTITUTE('worker file'!$A$2:$A$406,_xlfn.UNICHAR(160)," ")),'worker file'!$Q$2:$Q$406,"Not found")</f>
        <v>Active</v>
      </c>
      <c r="E852" s="35" t="s">
        <v>632</v>
      </c>
      <c r="F852" t="str">
        <f t="shared" si="100"/>
        <v>Dental – Employee</v>
      </c>
      <c r="G852" t="str">
        <f t="shared" si="101"/>
        <v>Pre-tax Section 125 (exempt from FIT/SIT/FICA)</v>
      </c>
      <c r="H852" t="str">
        <f t="shared" si="102"/>
        <v>Flat</v>
      </c>
      <c r="I852" s="40" t="str">
        <f>IF($H852="Percent",_xlfn.XLOOKUP($E852,$A$5:$A$8,$F$5:$F$8,""),"")</f>
        <v/>
      </c>
      <c r="J852" s="38">
        <f t="shared" si="103"/>
        <v>44</v>
      </c>
      <c r="K852" t="str">
        <f t="shared" si="104"/>
        <v>Per pay period</v>
      </c>
      <c r="L852" t="str">
        <f t="shared" si="105"/>
        <v>Every pay period (ongoing)</v>
      </c>
      <c r="M852" s="39">
        <f t="array" ref="M852">MAX(_xlfn.XLOOKUP($A852,TRIM(SUBSTITUTE('worker file'!$A$2:$A$406,_xlfn.UNICHAR(160)," ")),'worker file'!$M$2:$M$406,0),_xlfn.XLOOKUP($B852,TRIM('pay group &amp; schedule'!$A$2:$A$6),'pay group &amp; schedule'!$D$2:$D$6,0))</f>
        <v>46311</v>
      </c>
      <c r="N852" s="39" t="str">
        <f t="array" ref="N852">_xlfn.LET(_xlpm.t,_xlfn.XLOOKUP($A852,TRIM(SUBSTITUTE('worker file'!$A$2:$A$406,_xlfn.UNICHAR(160)," ")),'worker file'!$N$2:$N$406,""),IF(N(_xlpm.t)=0,"",_xlpm.t))</f>
        <v/>
      </c>
    </row>
    <row r="853" spans="1:14" x14ac:dyDescent="0.2">
      <c r="A853" s="35" t="s">
        <v>389</v>
      </c>
      <c r="B853" s="36" t="str">
        <f t="array" ref="B853">_xlfn.XLOOKUP($A853,TRIM(SUBSTITUTE('worker file'!$A$2:$A$406,_xlfn.UNICHAR(160)," ")),'worker file'!$L$2:$L$406,"Not found")</f>
        <v>US Semi-monthly</v>
      </c>
      <c r="C853" s="36" t="str">
        <f t="array" ref="C853">_xlfn.XLOOKUP($A853,TRIM(SUBSTITUTE('worker file'!$A$2:$A$406,_xlfn.UNICHAR(160)," ")),'worker file'!$D$2:$D$406,"Not found")</f>
        <v>CA</v>
      </c>
      <c r="D853" s="36" t="str">
        <f t="array" ref="D853">_xlfn.XLOOKUP($A853,TRIM(SUBSTITUTE('worker file'!$A$2:$A$406,_xlfn.UNICHAR(160)," ")),'worker file'!$Q$2:$Q$406,"Not found")</f>
        <v>Active</v>
      </c>
      <c r="E853" s="35" t="s">
        <v>634</v>
      </c>
      <c r="F853" t="str">
        <f t="shared" si="100"/>
        <v>Vision – Employee</v>
      </c>
      <c r="G853" t="str">
        <f t="shared" si="101"/>
        <v>Pre-tax Section 125 (exempt from FIT/SIT/FICA)</v>
      </c>
      <c r="H853" t="str">
        <f t="shared" si="102"/>
        <v>Flat</v>
      </c>
      <c r="I853" s="40" t="str">
        <f>IF($H853="Percent",_xlfn.XLOOKUP($E853,$A$5:$A$8,$F$5:$F$8,""),"")</f>
        <v/>
      </c>
      <c r="J853" s="38">
        <f t="shared" si="103"/>
        <v>30</v>
      </c>
      <c r="K853" t="str">
        <f t="shared" si="104"/>
        <v>Per pay period</v>
      </c>
      <c r="L853" t="str">
        <f t="shared" si="105"/>
        <v>Every pay period (ongoing)</v>
      </c>
      <c r="M853" s="39">
        <f t="array" ref="M853">MAX(_xlfn.XLOOKUP($A853,TRIM(SUBSTITUTE('worker file'!$A$2:$A$406,_xlfn.UNICHAR(160)," ")),'worker file'!$M$2:$M$406,0),_xlfn.XLOOKUP($B853,TRIM('pay group &amp; schedule'!$A$2:$A$6),'pay group &amp; schedule'!$D$2:$D$6,0))</f>
        <v>46311</v>
      </c>
      <c r="N853" s="39" t="str">
        <f t="array" ref="N853">_xlfn.LET(_xlpm.t,_xlfn.XLOOKUP($A853,TRIM(SUBSTITUTE('worker file'!$A$2:$A$406,_xlfn.UNICHAR(160)," ")),'worker file'!$N$2:$N$406,""),IF(N(_xlpm.t)=0,"",_xlpm.t))</f>
        <v/>
      </c>
    </row>
    <row r="854" spans="1:14" x14ac:dyDescent="0.2">
      <c r="A854" s="35" t="s">
        <v>390</v>
      </c>
      <c r="B854" s="36" t="str">
        <f t="array" ref="B854">_xlfn.XLOOKUP($A854,TRIM(SUBSTITUTE('worker file'!$A$2:$A$406,_xlfn.UNICHAR(160)," ")),'worker file'!$L$2:$L$406,"Not found")</f>
        <v>US Semi-monthly</v>
      </c>
      <c r="C854" s="36" t="str">
        <f t="array" ref="C854">_xlfn.XLOOKUP($A854,TRIM(SUBSTITUTE('worker file'!$A$2:$A$406,_xlfn.UNICHAR(160)," ")),'worker file'!$D$2:$D$406,"Not found")</f>
        <v>CA</v>
      </c>
      <c r="D854" s="36" t="str">
        <f t="array" ref="D854">_xlfn.XLOOKUP($A854,TRIM(SUBSTITUTE('worker file'!$A$2:$A$406,_xlfn.UNICHAR(160)," ")),'worker file'!$Q$2:$Q$406,"Not found")</f>
        <v>Active</v>
      </c>
      <c r="E854" s="35" t="s">
        <v>618</v>
      </c>
      <c r="F854" t="str">
        <f t="shared" si="100"/>
        <v>401(k) Employee Deferral</v>
      </c>
      <c r="G854" t="str">
        <f t="shared" si="101"/>
        <v>Pre-tax (exempt from FIT/SIT; subject to FICA)</v>
      </c>
      <c r="H854" t="str">
        <f t="shared" si="102"/>
        <v>Percent</v>
      </c>
      <c r="I854" s="37">
        <v>0.03</v>
      </c>
      <c r="J854" s="38" t="str">
        <f t="shared" si="103"/>
        <v/>
      </c>
      <c r="K854" t="str">
        <f t="shared" si="104"/>
        <v>Gross pay</v>
      </c>
      <c r="L854" t="str">
        <f t="shared" si="105"/>
        <v>Every pay period (ongoing)</v>
      </c>
      <c r="M854" s="39">
        <f t="array" ref="M854">MAX(_xlfn.XLOOKUP($A854,TRIM(SUBSTITUTE('worker file'!$A$2:$A$406,_xlfn.UNICHAR(160)," ")),'worker file'!$M$2:$M$406,0),_xlfn.XLOOKUP($B854,TRIM('pay group &amp; schedule'!$A$2:$A$6),'pay group &amp; schedule'!$D$2:$D$6,0))</f>
        <v>46311</v>
      </c>
      <c r="N854" s="39" t="str">
        <f t="array" ref="N854">_xlfn.LET(_xlpm.t,_xlfn.XLOOKUP($A854,TRIM(SUBSTITUTE('worker file'!$A$2:$A$406,_xlfn.UNICHAR(160)," ")),'worker file'!$N$2:$N$406,""),IF(N(_xlpm.t)=0,"",_xlpm.t))</f>
        <v/>
      </c>
    </row>
    <row r="855" spans="1:14" x14ac:dyDescent="0.2">
      <c r="A855" s="35" t="s">
        <v>390</v>
      </c>
      <c r="B855" s="36" t="str">
        <f t="array" ref="B855">_xlfn.XLOOKUP($A855,TRIM(SUBSTITUTE('worker file'!$A$2:$A$406,_xlfn.UNICHAR(160)," ")),'worker file'!$L$2:$L$406,"Not found")</f>
        <v>US Semi-monthly</v>
      </c>
      <c r="C855" s="36" t="str">
        <f t="array" ref="C855">_xlfn.XLOOKUP($A855,TRIM(SUBSTITUTE('worker file'!$A$2:$A$406,_xlfn.UNICHAR(160)," ")),'worker file'!$D$2:$D$406,"Not found")</f>
        <v>CA</v>
      </c>
      <c r="D855" s="36" t="str">
        <f t="array" ref="D855">_xlfn.XLOOKUP($A855,TRIM(SUBSTITUTE('worker file'!$A$2:$A$406,_xlfn.UNICHAR(160)," ")),'worker file'!$Q$2:$Q$406,"Not found")</f>
        <v>Active</v>
      </c>
      <c r="E855" s="35" t="s">
        <v>626</v>
      </c>
      <c r="F855" t="str">
        <f t="shared" si="100"/>
        <v>Medical (Health) – Employee</v>
      </c>
      <c r="G855" t="str">
        <f t="shared" si="101"/>
        <v>Pre-tax Section 125 (exempt from FIT/SIT/FICA)</v>
      </c>
      <c r="H855" t="str">
        <f t="shared" si="102"/>
        <v>Flat</v>
      </c>
      <c r="I855" s="40" t="str">
        <f>IF($H855="Percent",_xlfn.XLOOKUP($E855,$A$5:$A$8,$F$5:$F$8,""),"")</f>
        <v/>
      </c>
      <c r="J855" s="38">
        <f t="shared" si="103"/>
        <v>200</v>
      </c>
      <c r="K855" t="str">
        <f t="shared" si="104"/>
        <v>Per pay period</v>
      </c>
      <c r="L855" t="str">
        <f t="shared" si="105"/>
        <v>Every pay period (ongoing)</v>
      </c>
      <c r="M855" s="39">
        <f t="array" ref="M855">MAX(_xlfn.XLOOKUP($A855,TRIM(SUBSTITUTE('worker file'!$A$2:$A$406,_xlfn.UNICHAR(160)," ")),'worker file'!$M$2:$M$406,0),_xlfn.XLOOKUP($B855,TRIM('pay group &amp; schedule'!$A$2:$A$6),'pay group &amp; schedule'!$D$2:$D$6,0))</f>
        <v>46311</v>
      </c>
      <c r="N855" s="39" t="str">
        <f t="array" ref="N855">_xlfn.LET(_xlpm.t,_xlfn.XLOOKUP($A855,TRIM(SUBSTITUTE('worker file'!$A$2:$A$406,_xlfn.UNICHAR(160)," ")),'worker file'!$N$2:$N$406,""),IF(N(_xlpm.t)=0,"",_xlpm.t))</f>
        <v/>
      </c>
    </row>
    <row r="856" spans="1:14" x14ac:dyDescent="0.2">
      <c r="A856" s="35" t="s">
        <v>390</v>
      </c>
      <c r="B856" s="36" t="str">
        <f t="array" ref="B856">_xlfn.XLOOKUP($A856,TRIM(SUBSTITUTE('worker file'!$A$2:$A$406,_xlfn.UNICHAR(160)," ")),'worker file'!$L$2:$L$406,"Not found")</f>
        <v>US Semi-monthly</v>
      </c>
      <c r="C856" s="36" t="str">
        <f t="array" ref="C856">_xlfn.XLOOKUP($A856,TRIM(SUBSTITUTE('worker file'!$A$2:$A$406,_xlfn.UNICHAR(160)," ")),'worker file'!$D$2:$D$406,"Not found")</f>
        <v>CA</v>
      </c>
      <c r="D856" s="36" t="str">
        <f t="array" ref="D856">_xlfn.XLOOKUP($A856,TRIM(SUBSTITUTE('worker file'!$A$2:$A$406,_xlfn.UNICHAR(160)," ")),'worker file'!$Q$2:$Q$406,"Not found")</f>
        <v>Active</v>
      </c>
      <c r="E856" s="35" t="s">
        <v>632</v>
      </c>
      <c r="F856" t="str">
        <f t="shared" si="100"/>
        <v>Dental – Employee</v>
      </c>
      <c r="G856" t="str">
        <f t="shared" si="101"/>
        <v>Pre-tax Section 125 (exempt from FIT/SIT/FICA)</v>
      </c>
      <c r="H856" t="str">
        <f t="shared" si="102"/>
        <v>Flat</v>
      </c>
      <c r="I856" s="40" t="str">
        <f>IF($H856="Percent",_xlfn.XLOOKUP($E856,$A$5:$A$8,$F$5:$F$8,""),"")</f>
        <v/>
      </c>
      <c r="J856" s="38">
        <f t="shared" si="103"/>
        <v>44</v>
      </c>
      <c r="K856" t="str">
        <f t="shared" si="104"/>
        <v>Per pay period</v>
      </c>
      <c r="L856" t="str">
        <f t="shared" si="105"/>
        <v>Every pay period (ongoing)</v>
      </c>
      <c r="M856" s="39">
        <f t="array" ref="M856">MAX(_xlfn.XLOOKUP($A856,TRIM(SUBSTITUTE('worker file'!$A$2:$A$406,_xlfn.UNICHAR(160)," ")),'worker file'!$M$2:$M$406,0),_xlfn.XLOOKUP($B856,TRIM('pay group &amp; schedule'!$A$2:$A$6),'pay group &amp; schedule'!$D$2:$D$6,0))</f>
        <v>46311</v>
      </c>
      <c r="N856" s="39" t="str">
        <f t="array" ref="N856">_xlfn.LET(_xlpm.t,_xlfn.XLOOKUP($A856,TRIM(SUBSTITUTE('worker file'!$A$2:$A$406,_xlfn.UNICHAR(160)," ")),'worker file'!$N$2:$N$406,""),IF(N(_xlpm.t)=0,"",_xlpm.t))</f>
        <v/>
      </c>
    </row>
    <row r="857" spans="1:14" x14ac:dyDescent="0.2">
      <c r="A857" s="35" t="s">
        <v>390</v>
      </c>
      <c r="B857" s="36" t="str">
        <f t="array" ref="B857">_xlfn.XLOOKUP($A857,TRIM(SUBSTITUTE('worker file'!$A$2:$A$406,_xlfn.UNICHAR(160)," ")),'worker file'!$L$2:$L$406,"Not found")</f>
        <v>US Semi-monthly</v>
      </c>
      <c r="C857" s="36" t="str">
        <f t="array" ref="C857">_xlfn.XLOOKUP($A857,TRIM(SUBSTITUTE('worker file'!$A$2:$A$406,_xlfn.UNICHAR(160)," ")),'worker file'!$D$2:$D$406,"Not found")</f>
        <v>CA</v>
      </c>
      <c r="D857" s="36" t="str">
        <f t="array" ref="D857">_xlfn.XLOOKUP($A857,TRIM(SUBSTITUTE('worker file'!$A$2:$A$406,_xlfn.UNICHAR(160)," ")),'worker file'!$Q$2:$Q$406,"Not found")</f>
        <v>Active</v>
      </c>
      <c r="E857" s="35" t="s">
        <v>634</v>
      </c>
      <c r="F857" t="str">
        <f t="shared" si="100"/>
        <v>Vision – Employee</v>
      </c>
      <c r="G857" t="str">
        <f t="shared" si="101"/>
        <v>Pre-tax Section 125 (exempt from FIT/SIT/FICA)</v>
      </c>
      <c r="H857" t="str">
        <f t="shared" si="102"/>
        <v>Flat</v>
      </c>
      <c r="I857" s="40" t="str">
        <f>IF($H857="Percent",_xlfn.XLOOKUP($E857,$A$5:$A$8,$F$5:$F$8,""),"")</f>
        <v/>
      </c>
      <c r="J857" s="38">
        <f t="shared" si="103"/>
        <v>30</v>
      </c>
      <c r="K857" t="str">
        <f t="shared" si="104"/>
        <v>Per pay period</v>
      </c>
      <c r="L857" t="str">
        <f t="shared" si="105"/>
        <v>Every pay period (ongoing)</v>
      </c>
      <c r="M857" s="39">
        <f t="array" ref="M857">MAX(_xlfn.XLOOKUP($A857,TRIM(SUBSTITUTE('worker file'!$A$2:$A$406,_xlfn.UNICHAR(160)," ")),'worker file'!$M$2:$M$406,0),_xlfn.XLOOKUP($B857,TRIM('pay group &amp; schedule'!$A$2:$A$6),'pay group &amp; schedule'!$D$2:$D$6,0))</f>
        <v>46311</v>
      </c>
      <c r="N857" s="39" t="str">
        <f t="array" ref="N857">_xlfn.LET(_xlpm.t,_xlfn.XLOOKUP($A857,TRIM(SUBSTITUTE('worker file'!$A$2:$A$406,_xlfn.UNICHAR(160)," ")),'worker file'!$N$2:$N$406,""),IF(N(_xlpm.t)=0,"",_xlpm.t))</f>
        <v/>
      </c>
    </row>
    <row r="858" spans="1:14" x14ac:dyDescent="0.2">
      <c r="A858" s="35" t="s">
        <v>392</v>
      </c>
      <c r="B858" s="36" t="str">
        <f t="array" ref="B858">_xlfn.XLOOKUP($A858,TRIM(SUBSTITUTE('worker file'!$A$2:$A$406,_xlfn.UNICHAR(160)," ")),'worker file'!$L$2:$L$406,"Not found")</f>
        <v>US Semi-monthly</v>
      </c>
      <c r="C858" s="36" t="str">
        <f t="array" ref="C858">_xlfn.XLOOKUP($A858,TRIM(SUBSTITUTE('worker file'!$A$2:$A$406,_xlfn.UNICHAR(160)," ")),'worker file'!$D$2:$D$406,"Not found")</f>
        <v>TX</v>
      </c>
      <c r="D858" s="36" t="str">
        <f t="array" ref="D858">_xlfn.XLOOKUP($A858,TRIM(SUBSTITUTE('worker file'!$A$2:$A$406,_xlfn.UNICHAR(160)," ")),'worker file'!$Q$2:$Q$406,"Not found")</f>
        <v>Active</v>
      </c>
      <c r="E858" s="35" t="s">
        <v>618</v>
      </c>
      <c r="F858" t="str">
        <f t="shared" si="100"/>
        <v>401(k) Employee Deferral</v>
      </c>
      <c r="G858" t="str">
        <f t="shared" si="101"/>
        <v>Pre-tax (exempt from FIT/SIT; subject to FICA)</v>
      </c>
      <c r="H858" t="str">
        <f t="shared" si="102"/>
        <v>Percent</v>
      </c>
      <c r="I858" s="37">
        <v>0</v>
      </c>
      <c r="J858" s="38" t="str">
        <f t="shared" si="103"/>
        <v/>
      </c>
      <c r="K858" t="str">
        <f t="shared" si="104"/>
        <v>Gross pay</v>
      </c>
      <c r="L858" t="str">
        <f t="shared" si="105"/>
        <v>Every pay period (ongoing)</v>
      </c>
      <c r="M858" s="39">
        <f t="array" ref="M858">MAX(_xlfn.XLOOKUP($A858,TRIM(SUBSTITUTE('worker file'!$A$2:$A$406,_xlfn.UNICHAR(160)," ")),'worker file'!$M$2:$M$406,0),_xlfn.XLOOKUP($B858,TRIM('pay group &amp; schedule'!$A$2:$A$6),'pay group &amp; schedule'!$D$2:$D$6,0))</f>
        <v>46311</v>
      </c>
      <c r="N858" s="39" t="str">
        <f t="array" ref="N858">_xlfn.LET(_xlpm.t,_xlfn.XLOOKUP($A858,TRIM(SUBSTITUTE('worker file'!$A$2:$A$406,_xlfn.UNICHAR(160)," ")),'worker file'!$N$2:$N$406,""),IF(N(_xlpm.t)=0,"",_xlpm.t))</f>
        <v/>
      </c>
    </row>
    <row r="859" spans="1:14" x14ac:dyDescent="0.2">
      <c r="A859" s="35" t="s">
        <v>392</v>
      </c>
      <c r="B859" s="36" t="str">
        <f t="array" ref="B859">_xlfn.XLOOKUP($A859,TRIM(SUBSTITUTE('worker file'!$A$2:$A$406,_xlfn.UNICHAR(160)," ")),'worker file'!$L$2:$L$406,"Not found")</f>
        <v>US Semi-monthly</v>
      </c>
      <c r="C859" s="36" t="str">
        <f t="array" ref="C859">_xlfn.XLOOKUP($A859,TRIM(SUBSTITUTE('worker file'!$A$2:$A$406,_xlfn.UNICHAR(160)," ")),'worker file'!$D$2:$D$406,"Not found")</f>
        <v>TX</v>
      </c>
      <c r="D859" s="36" t="str">
        <f t="array" ref="D859">_xlfn.XLOOKUP($A859,TRIM(SUBSTITUTE('worker file'!$A$2:$A$406,_xlfn.UNICHAR(160)," ")),'worker file'!$Q$2:$Q$406,"Not found")</f>
        <v>Active</v>
      </c>
      <c r="E859" s="35" t="s">
        <v>626</v>
      </c>
      <c r="F859" t="str">
        <f t="shared" si="100"/>
        <v>Medical (Health) – Employee</v>
      </c>
      <c r="G859" t="str">
        <f t="shared" si="101"/>
        <v>Pre-tax Section 125 (exempt from FIT/SIT/FICA)</v>
      </c>
      <c r="H859" t="str">
        <f t="shared" si="102"/>
        <v>Flat</v>
      </c>
      <c r="I859" s="40" t="str">
        <f>IF($H859="Percent",_xlfn.XLOOKUP($E859,$A$5:$A$8,$F$5:$F$8,""),"")</f>
        <v/>
      </c>
      <c r="J859" s="38">
        <f t="shared" si="103"/>
        <v>200</v>
      </c>
      <c r="K859" t="str">
        <f t="shared" si="104"/>
        <v>Per pay period</v>
      </c>
      <c r="L859" t="str">
        <f t="shared" si="105"/>
        <v>Every pay period (ongoing)</v>
      </c>
      <c r="M859" s="39">
        <f t="array" ref="M859">MAX(_xlfn.XLOOKUP($A859,TRIM(SUBSTITUTE('worker file'!$A$2:$A$406,_xlfn.UNICHAR(160)," ")),'worker file'!$M$2:$M$406,0),_xlfn.XLOOKUP($B859,TRIM('pay group &amp; schedule'!$A$2:$A$6),'pay group &amp; schedule'!$D$2:$D$6,0))</f>
        <v>46311</v>
      </c>
      <c r="N859" s="39" t="str">
        <f t="array" ref="N859">_xlfn.LET(_xlpm.t,_xlfn.XLOOKUP($A859,TRIM(SUBSTITUTE('worker file'!$A$2:$A$406,_xlfn.UNICHAR(160)," ")),'worker file'!$N$2:$N$406,""),IF(N(_xlpm.t)=0,"",_xlpm.t))</f>
        <v/>
      </c>
    </row>
    <row r="860" spans="1:14" x14ac:dyDescent="0.2">
      <c r="A860" s="35" t="s">
        <v>392</v>
      </c>
      <c r="B860" s="36" t="str">
        <f t="array" ref="B860">_xlfn.XLOOKUP($A860,TRIM(SUBSTITUTE('worker file'!$A$2:$A$406,_xlfn.UNICHAR(160)," ")),'worker file'!$L$2:$L$406,"Not found")</f>
        <v>US Semi-monthly</v>
      </c>
      <c r="C860" s="36" t="str">
        <f t="array" ref="C860">_xlfn.XLOOKUP($A860,TRIM(SUBSTITUTE('worker file'!$A$2:$A$406,_xlfn.UNICHAR(160)," ")),'worker file'!$D$2:$D$406,"Not found")</f>
        <v>TX</v>
      </c>
      <c r="D860" s="36" t="str">
        <f t="array" ref="D860">_xlfn.XLOOKUP($A860,TRIM(SUBSTITUTE('worker file'!$A$2:$A$406,_xlfn.UNICHAR(160)," ")),'worker file'!$Q$2:$Q$406,"Not found")</f>
        <v>Active</v>
      </c>
      <c r="E860" s="35" t="s">
        <v>632</v>
      </c>
      <c r="F860" t="str">
        <f t="shared" si="100"/>
        <v>Dental – Employee</v>
      </c>
      <c r="G860" t="str">
        <f t="shared" si="101"/>
        <v>Pre-tax Section 125 (exempt from FIT/SIT/FICA)</v>
      </c>
      <c r="H860" t="str">
        <f t="shared" si="102"/>
        <v>Flat</v>
      </c>
      <c r="I860" s="40" t="str">
        <f>IF($H860="Percent",_xlfn.XLOOKUP($E860,$A$5:$A$8,$F$5:$F$8,""),"")</f>
        <v/>
      </c>
      <c r="J860" s="38">
        <f t="shared" si="103"/>
        <v>44</v>
      </c>
      <c r="K860" t="str">
        <f t="shared" si="104"/>
        <v>Per pay period</v>
      </c>
      <c r="L860" t="str">
        <f t="shared" si="105"/>
        <v>Every pay period (ongoing)</v>
      </c>
      <c r="M860" s="39">
        <f t="array" ref="M860">MAX(_xlfn.XLOOKUP($A860,TRIM(SUBSTITUTE('worker file'!$A$2:$A$406,_xlfn.UNICHAR(160)," ")),'worker file'!$M$2:$M$406,0),_xlfn.XLOOKUP($B860,TRIM('pay group &amp; schedule'!$A$2:$A$6),'pay group &amp; schedule'!$D$2:$D$6,0))</f>
        <v>46311</v>
      </c>
      <c r="N860" s="39" t="str">
        <f t="array" ref="N860">_xlfn.LET(_xlpm.t,_xlfn.XLOOKUP($A860,TRIM(SUBSTITUTE('worker file'!$A$2:$A$406,_xlfn.UNICHAR(160)," ")),'worker file'!$N$2:$N$406,""),IF(N(_xlpm.t)=0,"",_xlpm.t))</f>
        <v/>
      </c>
    </row>
    <row r="861" spans="1:14" x14ac:dyDescent="0.2">
      <c r="A861" s="35" t="s">
        <v>392</v>
      </c>
      <c r="B861" s="36" t="str">
        <f t="array" ref="B861">_xlfn.XLOOKUP($A861,TRIM(SUBSTITUTE('worker file'!$A$2:$A$406,_xlfn.UNICHAR(160)," ")),'worker file'!$L$2:$L$406,"Not found")</f>
        <v>US Semi-monthly</v>
      </c>
      <c r="C861" s="36" t="str">
        <f t="array" ref="C861">_xlfn.XLOOKUP($A861,TRIM(SUBSTITUTE('worker file'!$A$2:$A$406,_xlfn.UNICHAR(160)," ")),'worker file'!$D$2:$D$406,"Not found")</f>
        <v>TX</v>
      </c>
      <c r="D861" s="36" t="str">
        <f t="array" ref="D861">_xlfn.XLOOKUP($A861,TRIM(SUBSTITUTE('worker file'!$A$2:$A$406,_xlfn.UNICHAR(160)," ")),'worker file'!$Q$2:$Q$406,"Not found")</f>
        <v>Active</v>
      </c>
      <c r="E861" s="35" t="s">
        <v>634</v>
      </c>
      <c r="F861" t="str">
        <f t="shared" si="100"/>
        <v>Vision – Employee</v>
      </c>
      <c r="G861" t="str">
        <f t="shared" si="101"/>
        <v>Pre-tax Section 125 (exempt from FIT/SIT/FICA)</v>
      </c>
      <c r="H861" t="str">
        <f t="shared" si="102"/>
        <v>Flat</v>
      </c>
      <c r="I861" s="40" t="str">
        <f>IF($H861="Percent",_xlfn.XLOOKUP($E861,$A$5:$A$8,$F$5:$F$8,""),"")</f>
        <v/>
      </c>
      <c r="J861" s="38">
        <f t="shared" si="103"/>
        <v>30</v>
      </c>
      <c r="K861" t="str">
        <f t="shared" si="104"/>
        <v>Per pay period</v>
      </c>
      <c r="L861" t="str">
        <f t="shared" si="105"/>
        <v>Every pay period (ongoing)</v>
      </c>
      <c r="M861" s="39">
        <f t="array" ref="M861">MAX(_xlfn.XLOOKUP($A861,TRIM(SUBSTITUTE('worker file'!$A$2:$A$406,_xlfn.UNICHAR(160)," ")),'worker file'!$M$2:$M$406,0),_xlfn.XLOOKUP($B861,TRIM('pay group &amp; schedule'!$A$2:$A$6),'pay group &amp; schedule'!$D$2:$D$6,0))</f>
        <v>46311</v>
      </c>
      <c r="N861" s="39" t="str">
        <f t="array" ref="N861">_xlfn.LET(_xlpm.t,_xlfn.XLOOKUP($A861,TRIM(SUBSTITUTE('worker file'!$A$2:$A$406,_xlfn.UNICHAR(160)," ")),'worker file'!$N$2:$N$406,""),IF(N(_xlpm.t)=0,"",_xlpm.t))</f>
        <v/>
      </c>
    </row>
    <row r="862" spans="1:14" x14ac:dyDescent="0.2">
      <c r="A862" s="35" t="s">
        <v>393</v>
      </c>
      <c r="B862" s="36" t="str">
        <f t="array" ref="B862">_xlfn.XLOOKUP($A862,TRIM(SUBSTITUTE('worker file'!$A$2:$A$406,_xlfn.UNICHAR(160)," ")),'worker file'!$L$2:$L$406,"Not found")</f>
        <v>US Semi-monthly</v>
      </c>
      <c r="C862" s="36" t="str">
        <f t="array" ref="C862">_xlfn.XLOOKUP($A862,TRIM(SUBSTITUTE('worker file'!$A$2:$A$406,_xlfn.UNICHAR(160)," ")),'worker file'!$D$2:$D$406,"Not found")</f>
        <v>CA</v>
      </c>
      <c r="D862" s="36" t="str">
        <f t="array" ref="D862">_xlfn.XLOOKUP($A862,TRIM(SUBSTITUTE('worker file'!$A$2:$A$406,_xlfn.UNICHAR(160)," ")),'worker file'!$Q$2:$Q$406,"Not found")</f>
        <v>Active</v>
      </c>
      <c r="E862" s="35" t="s">
        <v>618</v>
      </c>
      <c r="F862" t="str">
        <f t="shared" si="100"/>
        <v>401(k) Employee Deferral</v>
      </c>
      <c r="G862" t="str">
        <f t="shared" si="101"/>
        <v>Pre-tax (exempt from FIT/SIT; subject to FICA)</v>
      </c>
      <c r="H862" t="str">
        <f t="shared" si="102"/>
        <v>Percent</v>
      </c>
      <c r="I862" s="37">
        <v>0.05</v>
      </c>
      <c r="J862" s="38" t="str">
        <f t="shared" si="103"/>
        <v/>
      </c>
      <c r="K862" t="str">
        <f t="shared" si="104"/>
        <v>Gross pay</v>
      </c>
      <c r="L862" t="str">
        <f t="shared" si="105"/>
        <v>Every pay period (ongoing)</v>
      </c>
      <c r="M862" s="39">
        <f t="array" ref="M862">MAX(_xlfn.XLOOKUP($A862,TRIM(SUBSTITUTE('worker file'!$A$2:$A$406,_xlfn.UNICHAR(160)," ")),'worker file'!$M$2:$M$406,0),_xlfn.XLOOKUP($B862,TRIM('pay group &amp; schedule'!$A$2:$A$6),'pay group &amp; schedule'!$D$2:$D$6,0))</f>
        <v>46311</v>
      </c>
      <c r="N862" s="39" t="str">
        <f t="array" ref="N862">_xlfn.LET(_xlpm.t,_xlfn.XLOOKUP($A862,TRIM(SUBSTITUTE('worker file'!$A$2:$A$406,_xlfn.UNICHAR(160)," ")),'worker file'!$N$2:$N$406,""),IF(N(_xlpm.t)=0,"",_xlpm.t))</f>
        <v/>
      </c>
    </row>
    <row r="863" spans="1:14" x14ac:dyDescent="0.2">
      <c r="A863" s="35" t="s">
        <v>393</v>
      </c>
      <c r="B863" s="36" t="str">
        <f t="array" ref="B863">_xlfn.XLOOKUP($A863,TRIM(SUBSTITUTE('worker file'!$A$2:$A$406,_xlfn.UNICHAR(160)," ")),'worker file'!$L$2:$L$406,"Not found")</f>
        <v>US Semi-monthly</v>
      </c>
      <c r="C863" s="36" t="str">
        <f t="array" ref="C863">_xlfn.XLOOKUP($A863,TRIM(SUBSTITUTE('worker file'!$A$2:$A$406,_xlfn.UNICHAR(160)," ")),'worker file'!$D$2:$D$406,"Not found")</f>
        <v>CA</v>
      </c>
      <c r="D863" s="36" t="str">
        <f t="array" ref="D863">_xlfn.XLOOKUP($A863,TRIM(SUBSTITUTE('worker file'!$A$2:$A$406,_xlfn.UNICHAR(160)," ")),'worker file'!$Q$2:$Q$406,"Not found")</f>
        <v>Active</v>
      </c>
      <c r="E863" s="35" t="s">
        <v>626</v>
      </c>
      <c r="F863" t="str">
        <f t="shared" si="100"/>
        <v>Medical (Health) – Employee</v>
      </c>
      <c r="G863" t="str">
        <f t="shared" si="101"/>
        <v>Pre-tax Section 125 (exempt from FIT/SIT/FICA)</v>
      </c>
      <c r="H863" t="str">
        <f t="shared" si="102"/>
        <v>Flat</v>
      </c>
      <c r="I863" s="40" t="str">
        <f>IF($H863="Percent",_xlfn.XLOOKUP($E863,$A$5:$A$8,$F$5:$F$8,""),"")</f>
        <v/>
      </c>
      <c r="J863" s="38">
        <f t="shared" si="103"/>
        <v>200</v>
      </c>
      <c r="K863" t="str">
        <f t="shared" si="104"/>
        <v>Per pay period</v>
      </c>
      <c r="L863" t="str">
        <f t="shared" si="105"/>
        <v>Every pay period (ongoing)</v>
      </c>
      <c r="M863" s="39">
        <f t="array" ref="M863">MAX(_xlfn.XLOOKUP($A863,TRIM(SUBSTITUTE('worker file'!$A$2:$A$406,_xlfn.UNICHAR(160)," ")),'worker file'!$M$2:$M$406,0),_xlfn.XLOOKUP($B863,TRIM('pay group &amp; schedule'!$A$2:$A$6),'pay group &amp; schedule'!$D$2:$D$6,0))</f>
        <v>46311</v>
      </c>
      <c r="N863" s="39" t="str">
        <f t="array" ref="N863">_xlfn.LET(_xlpm.t,_xlfn.XLOOKUP($A863,TRIM(SUBSTITUTE('worker file'!$A$2:$A$406,_xlfn.UNICHAR(160)," ")),'worker file'!$N$2:$N$406,""),IF(N(_xlpm.t)=0,"",_xlpm.t))</f>
        <v/>
      </c>
    </row>
    <row r="864" spans="1:14" x14ac:dyDescent="0.2">
      <c r="A864" s="35" t="s">
        <v>393</v>
      </c>
      <c r="B864" s="36" t="str">
        <f t="array" ref="B864">_xlfn.XLOOKUP($A864,TRIM(SUBSTITUTE('worker file'!$A$2:$A$406,_xlfn.UNICHAR(160)," ")),'worker file'!$L$2:$L$406,"Not found")</f>
        <v>US Semi-monthly</v>
      </c>
      <c r="C864" s="36" t="str">
        <f t="array" ref="C864">_xlfn.XLOOKUP($A864,TRIM(SUBSTITUTE('worker file'!$A$2:$A$406,_xlfn.UNICHAR(160)," ")),'worker file'!$D$2:$D$406,"Not found")</f>
        <v>CA</v>
      </c>
      <c r="D864" s="36" t="str">
        <f t="array" ref="D864">_xlfn.XLOOKUP($A864,TRIM(SUBSTITUTE('worker file'!$A$2:$A$406,_xlfn.UNICHAR(160)," ")),'worker file'!$Q$2:$Q$406,"Not found")</f>
        <v>Active</v>
      </c>
      <c r="E864" s="35" t="s">
        <v>632</v>
      </c>
      <c r="F864" t="str">
        <f t="shared" si="100"/>
        <v>Dental – Employee</v>
      </c>
      <c r="G864" t="str">
        <f t="shared" si="101"/>
        <v>Pre-tax Section 125 (exempt from FIT/SIT/FICA)</v>
      </c>
      <c r="H864" t="str">
        <f t="shared" si="102"/>
        <v>Flat</v>
      </c>
      <c r="I864" s="40" t="str">
        <f>IF($H864="Percent",_xlfn.XLOOKUP($E864,$A$5:$A$8,$F$5:$F$8,""),"")</f>
        <v/>
      </c>
      <c r="J864" s="38">
        <f t="shared" si="103"/>
        <v>44</v>
      </c>
      <c r="K864" t="str">
        <f t="shared" si="104"/>
        <v>Per pay period</v>
      </c>
      <c r="L864" t="str">
        <f t="shared" si="105"/>
        <v>Every pay period (ongoing)</v>
      </c>
      <c r="M864" s="39">
        <f t="array" ref="M864">MAX(_xlfn.XLOOKUP($A864,TRIM(SUBSTITUTE('worker file'!$A$2:$A$406,_xlfn.UNICHAR(160)," ")),'worker file'!$M$2:$M$406,0),_xlfn.XLOOKUP($B864,TRIM('pay group &amp; schedule'!$A$2:$A$6),'pay group &amp; schedule'!$D$2:$D$6,0))</f>
        <v>46311</v>
      </c>
      <c r="N864" s="39" t="str">
        <f t="array" ref="N864">_xlfn.LET(_xlpm.t,_xlfn.XLOOKUP($A864,TRIM(SUBSTITUTE('worker file'!$A$2:$A$406,_xlfn.UNICHAR(160)," ")),'worker file'!$N$2:$N$406,""),IF(N(_xlpm.t)=0,"",_xlpm.t))</f>
        <v/>
      </c>
    </row>
    <row r="865" spans="1:14" x14ac:dyDescent="0.2">
      <c r="A865" s="35" t="s">
        <v>393</v>
      </c>
      <c r="B865" s="36" t="str">
        <f t="array" ref="B865">_xlfn.XLOOKUP($A865,TRIM(SUBSTITUTE('worker file'!$A$2:$A$406,_xlfn.UNICHAR(160)," ")),'worker file'!$L$2:$L$406,"Not found")</f>
        <v>US Semi-monthly</v>
      </c>
      <c r="C865" s="36" t="str">
        <f t="array" ref="C865">_xlfn.XLOOKUP($A865,TRIM(SUBSTITUTE('worker file'!$A$2:$A$406,_xlfn.UNICHAR(160)," ")),'worker file'!$D$2:$D$406,"Not found")</f>
        <v>CA</v>
      </c>
      <c r="D865" s="36" t="str">
        <f t="array" ref="D865">_xlfn.XLOOKUP($A865,TRIM(SUBSTITUTE('worker file'!$A$2:$A$406,_xlfn.UNICHAR(160)," ")),'worker file'!$Q$2:$Q$406,"Not found")</f>
        <v>Active</v>
      </c>
      <c r="E865" s="35" t="s">
        <v>634</v>
      </c>
      <c r="F865" t="str">
        <f t="shared" si="100"/>
        <v>Vision – Employee</v>
      </c>
      <c r="G865" t="str">
        <f t="shared" si="101"/>
        <v>Pre-tax Section 125 (exempt from FIT/SIT/FICA)</v>
      </c>
      <c r="H865" t="str">
        <f t="shared" si="102"/>
        <v>Flat</v>
      </c>
      <c r="I865" s="40" t="str">
        <f>IF($H865="Percent",_xlfn.XLOOKUP($E865,$A$5:$A$8,$F$5:$F$8,""),"")</f>
        <v/>
      </c>
      <c r="J865" s="38">
        <f t="shared" si="103"/>
        <v>30</v>
      </c>
      <c r="K865" t="str">
        <f t="shared" si="104"/>
        <v>Per pay period</v>
      </c>
      <c r="L865" t="str">
        <f t="shared" si="105"/>
        <v>Every pay period (ongoing)</v>
      </c>
      <c r="M865" s="39">
        <f t="array" ref="M865">MAX(_xlfn.XLOOKUP($A865,TRIM(SUBSTITUTE('worker file'!$A$2:$A$406,_xlfn.UNICHAR(160)," ")),'worker file'!$M$2:$M$406,0),_xlfn.XLOOKUP($B865,TRIM('pay group &amp; schedule'!$A$2:$A$6),'pay group &amp; schedule'!$D$2:$D$6,0))</f>
        <v>46311</v>
      </c>
      <c r="N865" s="39" t="str">
        <f t="array" ref="N865">_xlfn.LET(_xlpm.t,_xlfn.XLOOKUP($A865,TRIM(SUBSTITUTE('worker file'!$A$2:$A$406,_xlfn.UNICHAR(160)," ")),'worker file'!$N$2:$N$406,""),IF(N(_xlpm.t)=0,"",_xlpm.t))</f>
        <v/>
      </c>
    </row>
    <row r="866" spans="1:14" x14ac:dyDescent="0.2">
      <c r="A866" s="35" t="s">
        <v>394</v>
      </c>
      <c r="B866" s="36" t="str">
        <f t="array" ref="B866">_xlfn.XLOOKUP($A866,TRIM(SUBSTITUTE('worker file'!$A$2:$A$406,_xlfn.UNICHAR(160)," ")),'worker file'!$L$2:$L$406,"Not found")</f>
        <v>US Semi-monthly</v>
      </c>
      <c r="C866" s="36" t="str">
        <f t="array" ref="C866">_xlfn.XLOOKUP($A866,TRIM(SUBSTITUTE('worker file'!$A$2:$A$406,_xlfn.UNICHAR(160)," ")),'worker file'!$D$2:$D$406,"Not found")</f>
        <v>CA</v>
      </c>
      <c r="D866" s="36" t="str">
        <f t="array" ref="D866">_xlfn.XLOOKUP($A866,TRIM(SUBSTITUTE('worker file'!$A$2:$A$406,_xlfn.UNICHAR(160)," ")),'worker file'!$Q$2:$Q$406,"Not found")</f>
        <v>Active</v>
      </c>
      <c r="E866" s="35" t="s">
        <v>618</v>
      </c>
      <c r="F866" t="str">
        <f t="shared" si="100"/>
        <v>401(k) Employee Deferral</v>
      </c>
      <c r="G866" t="str">
        <f t="shared" si="101"/>
        <v>Pre-tax (exempt from FIT/SIT; subject to FICA)</v>
      </c>
      <c r="H866" t="str">
        <f t="shared" si="102"/>
        <v>Percent</v>
      </c>
      <c r="I866" s="37">
        <v>0.02</v>
      </c>
      <c r="J866" s="38" t="str">
        <f t="shared" si="103"/>
        <v/>
      </c>
      <c r="K866" t="str">
        <f t="shared" si="104"/>
        <v>Gross pay</v>
      </c>
      <c r="L866" t="str">
        <f t="shared" si="105"/>
        <v>Every pay period (ongoing)</v>
      </c>
      <c r="M866" s="39">
        <f t="array" ref="M866">MAX(_xlfn.XLOOKUP($A866,TRIM(SUBSTITUTE('worker file'!$A$2:$A$406,_xlfn.UNICHAR(160)," ")),'worker file'!$M$2:$M$406,0),_xlfn.XLOOKUP($B866,TRIM('pay group &amp; schedule'!$A$2:$A$6),'pay group &amp; schedule'!$D$2:$D$6,0))</f>
        <v>46311</v>
      </c>
      <c r="N866" s="39" t="str">
        <f t="array" ref="N866">_xlfn.LET(_xlpm.t,_xlfn.XLOOKUP($A866,TRIM(SUBSTITUTE('worker file'!$A$2:$A$406,_xlfn.UNICHAR(160)," ")),'worker file'!$N$2:$N$406,""),IF(N(_xlpm.t)=0,"",_xlpm.t))</f>
        <v/>
      </c>
    </row>
    <row r="867" spans="1:14" x14ac:dyDescent="0.2">
      <c r="A867" s="35" t="s">
        <v>394</v>
      </c>
      <c r="B867" s="36" t="str">
        <f t="array" ref="B867">_xlfn.XLOOKUP($A867,TRIM(SUBSTITUTE('worker file'!$A$2:$A$406,_xlfn.UNICHAR(160)," ")),'worker file'!$L$2:$L$406,"Not found")</f>
        <v>US Semi-monthly</v>
      </c>
      <c r="C867" s="36" t="str">
        <f t="array" ref="C867">_xlfn.XLOOKUP($A867,TRIM(SUBSTITUTE('worker file'!$A$2:$A$406,_xlfn.UNICHAR(160)," ")),'worker file'!$D$2:$D$406,"Not found")</f>
        <v>CA</v>
      </c>
      <c r="D867" s="36" t="str">
        <f t="array" ref="D867">_xlfn.XLOOKUP($A867,TRIM(SUBSTITUTE('worker file'!$A$2:$A$406,_xlfn.UNICHAR(160)," ")),'worker file'!$Q$2:$Q$406,"Not found")</f>
        <v>Active</v>
      </c>
      <c r="E867" s="35" t="s">
        <v>626</v>
      </c>
      <c r="F867" t="str">
        <f t="shared" si="100"/>
        <v>Medical (Health) – Employee</v>
      </c>
      <c r="G867" t="str">
        <f t="shared" si="101"/>
        <v>Pre-tax Section 125 (exempt from FIT/SIT/FICA)</v>
      </c>
      <c r="H867" t="str">
        <f t="shared" si="102"/>
        <v>Flat</v>
      </c>
      <c r="I867" s="40" t="str">
        <f>IF($H867="Percent",_xlfn.XLOOKUP($E867,$A$5:$A$8,$F$5:$F$8,""),"")</f>
        <v/>
      </c>
      <c r="J867" s="38">
        <f t="shared" si="103"/>
        <v>200</v>
      </c>
      <c r="K867" t="str">
        <f t="shared" si="104"/>
        <v>Per pay period</v>
      </c>
      <c r="L867" t="str">
        <f t="shared" si="105"/>
        <v>Every pay period (ongoing)</v>
      </c>
      <c r="M867" s="39">
        <f t="array" ref="M867">MAX(_xlfn.XLOOKUP($A867,TRIM(SUBSTITUTE('worker file'!$A$2:$A$406,_xlfn.UNICHAR(160)," ")),'worker file'!$M$2:$M$406,0),_xlfn.XLOOKUP($B867,TRIM('pay group &amp; schedule'!$A$2:$A$6),'pay group &amp; schedule'!$D$2:$D$6,0))</f>
        <v>46311</v>
      </c>
      <c r="N867" s="39" t="str">
        <f t="array" ref="N867">_xlfn.LET(_xlpm.t,_xlfn.XLOOKUP($A867,TRIM(SUBSTITUTE('worker file'!$A$2:$A$406,_xlfn.UNICHAR(160)," ")),'worker file'!$N$2:$N$406,""),IF(N(_xlpm.t)=0,"",_xlpm.t))</f>
        <v/>
      </c>
    </row>
    <row r="868" spans="1:14" x14ac:dyDescent="0.2">
      <c r="A868" s="35" t="s">
        <v>394</v>
      </c>
      <c r="B868" s="36" t="str">
        <f t="array" ref="B868">_xlfn.XLOOKUP($A868,TRIM(SUBSTITUTE('worker file'!$A$2:$A$406,_xlfn.UNICHAR(160)," ")),'worker file'!$L$2:$L$406,"Not found")</f>
        <v>US Semi-monthly</v>
      </c>
      <c r="C868" s="36" t="str">
        <f t="array" ref="C868">_xlfn.XLOOKUP($A868,TRIM(SUBSTITUTE('worker file'!$A$2:$A$406,_xlfn.UNICHAR(160)," ")),'worker file'!$D$2:$D$406,"Not found")</f>
        <v>CA</v>
      </c>
      <c r="D868" s="36" t="str">
        <f t="array" ref="D868">_xlfn.XLOOKUP($A868,TRIM(SUBSTITUTE('worker file'!$A$2:$A$406,_xlfn.UNICHAR(160)," ")),'worker file'!$Q$2:$Q$406,"Not found")</f>
        <v>Active</v>
      </c>
      <c r="E868" s="35" t="s">
        <v>632</v>
      </c>
      <c r="F868" t="str">
        <f t="shared" si="100"/>
        <v>Dental – Employee</v>
      </c>
      <c r="G868" t="str">
        <f t="shared" si="101"/>
        <v>Pre-tax Section 125 (exempt from FIT/SIT/FICA)</v>
      </c>
      <c r="H868" t="str">
        <f t="shared" si="102"/>
        <v>Flat</v>
      </c>
      <c r="I868" s="40" t="str">
        <f>IF($H868="Percent",_xlfn.XLOOKUP($E868,$A$5:$A$8,$F$5:$F$8,""),"")</f>
        <v/>
      </c>
      <c r="J868" s="38">
        <f t="shared" si="103"/>
        <v>44</v>
      </c>
      <c r="K868" t="str">
        <f t="shared" si="104"/>
        <v>Per pay period</v>
      </c>
      <c r="L868" t="str">
        <f t="shared" si="105"/>
        <v>Every pay period (ongoing)</v>
      </c>
      <c r="M868" s="39">
        <f t="array" ref="M868">MAX(_xlfn.XLOOKUP($A868,TRIM(SUBSTITUTE('worker file'!$A$2:$A$406,_xlfn.UNICHAR(160)," ")),'worker file'!$M$2:$M$406,0),_xlfn.XLOOKUP($B868,TRIM('pay group &amp; schedule'!$A$2:$A$6),'pay group &amp; schedule'!$D$2:$D$6,0))</f>
        <v>46311</v>
      </c>
      <c r="N868" s="39" t="str">
        <f t="array" ref="N868">_xlfn.LET(_xlpm.t,_xlfn.XLOOKUP($A868,TRIM(SUBSTITUTE('worker file'!$A$2:$A$406,_xlfn.UNICHAR(160)," ")),'worker file'!$N$2:$N$406,""),IF(N(_xlpm.t)=0,"",_xlpm.t))</f>
        <v/>
      </c>
    </row>
    <row r="869" spans="1:14" x14ac:dyDescent="0.2">
      <c r="A869" s="35" t="s">
        <v>394</v>
      </c>
      <c r="B869" s="36" t="str">
        <f t="array" ref="B869">_xlfn.XLOOKUP($A869,TRIM(SUBSTITUTE('worker file'!$A$2:$A$406,_xlfn.UNICHAR(160)," ")),'worker file'!$L$2:$L$406,"Not found")</f>
        <v>US Semi-monthly</v>
      </c>
      <c r="C869" s="36" t="str">
        <f t="array" ref="C869">_xlfn.XLOOKUP($A869,TRIM(SUBSTITUTE('worker file'!$A$2:$A$406,_xlfn.UNICHAR(160)," ")),'worker file'!$D$2:$D$406,"Not found")</f>
        <v>CA</v>
      </c>
      <c r="D869" s="36" t="str">
        <f t="array" ref="D869">_xlfn.XLOOKUP($A869,TRIM(SUBSTITUTE('worker file'!$A$2:$A$406,_xlfn.UNICHAR(160)," ")),'worker file'!$Q$2:$Q$406,"Not found")</f>
        <v>Active</v>
      </c>
      <c r="E869" s="35" t="s">
        <v>634</v>
      </c>
      <c r="F869" t="str">
        <f t="shared" si="100"/>
        <v>Vision – Employee</v>
      </c>
      <c r="G869" t="str">
        <f t="shared" si="101"/>
        <v>Pre-tax Section 125 (exempt from FIT/SIT/FICA)</v>
      </c>
      <c r="H869" t="str">
        <f t="shared" si="102"/>
        <v>Flat</v>
      </c>
      <c r="I869" s="40" t="str">
        <f>IF($H869="Percent",_xlfn.XLOOKUP($E869,$A$5:$A$8,$F$5:$F$8,""),"")</f>
        <v/>
      </c>
      <c r="J869" s="38">
        <f t="shared" si="103"/>
        <v>30</v>
      </c>
      <c r="K869" t="str">
        <f t="shared" si="104"/>
        <v>Per pay period</v>
      </c>
      <c r="L869" t="str">
        <f t="shared" si="105"/>
        <v>Every pay period (ongoing)</v>
      </c>
      <c r="M869" s="39">
        <f t="array" ref="M869">MAX(_xlfn.XLOOKUP($A869,TRIM(SUBSTITUTE('worker file'!$A$2:$A$406,_xlfn.UNICHAR(160)," ")),'worker file'!$M$2:$M$406,0),_xlfn.XLOOKUP($B869,TRIM('pay group &amp; schedule'!$A$2:$A$6),'pay group &amp; schedule'!$D$2:$D$6,0))</f>
        <v>46311</v>
      </c>
      <c r="N869" s="39" t="str">
        <f t="array" ref="N869">_xlfn.LET(_xlpm.t,_xlfn.XLOOKUP($A869,TRIM(SUBSTITUTE('worker file'!$A$2:$A$406,_xlfn.UNICHAR(160)," ")),'worker file'!$N$2:$N$406,""),IF(N(_xlpm.t)=0,"",_xlpm.t))</f>
        <v/>
      </c>
    </row>
    <row r="870" spans="1:14" x14ac:dyDescent="0.2">
      <c r="A870" s="35" t="s">
        <v>396</v>
      </c>
      <c r="B870" s="36" t="str">
        <f t="array" ref="B870">_xlfn.XLOOKUP($A870,TRIM(SUBSTITUTE('worker file'!$A$2:$A$406,_xlfn.UNICHAR(160)," ")),'worker file'!$L$2:$L$406,"Not found")</f>
        <v>US Semi-monthly</v>
      </c>
      <c r="C870" s="36" t="str">
        <f t="array" ref="C870">_xlfn.XLOOKUP($A870,TRIM(SUBSTITUTE('worker file'!$A$2:$A$406,_xlfn.UNICHAR(160)," ")),'worker file'!$D$2:$D$406,"Not found")</f>
        <v>WA</v>
      </c>
      <c r="D870" s="36" t="str">
        <f t="array" ref="D870">_xlfn.XLOOKUP($A870,TRIM(SUBSTITUTE('worker file'!$A$2:$A$406,_xlfn.UNICHAR(160)," ")),'worker file'!$Q$2:$Q$406,"Not found")</f>
        <v>Active</v>
      </c>
      <c r="E870" s="35" t="s">
        <v>618</v>
      </c>
      <c r="F870" t="str">
        <f t="shared" si="100"/>
        <v>401(k) Employee Deferral</v>
      </c>
      <c r="G870" t="str">
        <f t="shared" si="101"/>
        <v>Pre-tax (exempt from FIT/SIT; subject to FICA)</v>
      </c>
      <c r="H870" t="str">
        <f t="shared" si="102"/>
        <v>Percent</v>
      </c>
      <c r="I870" s="37">
        <v>7.0000000000000007E-2</v>
      </c>
      <c r="J870" s="38" t="str">
        <f t="shared" si="103"/>
        <v/>
      </c>
      <c r="K870" t="str">
        <f t="shared" si="104"/>
        <v>Gross pay</v>
      </c>
      <c r="L870" t="str">
        <f t="shared" si="105"/>
        <v>Every pay period (ongoing)</v>
      </c>
      <c r="M870" s="39">
        <f t="array" ref="M870">MAX(_xlfn.XLOOKUP($A870,TRIM(SUBSTITUTE('worker file'!$A$2:$A$406,_xlfn.UNICHAR(160)," ")),'worker file'!$M$2:$M$406,0),_xlfn.XLOOKUP($B870,TRIM('pay group &amp; schedule'!$A$2:$A$6),'pay group &amp; schedule'!$D$2:$D$6,0))</f>
        <v>46311</v>
      </c>
      <c r="N870" s="39" t="str">
        <f t="array" ref="N870">_xlfn.LET(_xlpm.t,_xlfn.XLOOKUP($A870,TRIM(SUBSTITUTE('worker file'!$A$2:$A$406,_xlfn.UNICHAR(160)," ")),'worker file'!$N$2:$N$406,""),IF(N(_xlpm.t)=0,"",_xlpm.t))</f>
        <v/>
      </c>
    </row>
    <row r="871" spans="1:14" x14ac:dyDescent="0.2">
      <c r="A871" s="35" t="s">
        <v>396</v>
      </c>
      <c r="B871" s="36" t="str">
        <f t="array" ref="B871">_xlfn.XLOOKUP($A871,TRIM(SUBSTITUTE('worker file'!$A$2:$A$406,_xlfn.UNICHAR(160)," ")),'worker file'!$L$2:$L$406,"Not found")</f>
        <v>US Semi-monthly</v>
      </c>
      <c r="C871" s="36" t="str">
        <f t="array" ref="C871">_xlfn.XLOOKUP($A871,TRIM(SUBSTITUTE('worker file'!$A$2:$A$406,_xlfn.UNICHAR(160)," ")),'worker file'!$D$2:$D$406,"Not found")</f>
        <v>WA</v>
      </c>
      <c r="D871" s="36" t="str">
        <f t="array" ref="D871">_xlfn.XLOOKUP($A871,TRIM(SUBSTITUTE('worker file'!$A$2:$A$406,_xlfn.UNICHAR(160)," ")),'worker file'!$Q$2:$Q$406,"Not found")</f>
        <v>Active</v>
      </c>
      <c r="E871" s="35" t="s">
        <v>626</v>
      </c>
      <c r="F871" t="str">
        <f t="shared" si="100"/>
        <v>Medical (Health) – Employee</v>
      </c>
      <c r="G871" t="str">
        <f t="shared" si="101"/>
        <v>Pre-tax Section 125 (exempt from FIT/SIT/FICA)</v>
      </c>
      <c r="H871" t="str">
        <f t="shared" si="102"/>
        <v>Flat</v>
      </c>
      <c r="I871" s="40" t="str">
        <f t="shared" ref="I871:I876" si="106">IF($H871="Percent",_xlfn.XLOOKUP($E871,$A$5:$A$8,$F$5:$F$8,""),"")</f>
        <v/>
      </c>
      <c r="J871" s="38">
        <f t="shared" si="103"/>
        <v>200</v>
      </c>
      <c r="K871" t="str">
        <f t="shared" si="104"/>
        <v>Per pay period</v>
      </c>
      <c r="L871" t="str">
        <f t="shared" si="105"/>
        <v>Every pay period (ongoing)</v>
      </c>
      <c r="M871" s="39">
        <f t="array" ref="M871">MAX(_xlfn.XLOOKUP($A871,TRIM(SUBSTITUTE('worker file'!$A$2:$A$406,_xlfn.UNICHAR(160)," ")),'worker file'!$M$2:$M$406,0),_xlfn.XLOOKUP($B871,TRIM('pay group &amp; schedule'!$A$2:$A$6),'pay group &amp; schedule'!$D$2:$D$6,0))</f>
        <v>46311</v>
      </c>
      <c r="N871" s="39" t="str">
        <f t="array" ref="N871">_xlfn.LET(_xlpm.t,_xlfn.XLOOKUP($A871,TRIM(SUBSTITUTE('worker file'!$A$2:$A$406,_xlfn.UNICHAR(160)," ")),'worker file'!$N$2:$N$406,""),IF(N(_xlpm.t)=0,"",_xlpm.t))</f>
        <v/>
      </c>
    </row>
    <row r="872" spans="1:14" x14ac:dyDescent="0.2">
      <c r="A872" s="35" t="s">
        <v>396</v>
      </c>
      <c r="B872" s="36" t="str">
        <f t="array" ref="B872">_xlfn.XLOOKUP($A872,TRIM(SUBSTITUTE('worker file'!$A$2:$A$406,_xlfn.UNICHAR(160)," ")),'worker file'!$L$2:$L$406,"Not found")</f>
        <v>US Semi-monthly</v>
      </c>
      <c r="C872" s="36" t="str">
        <f t="array" ref="C872">_xlfn.XLOOKUP($A872,TRIM(SUBSTITUTE('worker file'!$A$2:$A$406,_xlfn.UNICHAR(160)," ")),'worker file'!$D$2:$D$406,"Not found")</f>
        <v>WA</v>
      </c>
      <c r="D872" s="36" t="str">
        <f t="array" ref="D872">_xlfn.XLOOKUP($A872,TRIM(SUBSTITUTE('worker file'!$A$2:$A$406,_xlfn.UNICHAR(160)," ")),'worker file'!$Q$2:$Q$406,"Not found")</f>
        <v>Active</v>
      </c>
      <c r="E872" s="35" t="s">
        <v>632</v>
      </c>
      <c r="F872" t="str">
        <f t="shared" si="100"/>
        <v>Dental – Employee</v>
      </c>
      <c r="G872" t="str">
        <f t="shared" si="101"/>
        <v>Pre-tax Section 125 (exempt from FIT/SIT/FICA)</v>
      </c>
      <c r="H872" t="str">
        <f t="shared" si="102"/>
        <v>Flat</v>
      </c>
      <c r="I872" s="40" t="str">
        <f t="shared" si="106"/>
        <v/>
      </c>
      <c r="J872" s="38">
        <f t="shared" si="103"/>
        <v>44</v>
      </c>
      <c r="K872" t="str">
        <f t="shared" si="104"/>
        <v>Per pay period</v>
      </c>
      <c r="L872" t="str">
        <f t="shared" si="105"/>
        <v>Every pay period (ongoing)</v>
      </c>
      <c r="M872" s="39">
        <f t="array" ref="M872">MAX(_xlfn.XLOOKUP($A872,TRIM(SUBSTITUTE('worker file'!$A$2:$A$406,_xlfn.UNICHAR(160)," ")),'worker file'!$M$2:$M$406,0),_xlfn.XLOOKUP($B872,TRIM('pay group &amp; schedule'!$A$2:$A$6),'pay group &amp; schedule'!$D$2:$D$6,0))</f>
        <v>46311</v>
      </c>
      <c r="N872" s="39" t="str">
        <f t="array" ref="N872">_xlfn.LET(_xlpm.t,_xlfn.XLOOKUP($A872,TRIM(SUBSTITUTE('worker file'!$A$2:$A$406,_xlfn.UNICHAR(160)," ")),'worker file'!$N$2:$N$406,""),IF(N(_xlpm.t)=0,"",_xlpm.t))</f>
        <v/>
      </c>
    </row>
    <row r="873" spans="1:14" x14ac:dyDescent="0.2">
      <c r="A873" s="35" t="s">
        <v>396</v>
      </c>
      <c r="B873" s="36" t="str">
        <f t="array" ref="B873">_xlfn.XLOOKUP($A873,TRIM(SUBSTITUTE('worker file'!$A$2:$A$406,_xlfn.UNICHAR(160)," ")),'worker file'!$L$2:$L$406,"Not found")</f>
        <v>US Semi-monthly</v>
      </c>
      <c r="C873" s="36" t="str">
        <f t="array" ref="C873">_xlfn.XLOOKUP($A873,TRIM(SUBSTITUTE('worker file'!$A$2:$A$406,_xlfn.UNICHAR(160)," ")),'worker file'!$D$2:$D$406,"Not found")</f>
        <v>WA</v>
      </c>
      <c r="D873" s="36" t="str">
        <f t="array" ref="D873">_xlfn.XLOOKUP($A873,TRIM(SUBSTITUTE('worker file'!$A$2:$A$406,_xlfn.UNICHAR(160)," ")),'worker file'!$Q$2:$Q$406,"Not found")</f>
        <v>Active</v>
      </c>
      <c r="E873" s="35" t="s">
        <v>634</v>
      </c>
      <c r="F873" t="str">
        <f t="shared" si="100"/>
        <v>Vision – Employee</v>
      </c>
      <c r="G873" t="str">
        <f t="shared" si="101"/>
        <v>Pre-tax Section 125 (exempt from FIT/SIT/FICA)</v>
      </c>
      <c r="H873" t="str">
        <f t="shared" si="102"/>
        <v>Flat</v>
      </c>
      <c r="I873" s="40" t="str">
        <f t="shared" si="106"/>
        <v/>
      </c>
      <c r="J873" s="38">
        <f t="shared" si="103"/>
        <v>30</v>
      </c>
      <c r="K873" t="str">
        <f t="shared" si="104"/>
        <v>Per pay period</v>
      </c>
      <c r="L873" t="str">
        <f t="shared" si="105"/>
        <v>Every pay period (ongoing)</v>
      </c>
      <c r="M873" s="39">
        <f t="array" ref="M873">MAX(_xlfn.XLOOKUP($A873,TRIM(SUBSTITUTE('worker file'!$A$2:$A$406,_xlfn.UNICHAR(160)," ")),'worker file'!$M$2:$M$406,0),_xlfn.XLOOKUP($B873,TRIM('pay group &amp; schedule'!$A$2:$A$6),'pay group &amp; schedule'!$D$2:$D$6,0))</f>
        <v>46311</v>
      </c>
      <c r="N873" s="39" t="str">
        <f t="array" ref="N873">_xlfn.LET(_xlpm.t,_xlfn.XLOOKUP($A873,TRIM(SUBSTITUTE('worker file'!$A$2:$A$406,_xlfn.UNICHAR(160)," ")),'worker file'!$N$2:$N$406,""),IF(N(_xlpm.t)=0,"",_xlpm.t))</f>
        <v/>
      </c>
    </row>
    <row r="874" spans="1:14" x14ac:dyDescent="0.2">
      <c r="A874" s="35" t="s">
        <v>397</v>
      </c>
      <c r="B874" s="36" t="str">
        <f t="array" ref="B874">_xlfn.XLOOKUP($A874,TRIM(SUBSTITUTE('worker file'!$A$2:$A$406,_xlfn.UNICHAR(160)," ")),'worker file'!$L$2:$L$406,"Not found")</f>
        <v>US Semi-monthly</v>
      </c>
      <c r="C874" s="36" t="str">
        <f t="array" ref="C874">_xlfn.XLOOKUP($A874,TRIM(SUBSTITUTE('worker file'!$A$2:$A$406,_xlfn.UNICHAR(160)," ")),'worker file'!$D$2:$D$406,"Not found")</f>
        <v>CA</v>
      </c>
      <c r="D874" s="36" t="str">
        <f t="array" ref="D874">_xlfn.XLOOKUP($A874,TRIM(SUBSTITUTE('worker file'!$A$2:$A$406,_xlfn.UNICHAR(160)," ")),'worker file'!$Q$2:$Q$406,"Not found")</f>
        <v>Active</v>
      </c>
      <c r="E874" s="35" t="s">
        <v>626</v>
      </c>
      <c r="F874" t="str">
        <f t="shared" si="100"/>
        <v>Medical (Health) – Employee</v>
      </c>
      <c r="G874" t="str">
        <f t="shared" si="101"/>
        <v>Pre-tax Section 125 (exempt from FIT/SIT/FICA)</v>
      </c>
      <c r="H874" t="str">
        <f t="shared" si="102"/>
        <v>Flat</v>
      </c>
      <c r="I874" s="40" t="str">
        <f t="shared" si="106"/>
        <v/>
      </c>
      <c r="J874" s="38">
        <f t="shared" si="103"/>
        <v>200</v>
      </c>
      <c r="K874" t="str">
        <f t="shared" si="104"/>
        <v>Per pay period</v>
      </c>
      <c r="L874" t="str">
        <f t="shared" si="105"/>
        <v>Every pay period (ongoing)</v>
      </c>
      <c r="M874" s="39">
        <f t="array" ref="M874">MAX(_xlfn.XLOOKUP($A874,TRIM(SUBSTITUTE('worker file'!$A$2:$A$406,_xlfn.UNICHAR(160)," ")),'worker file'!$M$2:$M$406,0),_xlfn.XLOOKUP($B874,TRIM('pay group &amp; schedule'!$A$2:$A$6),'pay group &amp; schedule'!$D$2:$D$6,0))</f>
        <v>46311</v>
      </c>
      <c r="N874" s="39" t="str">
        <f t="array" ref="N874">_xlfn.LET(_xlpm.t,_xlfn.XLOOKUP($A874,TRIM(SUBSTITUTE('worker file'!$A$2:$A$406,_xlfn.UNICHAR(160)," ")),'worker file'!$N$2:$N$406,""),IF(N(_xlpm.t)=0,"",_xlpm.t))</f>
        <v/>
      </c>
    </row>
    <row r="875" spans="1:14" x14ac:dyDescent="0.2">
      <c r="A875" s="35" t="s">
        <v>397</v>
      </c>
      <c r="B875" s="36" t="str">
        <f t="array" ref="B875">_xlfn.XLOOKUP($A875,TRIM(SUBSTITUTE('worker file'!$A$2:$A$406,_xlfn.UNICHAR(160)," ")),'worker file'!$L$2:$L$406,"Not found")</f>
        <v>US Semi-monthly</v>
      </c>
      <c r="C875" s="36" t="str">
        <f t="array" ref="C875">_xlfn.XLOOKUP($A875,TRIM(SUBSTITUTE('worker file'!$A$2:$A$406,_xlfn.UNICHAR(160)," ")),'worker file'!$D$2:$D$406,"Not found")</f>
        <v>CA</v>
      </c>
      <c r="D875" s="36" t="str">
        <f t="array" ref="D875">_xlfn.XLOOKUP($A875,TRIM(SUBSTITUTE('worker file'!$A$2:$A$406,_xlfn.UNICHAR(160)," ")),'worker file'!$Q$2:$Q$406,"Not found")</f>
        <v>Active</v>
      </c>
      <c r="E875" s="35" t="s">
        <v>632</v>
      </c>
      <c r="F875" t="str">
        <f t="shared" si="100"/>
        <v>Dental – Employee</v>
      </c>
      <c r="G875" t="str">
        <f t="shared" si="101"/>
        <v>Pre-tax Section 125 (exempt from FIT/SIT/FICA)</v>
      </c>
      <c r="H875" t="str">
        <f t="shared" si="102"/>
        <v>Flat</v>
      </c>
      <c r="I875" s="40" t="str">
        <f t="shared" si="106"/>
        <v/>
      </c>
      <c r="J875" s="38">
        <f t="shared" si="103"/>
        <v>44</v>
      </c>
      <c r="K875" t="str">
        <f t="shared" si="104"/>
        <v>Per pay period</v>
      </c>
      <c r="L875" t="str">
        <f t="shared" si="105"/>
        <v>Every pay period (ongoing)</v>
      </c>
      <c r="M875" s="39">
        <f t="array" ref="M875">MAX(_xlfn.XLOOKUP($A875,TRIM(SUBSTITUTE('worker file'!$A$2:$A$406,_xlfn.UNICHAR(160)," ")),'worker file'!$M$2:$M$406,0),_xlfn.XLOOKUP($B875,TRIM('pay group &amp; schedule'!$A$2:$A$6),'pay group &amp; schedule'!$D$2:$D$6,0))</f>
        <v>46311</v>
      </c>
      <c r="N875" s="39" t="str">
        <f t="array" ref="N875">_xlfn.LET(_xlpm.t,_xlfn.XLOOKUP($A875,TRIM(SUBSTITUTE('worker file'!$A$2:$A$406,_xlfn.UNICHAR(160)," ")),'worker file'!$N$2:$N$406,""),IF(N(_xlpm.t)=0,"",_xlpm.t))</f>
        <v/>
      </c>
    </row>
    <row r="876" spans="1:14" x14ac:dyDescent="0.2">
      <c r="A876" s="35" t="s">
        <v>397</v>
      </c>
      <c r="B876" s="36" t="str">
        <f t="array" ref="B876">_xlfn.XLOOKUP($A876,TRIM(SUBSTITUTE('worker file'!$A$2:$A$406,_xlfn.UNICHAR(160)," ")),'worker file'!$L$2:$L$406,"Not found")</f>
        <v>US Semi-monthly</v>
      </c>
      <c r="C876" s="36" t="str">
        <f t="array" ref="C876">_xlfn.XLOOKUP($A876,TRIM(SUBSTITUTE('worker file'!$A$2:$A$406,_xlfn.UNICHAR(160)," ")),'worker file'!$D$2:$D$406,"Not found")</f>
        <v>CA</v>
      </c>
      <c r="D876" s="36" t="str">
        <f t="array" ref="D876">_xlfn.XLOOKUP($A876,TRIM(SUBSTITUTE('worker file'!$A$2:$A$406,_xlfn.UNICHAR(160)," ")),'worker file'!$Q$2:$Q$406,"Not found")</f>
        <v>Active</v>
      </c>
      <c r="E876" s="35" t="s">
        <v>634</v>
      </c>
      <c r="F876" t="str">
        <f t="shared" si="100"/>
        <v>Vision – Employee</v>
      </c>
      <c r="G876" t="str">
        <f t="shared" si="101"/>
        <v>Pre-tax Section 125 (exempt from FIT/SIT/FICA)</v>
      </c>
      <c r="H876" t="str">
        <f t="shared" si="102"/>
        <v>Flat</v>
      </c>
      <c r="I876" s="40" t="str">
        <f t="shared" si="106"/>
        <v/>
      </c>
      <c r="J876" s="38">
        <f t="shared" si="103"/>
        <v>30</v>
      </c>
      <c r="K876" t="str">
        <f t="shared" si="104"/>
        <v>Per pay period</v>
      </c>
      <c r="L876" t="str">
        <f t="shared" si="105"/>
        <v>Every pay period (ongoing)</v>
      </c>
      <c r="M876" s="39">
        <f t="array" ref="M876">MAX(_xlfn.XLOOKUP($A876,TRIM(SUBSTITUTE('worker file'!$A$2:$A$406,_xlfn.UNICHAR(160)," ")),'worker file'!$M$2:$M$406,0),_xlfn.XLOOKUP($B876,TRIM('pay group &amp; schedule'!$A$2:$A$6),'pay group &amp; schedule'!$D$2:$D$6,0))</f>
        <v>46311</v>
      </c>
      <c r="N876" s="39" t="str">
        <f t="array" ref="N876">_xlfn.LET(_xlpm.t,_xlfn.XLOOKUP($A876,TRIM(SUBSTITUTE('worker file'!$A$2:$A$406,_xlfn.UNICHAR(160)," ")),'worker file'!$N$2:$N$406,""),IF(N(_xlpm.t)=0,"",_xlpm.t))</f>
        <v/>
      </c>
    </row>
    <row r="877" spans="1:14" x14ac:dyDescent="0.2">
      <c r="A877" s="35" t="s">
        <v>400</v>
      </c>
      <c r="B877" s="36" t="str">
        <f t="array" ref="B877">_xlfn.XLOOKUP($A877,TRIM(SUBSTITUTE('worker file'!$A$2:$A$406,_xlfn.UNICHAR(160)," ")),'worker file'!$L$2:$L$406,"Not found")</f>
        <v>US Semi-monthly</v>
      </c>
      <c r="C877" s="36" t="str">
        <f t="array" ref="C877">_xlfn.XLOOKUP($A877,TRIM(SUBSTITUTE('worker file'!$A$2:$A$406,_xlfn.UNICHAR(160)," ")),'worker file'!$D$2:$D$406,"Not found")</f>
        <v>WA</v>
      </c>
      <c r="D877" s="36" t="str">
        <f t="array" ref="D877">_xlfn.XLOOKUP($A877,TRIM(SUBSTITUTE('worker file'!$A$2:$A$406,_xlfn.UNICHAR(160)," ")),'worker file'!$Q$2:$Q$406,"Not found")</f>
        <v>Active</v>
      </c>
      <c r="E877" s="35" t="s">
        <v>618</v>
      </c>
      <c r="F877" t="str">
        <f t="shared" si="100"/>
        <v>401(k) Employee Deferral</v>
      </c>
      <c r="G877" t="str">
        <f t="shared" si="101"/>
        <v>Pre-tax (exempt from FIT/SIT; subject to FICA)</v>
      </c>
      <c r="H877" t="str">
        <f t="shared" si="102"/>
        <v>Percent</v>
      </c>
      <c r="I877" s="37">
        <v>0.01</v>
      </c>
      <c r="J877" s="38" t="str">
        <f t="shared" si="103"/>
        <v/>
      </c>
      <c r="K877" t="str">
        <f t="shared" si="104"/>
        <v>Gross pay</v>
      </c>
      <c r="L877" t="str">
        <f t="shared" si="105"/>
        <v>Every pay period (ongoing)</v>
      </c>
      <c r="M877" s="39">
        <f t="array" ref="M877">MAX(_xlfn.XLOOKUP($A877,TRIM(SUBSTITUTE('worker file'!$A$2:$A$406,_xlfn.UNICHAR(160)," ")),'worker file'!$M$2:$M$406,0),_xlfn.XLOOKUP($B877,TRIM('pay group &amp; schedule'!$A$2:$A$6),'pay group &amp; schedule'!$D$2:$D$6,0))</f>
        <v>46311</v>
      </c>
      <c r="N877" s="39" t="str">
        <f t="array" ref="N877">_xlfn.LET(_xlpm.t,_xlfn.XLOOKUP($A877,TRIM(SUBSTITUTE('worker file'!$A$2:$A$406,_xlfn.UNICHAR(160)," ")),'worker file'!$N$2:$N$406,""),IF(N(_xlpm.t)=0,"",_xlpm.t))</f>
        <v/>
      </c>
    </row>
    <row r="878" spans="1:14" x14ac:dyDescent="0.2">
      <c r="A878" s="35" t="s">
        <v>400</v>
      </c>
      <c r="B878" s="36" t="str">
        <f t="array" ref="B878">_xlfn.XLOOKUP($A878,TRIM(SUBSTITUTE('worker file'!$A$2:$A$406,_xlfn.UNICHAR(160)," ")),'worker file'!$L$2:$L$406,"Not found")</f>
        <v>US Semi-monthly</v>
      </c>
      <c r="C878" s="36" t="str">
        <f t="array" ref="C878">_xlfn.XLOOKUP($A878,TRIM(SUBSTITUTE('worker file'!$A$2:$A$406,_xlfn.UNICHAR(160)," ")),'worker file'!$D$2:$D$406,"Not found")</f>
        <v>WA</v>
      </c>
      <c r="D878" s="36" t="str">
        <f t="array" ref="D878">_xlfn.XLOOKUP($A878,TRIM(SUBSTITUTE('worker file'!$A$2:$A$406,_xlfn.UNICHAR(160)," ")),'worker file'!$Q$2:$Q$406,"Not found")</f>
        <v>Active</v>
      </c>
      <c r="E878" s="35" t="s">
        <v>626</v>
      </c>
      <c r="F878" t="str">
        <f t="shared" si="100"/>
        <v>Medical (Health) – Employee</v>
      </c>
      <c r="G878" t="str">
        <f t="shared" si="101"/>
        <v>Pre-tax Section 125 (exempt from FIT/SIT/FICA)</v>
      </c>
      <c r="H878" t="str">
        <f t="shared" si="102"/>
        <v>Flat</v>
      </c>
      <c r="I878" s="40" t="str">
        <f>IF($H878="Percent",_xlfn.XLOOKUP($E878,$A$5:$A$8,$F$5:$F$8,""),"")</f>
        <v/>
      </c>
      <c r="J878" s="38">
        <f t="shared" si="103"/>
        <v>200</v>
      </c>
      <c r="K878" t="str">
        <f t="shared" si="104"/>
        <v>Per pay period</v>
      </c>
      <c r="L878" t="str">
        <f t="shared" si="105"/>
        <v>Every pay period (ongoing)</v>
      </c>
      <c r="M878" s="39">
        <f t="array" ref="M878">MAX(_xlfn.XLOOKUP($A878,TRIM(SUBSTITUTE('worker file'!$A$2:$A$406,_xlfn.UNICHAR(160)," ")),'worker file'!$M$2:$M$406,0),_xlfn.XLOOKUP($B878,TRIM('pay group &amp; schedule'!$A$2:$A$6),'pay group &amp; schedule'!$D$2:$D$6,0))</f>
        <v>46311</v>
      </c>
      <c r="N878" s="39" t="str">
        <f t="array" ref="N878">_xlfn.LET(_xlpm.t,_xlfn.XLOOKUP($A878,TRIM(SUBSTITUTE('worker file'!$A$2:$A$406,_xlfn.UNICHAR(160)," ")),'worker file'!$N$2:$N$406,""),IF(N(_xlpm.t)=0,"",_xlpm.t))</f>
        <v/>
      </c>
    </row>
    <row r="879" spans="1:14" x14ac:dyDescent="0.2">
      <c r="A879" s="35" t="s">
        <v>400</v>
      </c>
      <c r="B879" s="36" t="str">
        <f t="array" ref="B879">_xlfn.XLOOKUP($A879,TRIM(SUBSTITUTE('worker file'!$A$2:$A$406,_xlfn.UNICHAR(160)," ")),'worker file'!$L$2:$L$406,"Not found")</f>
        <v>US Semi-monthly</v>
      </c>
      <c r="C879" s="36" t="str">
        <f t="array" ref="C879">_xlfn.XLOOKUP($A879,TRIM(SUBSTITUTE('worker file'!$A$2:$A$406,_xlfn.UNICHAR(160)," ")),'worker file'!$D$2:$D$406,"Not found")</f>
        <v>WA</v>
      </c>
      <c r="D879" s="36" t="str">
        <f t="array" ref="D879">_xlfn.XLOOKUP($A879,TRIM(SUBSTITUTE('worker file'!$A$2:$A$406,_xlfn.UNICHAR(160)," ")),'worker file'!$Q$2:$Q$406,"Not found")</f>
        <v>Active</v>
      </c>
      <c r="E879" s="35" t="s">
        <v>632</v>
      </c>
      <c r="F879" t="str">
        <f t="shared" si="100"/>
        <v>Dental – Employee</v>
      </c>
      <c r="G879" t="str">
        <f t="shared" si="101"/>
        <v>Pre-tax Section 125 (exempt from FIT/SIT/FICA)</v>
      </c>
      <c r="H879" t="str">
        <f t="shared" si="102"/>
        <v>Flat</v>
      </c>
      <c r="I879" s="40" t="str">
        <f>IF($H879="Percent",_xlfn.XLOOKUP($E879,$A$5:$A$8,$F$5:$F$8,""),"")</f>
        <v/>
      </c>
      <c r="J879" s="38">
        <f t="shared" si="103"/>
        <v>44</v>
      </c>
      <c r="K879" t="str">
        <f t="shared" si="104"/>
        <v>Per pay period</v>
      </c>
      <c r="L879" t="str">
        <f t="shared" si="105"/>
        <v>Every pay period (ongoing)</v>
      </c>
      <c r="M879" s="39">
        <f t="array" ref="M879">MAX(_xlfn.XLOOKUP($A879,TRIM(SUBSTITUTE('worker file'!$A$2:$A$406,_xlfn.UNICHAR(160)," ")),'worker file'!$M$2:$M$406,0),_xlfn.XLOOKUP($B879,TRIM('pay group &amp; schedule'!$A$2:$A$6),'pay group &amp; schedule'!$D$2:$D$6,0))</f>
        <v>46311</v>
      </c>
      <c r="N879" s="39" t="str">
        <f t="array" ref="N879">_xlfn.LET(_xlpm.t,_xlfn.XLOOKUP($A879,TRIM(SUBSTITUTE('worker file'!$A$2:$A$406,_xlfn.UNICHAR(160)," ")),'worker file'!$N$2:$N$406,""),IF(N(_xlpm.t)=0,"",_xlpm.t))</f>
        <v/>
      </c>
    </row>
    <row r="880" spans="1:14" x14ac:dyDescent="0.2">
      <c r="A880" s="35" t="s">
        <v>400</v>
      </c>
      <c r="B880" s="36" t="str">
        <f t="array" ref="B880">_xlfn.XLOOKUP($A880,TRIM(SUBSTITUTE('worker file'!$A$2:$A$406,_xlfn.UNICHAR(160)," ")),'worker file'!$L$2:$L$406,"Not found")</f>
        <v>US Semi-monthly</v>
      </c>
      <c r="C880" s="36" t="str">
        <f t="array" ref="C880">_xlfn.XLOOKUP($A880,TRIM(SUBSTITUTE('worker file'!$A$2:$A$406,_xlfn.UNICHAR(160)," ")),'worker file'!$D$2:$D$406,"Not found")</f>
        <v>WA</v>
      </c>
      <c r="D880" s="36" t="str">
        <f t="array" ref="D880">_xlfn.XLOOKUP($A880,TRIM(SUBSTITUTE('worker file'!$A$2:$A$406,_xlfn.UNICHAR(160)," ")),'worker file'!$Q$2:$Q$406,"Not found")</f>
        <v>Active</v>
      </c>
      <c r="E880" s="35" t="s">
        <v>634</v>
      </c>
      <c r="F880" t="str">
        <f t="shared" si="100"/>
        <v>Vision – Employee</v>
      </c>
      <c r="G880" t="str">
        <f t="shared" si="101"/>
        <v>Pre-tax Section 125 (exempt from FIT/SIT/FICA)</v>
      </c>
      <c r="H880" t="str">
        <f t="shared" si="102"/>
        <v>Flat</v>
      </c>
      <c r="I880" s="40" t="str">
        <f>IF($H880="Percent",_xlfn.XLOOKUP($E880,$A$5:$A$8,$F$5:$F$8,""),"")</f>
        <v/>
      </c>
      <c r="J880" s="38">
        <f t="shared" si="103"/>
        <v>30</v>
      </c>
      <c r="K880" t="str">
        <f t="shared" si="104"/>
        <v>Per pay period</v>
      </c>
      <c r="L880" t="str">
        <f t="shared" si="105"/>
        <v>Every pay period (ongoing)</v>
      </c>
      <c r="M880" s="39">
        <f t="array" ref="M880">MAX(_xlfn.XLOOKUP($A880,TRIM(SUBSTITUTE('worker file'!$A$2:$A$406,_xlfn.UNICHAR(160)," ")),'worker file'!$M$2:$M$406,0),_xlfn.XLOOKUP($B880,TRIM('pay group &amp; schedule'!$A$2:$A$6),'pay group &amp; schedule'!$D$2:$D$6,0))</f>
        <v>46311</v>
      </c>
      <c r="N880" s="39" t="str">
        <f t="array" ref="N880">_xlfn.LET(_xlpm.t,_xlfn.XLOOKUP($A880,TRIM(SUBSTITUTE('worker file'!$A$2:$A$406,_xlfn.UNICHAR(160)," ")),'worker file'!$N$2:$N$406,""),IF(N(_xlpm.t)=0,"",_xlpm.t))</f>
        <v/>
      </c>
    </row>
    <row r="881" spans="1:14" x14ac:dyDescent="0.2">
      <c r="A881" s="35" t="s">
        <v>401</v>
      </c>
      <c r="B881" s="36" t="str">
        <f t="array" ref="B881">_xlfn.XLOOKUP($A881,TRIM(SUBSTITUTE('worker file'!$A$2:$A$406,_xlfn.UNICHAR(160)," ")),'worker file'!$L$2:$L$406,"Not found")</f>
        <v>US Semi-monthly</v>
      </c>
      <c r="C881" s="36" t="str">
        <f t="array" ref="C881">_xlfn.XLOOKUP($A881,TRIM(SUBSTITUTE('worker file'!$A$2:$A$406,_xlfn.UNICHAR(160)," ")),'worker file'!$D$2:$D$406,"Not found")</f>
        <v>CA</v>
      </c>
      <c r="D881" s="36" t="str">
        <f t="array" ref="D881">_xlfn.XLOOKUP($A881,TRIM(SUBSTITUTE('worker file'!$A$2:$A$406,_xlfn.UNICHAR(160)," ")),'worker file'!$Q$2:$Q$406,"Not found")</f>
        <v>Active</v>
      </c>
      <c r="E881" s="35" t="s">
        <v>618</v>
      </c>
      <c r="F881" t="str">
        <f t="shared" si="100"/>
        <v>401(k) Employee Deferral</v>
      </c>
      <c r="G881" t="str">
        <f t="shared" si="101"/>
        <v>Pre-tax (exempt from FIT/SIT; subject to FICA)</v>
      </c>
      <c r="H881" t="str">
        <f t="shared" si="102"/>
        <v>Percent</v>
      </c>
      <c r="I881" s="37">
        <v>0.06</v>
      </c>
      <c r="J881" s="38" t="str">
        <f t="shared" si="103"/>
        <v/>
      </c>
      <c r="K881" t="str">
        <f t="shared" si="104"/>
        <v>Gross pay</v>
      </c>
      <c r="L881" t="str">
        <f t="shared" si="105"/>
        <v>Every pay period (ongoing)</v>
      </c>
      <c r="M881" s="39">
        <f t="array" ref="M881">MAX(_xlfn.XLOOKUP($A881,TRIM(SUBSTITUTE('worker file'!$A$2:$A$406,_xlfn.UNICHAR(160)," ")),'worker file'!$M$2:$M$406,0),_xlfn.XLOOKUP($B881,TRIM('pay group &amp; schedule'!$A$2:$A$6),'pay group &amp; schedule'!$D$2:$D$6,0))</f>
        <v>46311</v>
      </c>
      <c r="N881" s="39" t="str">
        <f t="array" ref="N881">_xlfn.LET(_xlpm.t,_xlfn.XLOOKUP($A881,TRIM(SUBSTITUTE('worker file'!$A$2:$A$406,_xlfn.UNICHAR(160)," ")),'worker file'!$N$2:$N$406,""),IF(N(_xlpm.t)=0,"",_xlpm.t))</f>
        <v/>
      </c>
    </row>
    <row r="882" spans="1:14" x14ac:dyDescent="0.2">
      <c r="A882" s="35" t="s">
        <v>401</v>
      </c>
      <c r="B882" s="36" t="str">
        <f t="array" ref="B882">_xlfn.XLOOKUP($A882,TRIM(SUBSTITUTE('worker file'!$A$2:$A$406,_xlfn.UNICHAR(160)," ")),'worker file'!$L$2:$L$406,"Not found")</f>
        <v>US Semi-monthly</v>
      </c>
      <c r="C882" s="36" t="str">
        <f t="array" ref="C882">_xlfn.XLOOKUP($A882,TRIM(SUBSTITUTE('worker file'!$A$2:$A$406,_xlfn.UNICHAR(160)," ")),'worker file'!$D$2:$D$406,"Not found")</f>
        <v>CA</v>
      </c>
      <c r="D882" s="36" t="str">
        <f t="array" ref="D882">_xlfn.XLOOKUP($A882,TRIM(SUBSTITUTE('worker file'!$A$2:$A$406,_xlfn.UNICHAR(160)," ")),'worker file'!$Q$2:$Q$406,"Not found")</f>
        <v>Active</v>
      </c>
      <c r="E882" s="35" t="s">
        <v>626</v>
      </c>
      <c r="F882" t="str">
        <f t="shared" si="100"/>
        <v>Medical (Health) – Employee</v>
      </c>
      <c r="G882" t="str">
        <f t="shared" si="101"/>
        <v>Pre-tax Section 125 (exempt from FIT/SIT/FICA)</v>
      </c>
      <c r="H882" t="str">
        <f t="shared" si="102"/>
        <v>Flat</v>
      </c>
      <c r="I882" s="40" t="str">
        <f>IF($H882="Percent",_xlfn.XLOOKUP($E882,$A$5:$A$8,$F$5:$F$8,""),"")</f>
        <v/>
      </c>
      <c r="J882" s="38">
        <f t="shared" si="103"/>
        <v>200</v>
      </c>
      <c r="K882" t="str">
        <f t="shared" si="104"/>
        <v>Per pay period</v>
      </c>
      <c r="L882" t="str">
        <f t="shared" si="105"/>
        <v>Every pay period (ongoing)</v>
      </c>
      <c r="M882" s="39">
        <f t="array" ref="M882">MAX(_xlfn.XLOOKUP($A882,TRIM(SUBSTITUTE('worker file'!$A$2:$A$406,_xlfn.UNICHAR(160)," ")),'worker file'!$M$2:$M$406,0),_xlfn.XLOOKUP($B882,TRIM('pay group &amp; schedule'!$A$2:$A$6),'pay group &amp; schedule'!$D$2:$D$6,0))</f>
        <v>46311</v>
      </c>
      <c r="N882" s="39" t="str">
        <f t="array" ref="N882">_xlfn.LET(_xlpm.t,_xlfn.XLOOKUP($A882,TRIM(SUBSTITUTE('worker file'!$A$2:$A$406,_xlfn.UNICHAR(160)," ")),'worker file'!$N$2:$N$406,""),IF(N(_xlpm.t)=0,"",_xlpm.t))</f>
        <v/>
      </c>
    </row>
    <row r="883" spans="1:14" x14ac:dyDescent="0.2">
      <c r="A883" s="35" t="s">
        <v>401</v>
      </c>
      <c r="B883" s="36" t="str">
        <f t="array" ref="B883">_xlfn.XLOOKUP($A883,TRIM(SUBSTITUTE('worker file'!$A$2:$A$406,_xlfn.UNICHAR(160)," ")),'worker file'!$L$2:$L$406,"Not found")</f>
        <v>US Semi-monthly</v>
      </c>
      <c r="C883" s="36" t="str">
        <f t="array" ref="C883">_xlfn.XLOOKUP($A883,TRIM(SUBSTITUTE('worker file'!$A$2:$A$406,_xlfn.UNICHAR(160)," ")),'worker file'!$D$2:$D$406,"Not found")</f>
        <v>CA</v>
      </c>
      <c r="D883" s="36" t="str">
        <f t="array" ref="D883">_xlfn.XLOOKUP($A883,TRIM(SUBSTITUTE('worker file'!$A$2:$A$406,_xlfn.UNICHAR(160)," ")),'worker file'!$Q$2:$Q$406,"Not found")</f>
        <v>Active</v>
      </c>
      <c r="E883" s="35" t="s">
        <v>632</v>
      </c>
      <c r="F883" t="str">
        <f t="shared" si="100"/>
        <v>Dental – Employee</v>
      </c>
      <c r="G883" t="str">
        <f t="shared" si="101"/>
        <v>Pre-tax Section 125 (exempt from FIT/SIT/FICA)</v>
      </c>
      <c r="H883" t="str">
        <f t="shared" si="102"/>
        <v>Flat</v>
      </c>
      <c r="I883" s="40" t="str">
        <f>IF($H883="Percent",_xlfn.XLOOKUP($E883,$A$5:$A$8,$F$5:$F$8,""),"")</f>
        <v/>
      </c>
      <c r="J883" s="38">
        <f t="shared" si="103"/>
        <v>44</v>
      </c>
      <c r="K883" t="str">
        <f t="shared" si="104"/>
        <v>Per pay period</v>
      </c>
      <c r="L883" t="str">
        <f t="shared" si="105"/>
        <v>Every pay period (ongoing)</v>
      </c>
      <c r="M883" s="39">
        <f t="array" ref="M883">MAX(_xlfn.XLOOKUP($A883,TRIM(SUBSTITUTE('worker file'!$A$2:$A$406,_xlfn.UNICHAR(160)," ")),'worker file'!$M$2:$M$406,0),_xlfn.XLOOKUP($B883,TRIM('pay group &amp; schedule'!$A$2:$A$6),'pay group &amp; schedule'!$D$2:$D$6,0))</f>
        <v>46311</v>
      </c>
      <c r="N883" s="39" t="str">
        <f t="array" ref="N883">_xlfn.LET(_xlpm.t,_xlfn.XLOOKUP($A883,TRIM(SUBSTITUTE('worker file'!$A$2:$A$406,_xlfn.UNICHAR(160)," ")),'worker file'!$N$2:$N$406,""),IF(N(_xlpm.t)=0,"",_xlpm.t))</f>
        <v/>
      </c>
    </row>
    <row r="884" spans="1:14" x14ac:dyDescent="0.2">
      <c r="A884" s="35" t="s">
        <v>401</v>
      </c>
      <c r="B884" s="36" t="str">
        <f t="array" ref="B884">_xlfn.XLOOKUP($A884,TRIM(SUBSTITUTE('worker file'!$A$2:$A$406,_xlfn.UNICHAR(160)," ")),'worker file'!$L$2:$L$406,"Not found")</f>
        <v>US Semi-monthly</v>
      </c>
      <c r="C884" s="36" t="str">
        <f t="array" ref="C884">_xlfn.XLOOKUP($A884,TRIM(SUBSTITUTE('worker file'!$A$2:$A$406,_xlfn.UNICHAR(160)," ")),'worker file'!$D$2:$D$406,"Not found")</f>
        <v>CA</v>
      </c>
      <c r="D884" s="36" t="str">
        <f t="array" ref="D884">_xlfn.XLOOKUP($A884,TRIM(SUBSTITUTE('worker file'!$A$2:$A$406,_xlfn.UNICHAR(160)," ")),'worker file'!$Q$2:$Q$406,"Not found")</f>
        <v>Active</v>
      </c>
      <c r="E884" s="35" t="s">
        <v>634</v>
      </c>
      <c r="F884" t="str">
        <f t="shared" si="100"/>
        <v>Vision – Employee</v>
      </c>
      <c r="G884" t="str">
        <f t="shared" si="101"/>
        <v>Pre-tax Section 125 (exempt from FIT/SIT/FICA)</v>
      </c>
      <c r="H884" t="str">
        <f t="shared" si="102"/>
        <v>Flat</v>
      </c>
      <c r="I884" s="40" t="str">
        <f>IF($H884="Percent",_xlfn.XLOOKUP($E884,$A$5:$A$8,$F$5:$F$8,""),"")</f>
        <v/>
      </c>
      <c r="J884" s="38">
        <f t="shared" si="103"/>
        <v>30</v>
      </c>
      <c r="K884" t="str">
        <f t="shared" si="104"/>
        <v>Per pay period</v>
      </c>
      <c r="L884" t="str">
        <f t="shared" si="105"/>
        <v>Every pay period (ongoing)</v>
      </c>
      <c r="M884" s="39">
        <f t="array" ref="M884">MAX(_xlfn.XLOOKUP($A884,TRIM(SUBSTITUTE('worker file'!$A$2:$A$406,_xlfn.UNICHAR(160)," ")),'worker file'!$M$2:$M$406,0),_xlfn.XLOOKUP($B884,TRIM('pay group &amp; schedule'!$A$2:$A$6),'pay group &amp; schedule'!$D$2:$D$6,0))</f>
        <v>46311</v>
      </c>
      <c r="N884" s="39" t="str">
        <f t="array" ref="N884">_xlfn.LET(_xlpm.t,_xlfn.XLOOKUP($A884,TRIM(SUBSTITUTE('worker file'!$A$2:$A$406,_xlfn.UNICHAR(160)," ")),'worker file'!$N$2:$N$406,""),IF(N(_xlpm.t)=0,"",_xlpm.t))</f>
        <v/>
      </c>
    </row>
    <row r="885" spans="1:14" x14ac:dyDescent="0.2">
      <c r="A885" s="35" t="s">
        <v>403</v>
      </c>
      <c r="B885" s="36" t="str">
        <f t="array" ref="B885">_xlfn.XLOOKUP($A885,TRIM(SUBSTITUTE('worker file'!$A$2:$A$406,_xlfn.UNICHAR(160)," ")),'worker file'!$L$2:$L$406,"Not found")</f>
        <v>US Biweekly</v>
      </c>
      <c r="C885" s="36" t="str">
        <f t="array" ref="C885">_xlfn.XLOOKUP($A885,TRIM(SUBSTITUTE('worker file'!$A$2:$A$406,_xlfn.UNICHAR(160)," ")),'worker file'!$D$2:$D$406,"Not found")</f>
        <v>CA</v>
      </c>
      <c r="D885" s="36" t="str">
        <f t="array" ref="D885">_xlfn.XLOOKUP($A885,TRIM(SUBSTITUTE('worker file'!$A$2:$A$406,_xlfn.UNICHAR(160)," ")),'worker file'!$Q$2:$Q$406,"Not found")</f>
        <v>Active</v>
      </c>
      <c r="E885" s="35" t="s">
        <v>618</v>
      </c>
      <c r="F885" t="str">
        <f t="shared" si="100"/>
        <v>401(k) Employee Deferral</v>
      </c>
      <c r="G885" t="str">
        <f t="shared" si="101"/>
        <v>Pre-tax (exempt from FIT/SIT; subject to FICA)</v>
      </c>
      <c r="H885" t="str">
        <f t="shared" si="102"/>
        <v>Percent</v>
      </c>
      <c r="I885" s="37">
        <v>0.03</v>
      </c>
      <c r="J885" s="38" t="str">
        <f t="shared" si="103"/>
        <v/>
      </c>
      <c r="K885" t="str">
        <f t="shared" si="104"/>
        <v>Gross pay</v>
      </c>
      <c r="L885" t="str">
        <f t="shared" si="105"/>
        <v>Every pay period (ongoing)</v>
      </c>
      <c r="M885" s="39">
        <f t="array" ref="M885">MAX(_xlfn.XLOOKUP($A885,TRIM(SUBSTITUTE('worker file'!$A$2:$A$406,_xlfn.UNICHAR(160)," ")),'worker file'!$M$2:$M$406,0),_xlfn.XLOOKUP($B885,TRIM('pay group &amp; schedule'!$A$2:$A$6),'pay group &amp; schedule'!$D$2:$D$6,0))</f>
        <v>46299</v>
      </c>
      <c r="N885" s="39" t="str">
        <f t="array" ref="N885">_xlfn.LET(_xlpm.t,_xlfn.XLOOKUP($A885,TRIM(SUBSTITUTE('worker file'!$A$2:$A$406,_xlfn.UNICHAR(160)," ")),'worker file'!$N$2:$N$406,""),IF(N(_xlpm.t)=0,"",_xlpm.t))</f>
        <v/>
      </c>
    </row>
    <row r="886" spans="1:14" x14ac:dyDescent="0.2">
      <c r="A886" s="35" t="s">
        <v>403</v>
      </c>
      <c r="B886" s="36" t="str">
        <f t="array" ref="B886">_xlfn.XLOOKUP($A886,TRIM(SUBSTITUTE('worker file'!$A$2:$A$406,_xlfn.UNICHAR(160)," ")),'worker file'!$L$2:$L$406,"Not found")</f>
        <v>US Biweekly</v>
      </c>
      <c r="C886" s="36" t="str">
        <f t="array" ref="C886">_xlfn.XLOOKUP($A886,TRIM(SUBSTITUTE('worker file'!$A$2:$A$406,_xlfn.UNICHAR(160)," ")),'worker file'!$D$2:$D$406,"Not found")</f>
        <v>CA</v>
      </c>
      <c r="D886" s="36" t="str">
        <f t="array" ref="D886">_xlfn.XLOOKUP($A886,TRIM(SUBSTITUTE('worker file'!$A$2:$A$406,_xlfn.UNICHAR(160)," ")),'worker file'!$Q$2:$Q$406,"Not found")</f>
        <v>Active</v>
      </c>
      <c r="E886" s="35" t="s">
        <v>626</v>
      </c>
      <c r="F886" t="str">
        <f t="shared" si="100"/>
        <v>Medical (Health) – Employee</v>
      </c>
      <c r="G886" t="str">
        <f t="shared" si="101"/>
        <v>Pre-tax Section 125 (exempt from FIT/SIT/FICA)</v>
      </c>
      <c r="H886" t="str">
        <f t="shared" si="102"/>
        <v>Flat</v>
      </c>
      <c r="I886" s="40" t="str">
        <f>IF($H886="Percent",_xlfn.XLOOKUP($E886,$A$5:$A$8,$F$5:$F$8,""),"")</f>
        <v/>
      </c>
      <c r="J886" s="38">
        <f t="shared" si="103"/>
        <v>200</v>
      </c>
      <c r="K886" t="str">
        <f t="shared" si="104"/>
        <v>Per pay period</v>
      </c>
      <c r="L886" t="str">
        <f t="shared" si="105"/>
        <v>Every pay period (ongoing)</v>
      </c>
      <c r="M886" s="39">
        <f t="array" ref="M886">MAX(_xlfn.XLOOKUP($A886,TRIM(SUBSTITUTE('worker file'!$A$2:$A$406,_xlfn.UNICHAR(160)," ")),'worker file'!$M$2:$M$406,0),_xlfn.XLOOKUP($B886,TRIM('pay group &amp; schedule'!$A$2:$A$6),'pay group &amp; schedule'!$D$2:$D$6,0))</f>
        <v>46299</v>
      </c>
      <c r="N886" s="39" t="str">
        <f t="array" ref="N886">_xlfn.LET(_xlpm.t,_xlfn.XLOOKUP($A886,TRIM(SUBSTITUTE('worker file'!$A$2:$A$406,_xlfn.UNICHAR(160)," ")),'worker file'!$N$2:$N$406,""),IF(N(_xlpm.t)=0,"",_xlpm.t))</f>
        <v/>
      </c>
    </row>
    <row r="887" spans="1:14" x14ac:dyDescent="0.2">
      <c r="A887" s="35" t="s">
        <v>403</v>
      </c>
      <c r="B887" s="36" t="str">
        <f t="array" ref="B887">_xlfn.XLOOKUP($A887,TRIM(SUBSTITUTE('worker file'!$A$2:$A$406,_xlfn.UNICHAR(160)," ")),'worker file'!$L$2:$L$406,"Not found")</f>
        <v>US Biweekly</v>
      </c>
      <c r="C887" s="36" t="str">
        <f t="array" ref="C887">_xlfn.XLOOKUP($A887,TRIM(SUBSTITUTE('worker file'!$A$2:$A$406,_xlfn.UNICHAR(160)," ")),'worker file'!$D$2:$D$406,"Not found")</f>
        <v>CA</v>
      </c>
      <c r="D887" s="36" t="str">
        <f t="array" ref="D887">_xlfn.XLOOKUP($A887,TRIM(SUBSTITUTE('worker file'!$A$2:$A$406,_xlfn.UNICHAR(160)," ")),'worker file'!$Q$2:$Q$406,"Not found")</f>
        <v>Active</v>
      </c>
      <c r="E887" s="35" t="s">
        <v>632</v>
      </c>
      <c r="F887" t="str">
        <f t="shared" si="100"/>
        <v>Dental – Employee</v>
      </c>
      <c r="G887" t="str">
        <f t="shared" si="101"/>
        <v>Pre-tax Section 125 (exempt from FIT/SIT/FICA)</v>
      </c>
      <c r="H887" t="str">
        <f t="shared" si="102"/>
        <v>Flat</v>
      </c>
      <c r="I887" s="40" t="str">
        <f>IF($H887="Percent",_xlfn.XLOOKUP($E887,$A$5:$A$8,$F$5:$F$8,""),"")</f>
        <v/>
      </c>
      <c r="J887" s="38">
        <f t="shared" si="103"/>
        <v>44</v>
      </c>
      <c r="K887" t="str">
        <f t="shared" si="104"/>
        <v>Per pay period</v>
      </c>
      <c r="L887" t="str">
        <f t="shared" si="105"/>
        <v>Every pay period (ongoing)</v>
      </c>
      <c r="M887" s="39">
        <f t="array" ref="M887">MAX(_xlfn.XLOOKUP($A887,TRIM(SUBSTITUTE('worker file'!$A$2:$A$406,_xlfn.UNICHAR(160)," ")),'worker file'!$M$2:$M$406,0),_xlfn.XLOOKUP($B887,TRIM('pay group &amp; schedule'!$A$2:$A$6),'pay group &amp; schedule'!$D$2:$D$6,0))</f>
        <v>46299</v>
      </c>
      <c r="N887" s="39" t="str">
        <f t="array" ref="N887">_xlfn.LET(_xlpm.t,_xlfn.XLOOKUP($A887,TRIM(SUBSTITUTE('worker file'!$A$2:$A$406,_xlfn.UNICHAR(160)," ")),'worker file'!$N$2:$N$406,""),IF(N(_xlpm.t)=0,"",_xlpm.t))</f>
        <v/>
      </c>
    </row>
    <row r="888" spans="1:14" x14ac:dyDescent="0.2">
      <c r="A888" s="35" t="s">
        <v>403</v>
      </c>
      <c r="B888" s="36" t="str">
        <f t="array" ref="B888">_xlfn.XLOOKUP($A888,TRIM(SUBSTITUTE('worker file'!$A$2:$A$406,_xlfn.UNICHAR(160)," ")),'worker file'!$L$2:$L$406,"Not found")</f>
        <v>US Biweekly</v>
      </c>
      <c r="C888" s="36" t="str">
        <f t="array" ref="C888">_xlfn.XLOOKUP($A888,TRIM(SUBSTITUTE('worker file'!$A$2:$A$406,_xlfn.UNICHAR(160)," ")),'worker file'!$D$2:$D$406,"Not found")</f>
        <v>CA</v>
      </c>
      <c r="D888" s="36" t="str">
        <f t="array" ref="D888">_xlfn.XLOOKUP($A888,TRIM(SUBSTITUTE('worker file'!$A$2:$A$406,_xlfn.UNICHAR(160)," ")),'worker file'!$Q$2:$Q$406,"Not found")</f>
        <v>Active</v>
      </c>
      <c r="E888" s="35" t="s">
        <v>634</v>
      </c>
      <c r="F888" t="str">
        <f t="shared" si="100"/>
        <v>Vision – Employee</v>
      </c>
      <c r="G888" t="str">
        <f t="shared" si="101"/>
        <v>Pre-tax Section 125 (exempt from FIT/SIT/FICA)</v>
      </c>
      <c r="H888" t="str">
        <f t="shared" si="102"/>
        <v>Flat</v>
      </c>
      <c r="I888" s="40" t="str">
        <f>IF($H888="Percent",_xlfn.XLOOKUP($E888,$A$5:$A$8,$F$5:$F$8,""),"")</f>
        <v/>
      </c>
      <c r="J888" s="38">
        <f t="shared" si="103"/>
        <v>30</v>
      </c>
      <c r="K888" t="str">
        <f t="shared" si="104"/>
        <v>Per pay period</v>
      </c>
      <c r="L888" t="str">
        <f t="shared" si="105"/>
        <v>Every pay period (ongoing)</v>
      </c>
      <c r="M888" s="39">
        <f t="array" ref="M888">MAX(_xlfn.XLOOKUP($A888,TRIM(SUBSTITUTE('worker file'!$A$2:$A$406,_xlfn.UNICHAR(160)," ")),'worker file'!$M$2:$M$406,0),_xlfn.XLOOKUP($B888,TRIM('pay group &amp; schedule'!$A$2:$A$6),'pay group &amp; schedule'!$D$2:$D$6,0))</f>
        <v>46299</v>
      </c>
      <c r="N888" s="39" t="str">
        <f t="array" ref="N888">_xlfn.LET(_xlpm.t,_xlfn.XLOOKUP($A888,TRIM(SUBSTITUTE('worker file'!$A$2:$A$406,_xlfn.UNICHAR(160)," ")),'worker file'!$N$2:$N$406,""),IF(N(_xlpm.t)=0,"",_xlpm.t))</f>
        <v/>
      </c>
    </row>
    <row r="889" spans="1:14" x14ac:dyDescent="0.2">
      <c r="A889" s="35" t="s">
        <v>405</v>
      </c>
      <c r="B889" s="36" t="str">
        <f t="array" ref="B889">_xlfn.XLOOKUP($A889,TRIM(SUBSTITUTE('worker file'!$A$2:$A$406,_xlfn.UNICHAR(160)," ")),'worker file'!$L$2:$L$406,"Not found")</f>
        <v>US Biweekly</v>
      </c>
      <c r="C889" s="36" t="str">
        <f t="array" ref="C889">_xlfn.XLOOKUP($A889,TRIM(SUBSTITUTE('worker file'!$A$2:$A$406,_xlfn.UNICHAR(160)," ")),'worker file'!$D$2:$D$406,"Not found")</f>
        <v>TX</v>
      </c>
      <c r="D889" s="36" t="str">
        <f t="array" ref="D889">_xlfn.XLOOKUP($A889,TRIM(SUBSTITUTE('worker file'!$A$2:$A$406,_xlfn.UNICHAR(160)," ")),'worker file'!$Q$2:$Q$406,"Not found")</f>
        <v>Active</v>
      </c>
      <c r="E889" s="35" t="s">
        <v>618</v>
      </c>
      <c r="F889" t="str">
        <f t="shared" si="100"/>
        <v>401(k) Employee Deferral</v>
      </c>
      <c r="G889" t="str">
        <f t="shared" si="101"/>
        <v>Pre-tax (exempt from FIT/SIT; subject to FICA)</v>
      </c>
      <c r="H889" t="str">
        <f t="shared" si="102"/>
        <v>Percent</v>
      </c>
      <c r="I889" s="37">
        <v>0</v>
      </c>
      <c r="J889" s="38" t="str">
        <f t="shared" si="103"/>
        <v/>
      </c>
      <c r="K889" t="str">
        <f t="shared" si="104"/>
        <v>Gross pay</v>
      </c>
      <c r="L889" t="str">
        <f t="shared" si="105"/>
        <v>Every pay period (ongoing)</v>
      </c>
      <c r="M889" s="39">
        <f t="array" ref="M889">MAX(_xlfn.XLOOKUP($A889,TRIM(SUBSTITUTE('worker file'!$A$2:$A$406,_xlfn.UNICHAR(160)," ")),'worker file'!$M$2:$M$406,0),_xlfn.XLOOKUP($B889,TRIM('pay group &amp; schedule'!$A$2:$A$6),'pay group &amp; schedule'!$D$2:$D$6,0))</f>
        <v>46299</v>
      </c>
      <c r="N889" s="39" t="str">
        <f t="array" ref="N889">_xlfn.LET(_xlpm.t,_xlfn.XLOOKUP($A889,TRIM(SUBSTITUTE('worker file'!$A$2:$A$406,_xlfn.UNICHAR(160)," ")),'worker file'!$N$2:$N$406,""),IF(N(_xlpm.t)=0,"",_xlpm.t))</f>
        <v/>
      </c>
    </row>
    <row r="890" spans="1:14" x14ac:dyDescent="0.2">
      <c r="A890" s="35" t="s">
        <v>405</v>
      </c>
      <c r="B890" s="36" t="str">
        <f t="array" ref="B890">_xlfn.XLOOKUP($A890,TRIM(SUBSTITUTE('worker file'!$A$2:$A$406,_xlfn.UNICHAR(160)," ")),'worker file'!$L$2:$L$406,"Not found")</f>
        <v>US Biweekly</v>
      </c>
      <c r="C890" s="36" t="str">
        <f t="array" ref="C890">_xlfn.XLOOKUP($A890,TRIM(SUBSTITUTE('worker file'!$A$2:$A$406,_xlfn.UNICHAR(160)," ")),'worker file'!$D$2:$D$406,"Not found")</f>
        <v>TX</v>
      </c>
      <c r="D890" s="36" t="str">
        <f t="array" ref="D890">_xlfn.XLOOKUP($A890,TRIM(SUBSTITUTE('worker file'!$A$2:$A$406,_xlfn.UNICHAR(160)," ")),'worker file'!$Q$2:$Q$406,"Not found")</f>
        <v>Active</v>
      </c>
      <c r="E890" s="35" t="s">
        <v>626</v>
      </c>
      <c r="F890" t="str">
        <f t="shared" si="100"/>
        <v>Medical (Health) – Employee</v>
      </c>
      <c r="G890" t="str">
        <f t="shared" si="101"/>
        <v>Pre-tax Section 125 (exempt from FIT/SIT/FICA)</v>
      </c>
      <c r="H890" t="str">
        <f t="shared" si="102"/>
        <v>Flat</v>
      </c>
      <c r="I890" s="40" t="str">
        <f>IF($H890="Percent",_xlfn.XLOOKUP($E890,$A$5:$A$8,$F$5:$F$8,""),"")</f>
        <v/>
      </c>
      <c r="J890" s="38">
        <f t="shared" si="103"/>
        <v>200</v>
      </c>
      <c r="K890" t="str">
        <f t="shared" si="104"/>
        <v>Per pay period</v>
      </c>
      <c r="L890" t="str">
        <f t="shared" si="105"/>
        <v>Every pay period (ongoing)</v>
      </c>
      <c r="M890" s="39">
        <f t="array" ref="M890">MAX(_xlfn.XLOOKUP($A890,TRIM(SUBSTITUTE('worker file'!$A$2:$A$406,_xlfn.UNICHAR(160)," ")),'worker file'!$M$2:$M$406,0),_xlfn.XLOOKUP($B890,TRIM('pay group &amp; schedule'!$A$2:$A$6),'pay group &amp; schedule'!$D$2:$D$6,0))</f>
        <v>46299</v>
      </c>
      <c r="N890" s="39" t="str">
        <f t="array" ref="N890">_xlfn.LET(_xlpm.t,_xlfn.XLOOKUP($A890,TRIM(SUBSTITUTE('worker file'!$A$2:$A$406,_xlfn.UNICHAR(160)," ")),'worker file'!$N$2:$N$406,""),IF(N(_xlpm.t)=0,"",_xlpm.t))</f>
        <v/>
      </c>
    </row>
    <row r="891" spans="1:14" x14ac:dyDescent="0.2">
      <c r="A891" s="35" t="s">
        <v>405</v>
      </c>
      <c r="B891" s="36" t="str">
        <f t="array" ref="B891">_xlfn.XLOOKUP($A891,TRIM(SUBSTITUTE('worker file'!$A$2:$A$406,_xlfn.UNICHAR(160)," ")),'worker file'!$L$2:$L$406,"Not found")</f>
        <v>US Biweekly</v>
      </c>
      <c r="C891" s="36" t="str">
        <f t="array" ref="C891">_xlfn.XLOOKUP($A891,TRIM(SUBSTITUTE('worker file'!$A$2:$A$406,_xlfn.UNICHAR(160)," ")),'worker file'!$D$2:$D$406,"Not found")</f>
        <v>TX</v>
      </c>
      <c r="D891" s="36" t="str">
        <f t="array" ref="D891">_xlfn.XLOOKUP($A891,TRIM(SUBSTITUTE('worker file'!$A$2:$A$406,_xlfn.UNICHAR(160)," ")),'worker file'!$Q$2:$Q$406,"Not found")</f>
        <v>Active</v>
      </c>
      <c r="E891" s="35" t="s">
        <v>632</v>
      </c>
      <c r="F891" t="str">
        <f t="shared" si="100"/>
        <v>Dental – Employee</v>
      </c>
      <c r="G891" t="str">
        <f t="shared" si="101"/>
        <v>Pre-tax Section 125 (exempt from FIT/SIT/FICA)</v>
      </c>
      <c r="H891" t="str">
        <f t="shared" si="102"/>
        <v>Flat</v>
      </c>
      <c r="I891" s="40" t="str">
        <f>IF($H891="Percent",_xlfn.XLOOKUP($E891,$A$5:$A$8,$F$5:$F$8,""),"")</f>
        <v/>
      </c>
      <c r="J891" s="38">
        <f t="shared" si="103"/>
        <v>44</v>
      </c>
      <c r="K891" t="str">
        <f t="shared" si="104"/>
        <v>Per pay period</v>
      </c>
      <c r="L891" t="str">
        <f t="shared" si="105"/>
        <v>Every pay period (ongoing)</v>
      </c>
      <c r="M891" s="39">
        <f t="array" ref="M891">MAX(_xlfn.XLOOKUP($A891,TRIM(SUBSTITUTE('worker file'!$A$2:$A$406,_xlfn.UNICHAR(160)," ")),'worker file'!$M$2:$M$406,0),_xlfn.XLOOKUP($B891,TRIM('pay group &amp; schedule'!$A$2:$A$6),'pay group &amp; schedule'!$D$2:$D$6,0))</f>
        <v>46299</v>
      </c>
      <c r="N891" s="39" t="str">
        <f t="array" ref="N891">_xlfn.LET(_xlpm.t,_xlfn.XLOOKUP($A891,TRIM(SUBSTITUTE('worker file'!$A$2:$A$406,_xlfn.UNICHAR(160)," ")),'worker file'!$N$2:$N$406,""),IF(N(_xlpm.t)=0,"",_xlpm.t))</f>
        <v/>
      </c>
    </row>
    <row r="892" spans="1:14" x14ac:dyDescent="0.2">
      <c r="A892" s="35" t="s">
        <v>405</v>
      </c>
      <c r="B892" s="36" t="str">
        <f t="array" ref="B892">_xlfn.XLOOKUP($A892,TRIM(SUBSTITUTE('worker file'!$A$2:$A$406,_xlfn.UNICHAR(160)," ")),'worker file'!$L$2:$L$406,"Not found")</f>
        <v>US Biweekly</v>
      </c>
      <c r="C892" s="36" t="str">
        <f t="array" ref="C892">_xlfn.XLOOKUP($A892,TRIM(SUBSTITUTE('worker file'!$A$2:$A$406,_xlfn.UNICHAR(160)," ")),'worker file'!$D$2:$D$406,"Not found")</f>
        <v>TX</v>
      </c>
      <c r="D892" s="36" t="str">
        <f t="array" ref="D892">_xlfn.XLOOKUP($A892,TRIM(SUBSTITUTE('worker file'!$A$2:$A$406,_xlfn.UNICHAR(160)," ")),'worker file'!$Q$2:$Q$406,"Not found")</f>
        <v>Active</v>
      </c>
      <c r="E892" s="35" t="s">
        <v>634</v>
      </c>
      <c r="F892" t="str">
        <f t="shared" si="100"/>
        <v>Vision – Employee</v>
      </c>
      <c r="G892" t="str">
        <f t="shared" si="101"/>
        <v>Pre-tax Section 125 (exempt from FIT/SIT/FICA)</v>
      </c>
      <c r="H892" t="str">
        <f t="shared" si="102"/>
        <v>Flat</v>
      </c>
      <c r="I892" s="40" t="str">
        <f>IF($H892="Percent",_xlfn.XLOOKUP($E892,$A$5:$A$8,$F$5:$F$8,""),"")</f>
        <v/>
      </c>
      <c r="J892" s="38">
        <f t="shared" si="103"/>
        <v>30</v>
      </c>
      <c r="K892" t="str">
        <f t="shared" si="104"/>
        <v>Per pay period</v>
      </c>
      <c r="L892" t="str">
        <f t="shared" si="105"/>
        <v>Every pay period (ongoing)</v>
      </c>
      <c r="M892" s="39">
        <f t="array" ref="M892">MAX(_xlfn.XLOOKUP($A892,TRIM(SUBSTITUTE('worker file'!$A$2:$A$406,_xlfn.UNICHAR(160)," ")),'worker file'!$M$2:$M$406,0),_xlfn.XLOOKUP($B892,TRIM('pay group &amp; schedule'!$A$2:$A$6),'pay group &amp; schedule'!$D$2:$D$6,0))</f>
        <v>46299</v>
      </c>
      <c r="N892" s="39" t="str">
        <f t="array" ref="N892">_xlfn.LET(_xlpm.t,_xlfn.XLOOKUP($A892,TRIM(SUBSTITUTE('worker file'!$A$2:$A$406,_xlfn.UNICHAR(160)," ")),'worker file'!$N$2:$N$406,""),IF(N(_xlpm.t)=0,"",_xlpm.t))</f>
        <v/>
      </c>
    </row>
    <row r="893" spans="1:14" x14ac:dyDescent="0.2">
      <c r="A893" s="35" t="s">
        <v>407</v>
      </c>
      <c r="B893" s="36" t="str">
        <f t="array" ref="B893">_xlfn.XLOOKUP($A893,TRIM(SUBSTITUTE('worker file'!$A$2:$A$406,_xlfn.UNICHAR(160)," ")),'worker file'!$L$2:$L$406,"Not found")</f>
        <v>US Semi-monthly</v>
      </c>
      <c r="C893" s="36" t="str">
        <f t="array" ref="C893">_xlfn.XLOOKUP($A893,TRIM(SUBSTITUTE('worker file'!$A$2:$A$406,_xlfn.UNICHAR(160)," ")),'worker file'!$D$2:$D$406,"Not found")</f>
        <v>MA</v>
      </c>
      <c r="D893" s="36" t="str">
        <f t="array" ref="D893">_xlfn.XLOOKUP($A893,TRIM(SUBSTITUTE('worker file'!$A$2:$A$406,_xlfn.UNICHAR(160)," ")),'worker file'!$Q$2:$Q$406,"Not found")</f>
        <v>Active</v>
      </c>
      <c r="E893" s="35" t="s">
        <v>618</v>
      </c>
      <c r="F893" t="str">
        <f t="shared" si="100"/>
        <v>401(k) Employee Deferral</v>
      </c>
      <c r="G893" t="str">
        <f t="shared" si="101"/>
        <v>Pre-tax (exempt from FIT/SIT; subject to FICA)</v>
      </c>
      <c r="H893" t="str">
        <f t="shared" si="102"/>
        <v>Percent</v>
      </c>
      <c r="I893" s="37">
        <v>0.05</v>
      </c>
      <c r="J893" s="38" t="str">
        <f t="shared" si="103"/>
        <v/>
      </c>
      <c r="K893" t="str">
        <f t="shared" si="104"/>
        <v>Gross pay</v>
      </c>
      <c r="L893" t="str">
        <f t="shared" si="105"/>
        <v>Every pay period (ongoing)</v>
      </c>
      <c r="M893" s="39">
        <f t="array" ref="M893">MAX(_xlfn.XLOOKUP($A893,TRIM(SUBSTITUTE('worker file'!$A$2:$A$406,_xlfn.UNICHAR(160)," ")),'worker file'!$M$2:$M$406,0),_xlfn.XLOOKUP($B893,TRIM('pay group &amp; schedule'!$A$2:$A$6),'pay group &amp; schedule'!$D$2:$D$6,0))</f>
        <v>46311</v>
      </c>
      <c r="N893" s="39" t="str">
        <f t="array" ref="N893">_xlfn.LET(_xlpm.t,_xlfn.XLOOKUP($A893,TRIM(SUBSTITUTE('worker file'!$A$2:$A$406,_xlfn.UNICHAR(160)," ")),'worker file'!$N$2:$N$406,""),IF(N(_xlpm.t)=0,"",_xlpm.t))</f>
        <v/>
      </c>
    </row>
    <row r="894" spans="1:14" x14ac:dyDescent="0.2">
      <c r="A894" s="35" t="s">
        <v>407</v>
      </c>
      <c r="B894" s="36" t="str">
        <f t="array" ref="B894">_xlfn.XLOOKUP($A894,TRIM(SUBSTITUTE('worker file'!$A$2:$A$406,_xlfn.UNICHAR(160)," ")),'worker file'!$L$2:$L$406,"Not found")</f>
        <v>US Semi-monthly</v>
      </c>
      <c r="C894" s="36" t="str">
        <f t="array" ref="C894">_xlfn.XLOOKUP($A894,TRIM(SUBSTITUTE('worker file'!$A$2:$A$406,_xlfn.UNICHAR(160)," ")),'worker file'!$D$2:$D$406,"Not found")</f>
        <v>MA</v>
      </c>
      <c r="D894" s="36" t="str">
        <f t="array" ref="D894">_xlfn.XLOOKUP($A894,TRIM(SUBSTITUTE('worker file'!$A$2:$A$406,_xlfn.UNICHAR(160)," ")),'worker file'!$Q$2:$Q$406,"Not found")</f>
        <v>Active</v>
      </c>
      <c r="E894" s="35" t="s">
        <v>626</v>
      </c>
      <c r="F894" t="str">
        <f t="shared" si="100"/>
        <v>Medical (Health) – Employee</v>
      </c>
      <c r="G894" t="str">
        <f t="shared" si="101"/>
        <v>Pre-tax Section 125 (exempt from FIT/SIT/FICA)</v>
      </c>
      <c r="H894" t="str">
        <f t="shared" si="102"/>
        <v>Flat</v>
      </c>
      <c r="I894" s="40" t="str">
        <f>IF($H894="Percent",_xlfn.XLOOKUP($E894,$A$5:$A$8,$F$5:$F$8,""),"")</f>
        <v/>
      </c>
      <c r="J894" s="38">
        <f t="shared" si="103"/>
        <v>200</v>
      </c>
      <c r="K894" t="str">
        <f t="shared" si="104"/>
        <v>Per pay period</v>
      </c>
      <c r="L894" t="str">
        <f t="shared" si="105"/>
        <v>Every pay period (ongoing)</v>
      </c>
      <c r="M894" s="39">
        <f t="array" ref="M894">MAX(_xlfn.XLOOKUP($A894,TRIM(SUBSTITUTE('worker file'!$A$2:$A$406,_xlfn.UNICHAR(160)," ")),'worker file'!$M$2:$M$406,0),_xlfn.XLOOKUP($B894,TRIM('pay group &amp; schedule'!$A$2:$A$6),'pay group &amp; schedule'!$D$2:$D$6,0))</f>
        <v>46311</v>
      </c>
      <c r="N894" s="39" t="str">
        <f t="array" ref="N894">_xlfn.LET(_xlpm.t,_xlfn.XLOOKUP($A894,TRIM(SUBSTITUTE('worker file'!$A$2:$A$406,_xlfn.UNICHAR(160)," ")),'worker file'!$N$2:$N$406,""),IF(N(_xlpm.t)=0,"",_xlpm.t))</f>
        <v/>
      </c>
    </row>
    <row r="895" spans="1:14" x14ac:dyDescent="0.2">
      <c r="A895" s="35" t="s">
        <v>407</v>
      </c>
      <c r="B895" s="36" t="str">
        <f t="array" ref="B895">_xlfn.XLOOKUP($A895,TRIM(SUBSTITUTE('worker file'!$A$2:$A$406,_xlfn.UNICHAR(160)," ")),'worker file'!$L$2:$L$406,"Not found")</f>
        <v>US Semi-monthly</v>
      </c>
      <c r="C895" s="36" t="str">
        <f t="array" ref="C895">_xlfn.XLOOKUP($A895,TRIM(SUBSTITUTE('worker file'!$A$2:$A$406,_xlfn.UNICHAR(160)," ")),'worker file'!$D$2:$D$406,"Not found")</f>
        <v>MA</v>
      </c>
      <c r="D895" s="36" t="str">
        <f t="array" ref="D895">_xlfn.XLOOKUP($A895,TRIM(SUBSTITUTE('worker file'!$A$2:$A$406,_xlfn.UNICHAR(160)," ")),'worker file'!$Q$2:$Q$406,"Not found")</f>
        <v>Active</v>
      </c>
      <c r="E895" s="35" t="s">
        <v>632</v>
      </c>
      <c r="F895" t="str">
        <f t="shared" si="100"/>
        <v>Dental – Employee</v>
      </c>
      <c r="G895" t="str">
        <f t="shared" si="101"/>
        <v>Pre-tax Section 125 (exempt from FIT/SIT/FICA)</v>
      </c>
      <c r="H895" t="str">
        <f t="shared" si="102"/>
        <v>Flat</v>
      </c>
      <c r="I895" s="40" t="str">
        <f>IF($H895="Percent",_xlfn.XLOOKUP($E895,$A$5:$A$8,$F$5:$F$8,""),"")</f>
        <v/>
      </c>
      <c r="J895" s="38">
        <f t="shared" si="103"/>
        <v>44</v>
      </c>
      <c r="K895" t="str">
        <f t="shared" si="104"/>
        <v>Per pay period</v>
      </c>
      <c r="L895" t="str">
        <f t="shared" si="105"/>
        <v>Every pay period (ongoing)</v>
      </c>
      <c r="M895" s="39">
        <f t="array" ref="M895">MAX(_xlfn.XLOOKUP($A895,TRIM(SUBSTITUTE('worker file'!$A$2:$A$406,_xlfn.UNICHAR(160)," ")),'worker file'!$M$2:$M$406,0),_xlfn.XLOOKUP($B895,TRIM('pay group &amp; schedule'!$A$2:$A$6),'pay group &amp; schedule'!$D$2:$D$6,0))</f>
        <v>46311</v>
      </c>
      <c r="N895" s="39" t="str">
        <f t="array" ref="N895">_xlfn.LET(_xlpm.t,_xlfn.XLOOKUP($A895,TRIM(SUBSTITUTE('worker file'!$A$2:$A$406,_xlfn.UNICHAR(160)," ")),'worker file'!$N$2:$N$406,""),IF(N(_xlpm.t)=0,"",_xlpm.t))</f>
        <v/>
      </c>
    </row>
    <row r="896" spans="1:14" x14ac:dyDescent="0.2">
      <c r="A896" s="35" t="s">
        <v>407</v>
      </c>
      <c r="B896" s="36" t="str">
        <f t="array" ref="B896">_xlfn.XLOOKUP($A896,TRIM(SUBSTITUTE('worker file'!$A$2:$A$406,_xlfn.UNICHAR(160)," ")),'worker file'!$L$2:$L$406,"Not found")</f>
        <v>US Semi-monthly</v>
      </c>
      <c r="C896" s="36" t="str">
        <f t="array" ref="C896">_xlfn.XLOOKUP($A896,TRIM(SUBSTITUTE('worker file'!$A$2:$A$406,_xlfn.UNICHAR(160)," ")),'worker file'!$D$2:$D$406,"Not found")</f>
        <v>MA</v>
      </c>
      <c r="D896" s="36" t="str">
        <f t="array" ref="D896">_xlfn.XLOOKUP($A896,TRIM(SUBSTITUTE('worker file'!$A$2:$A$406,_xlfn.UNICHAR(160)," ")),'worker file'!$Q$2:$Q$406,"Not found")</f>
        <v>Active</v>
      </c>
      <c r="E896" s="35" t="s">
        <v>634</v>
      </c>
      <c r="F896" t="str">
        <f t="shared" si="100"/>
        <v>Vision – Employee</v>
      </c>
      <c r="G896" t="str">
        <f t="shared" si="101"/>
        <v>Pre-tax Section 125 (exempt from FIT/SIT/FICA)</v>
      </c>
      <c r="H896" t="str">
        <f t="shared" si="102"/>
        <v>Flat</v>
      </c>
      <c r="I896" s="40" t="str">
        <f>IF($H896="Percent",_xlfn.XLOOKUP($E896,$A$5:$A$8,$F$5:$F$8,""),"")</f>
        <v/>
      </c>
      <c r="J896" s="38">
        <f t="shared" si="103"/>
        <v>30</v>
      </c>
      <c r="K896" t="str">
        <f t="shared" si="104"/>
        <v>Per pay period</v>
      </c>
      <c r="L896" t="str">
        <f t="shared" si="105"/>
        <v>Every pay period (ongoing)</v>
      </c>
      <c r="M896" s="39">
        <f t="array" ref="M896">MAX(_xlfn.XLOOKUP($A896,TRIM(SUBSTITUTE('worker file'!$A$2:$A$406,_xlfn.UNICHAR(160)," ")),'worker file'!$M$2:$M$406,0),_xlfn.XLOOKUP($B896,TRIM('pay group &amp; schedule'!$A$2:$A$6),'pay group &amp; schedule'!$D$2:$D$6,0))</f>
        <v>46311</v>
      </c>
      <c r="N896" s="39" t="str">
        <f t="array" ref="N896">_xlfn.LET(_xlpm.t,_xlfn.XLOOKUP($A896,TRIM(SUBSTITUTE('worker file'!$A$2:$A$406,_xlfn.UNICHAR(160)," ")),'worker file'!$N$2:$N$406,""),IF(N(_xlpm.t)=0,"",_xlpm.t))</f>
        <v/>
      </c>
    </row>
    <row r="897" spans="1:15" x14ac:dyDescent="0.2">
      <c r="A897" s="35" t="s">
        <v>408</v>
      </c>
      <c r="B897" s="36" t="str">
        <f t="array" ref="B897">_xlfn.XLOOKUP($A897,TRIM(SUBSTITUTE('worker file'!$A$2:$A$406,_xlfn.UNICHAR(160)," ")),'worker file'!$L$2:$L$406,"Not found")</f>
        <v>US Semi-monthly</v>
      </c>
      <c r="C897" s="36" t="str">
        <f t="array" ref="C897">_xlfn.XLOOKUP($A897,TRIM(SUBSTITUTE('worker file'!$A$2:$A$406,_xlfn.UNICHAR(160)," ")),'worker file'!$D$2:$D$406,"Not found")</f>
        <v>WA</v>
      </c>
      <c r="D897" s="36" t="str">
        <f t="array" ref="D897">_xlfn.XLOOKUP($A897,TRIM(SUBSTITUTE('worker file'!$A$2:$A$406,_xlfn.UNICHAR(160)," ")),'worker file'!$Q$2:$Q$406,"Not found")</f>
        <v>Active</v>
      </c>
      <c r="E897" s="35" t="s">
        <v>618</v>
      </c>
      <c r="F897" t="str">
        <f t="shared" si="100"/>
        <v>401(k) Employee Deferral</v>
      </c>
      <c r="G897" t="str">
        <f t="shared" si="101"/>
        <v>Pre-tax (exempt from FIT/SIT; subject to FICA)</v>
      </c>
      <c r="H897" t="str">
        <f t="shared" si="102"/>
        <v>Percent</v>
      </c>
      <c r="I897" s="37">
        <v>0.02</v>
      </c>
      <c r="J897" s="38" t="str">
        <f t="shared" si="103"/>
        <v/>
      </c>
      <c r="K897" t="str">
        <f t="shared" si="104"/>
        <v>Gross pay</v>
      </c>
      <c r="L897" t="str">
        <f t="shared" si="105"/>
        <v>Every pay period (ongoing)</v>
      </c>
      <c r="M897" s="39">
        <f t="array" ref="M897">MAX(_xlfn.XLOOKUP($A897,TRIM(SUBSTITUTE('worker file'!$A$2:$A$406,_xlfn.UNICHAR(160)," ")),'worker file'!$M$2:$M$406,0),_xlfn.XLOOKUP($B897,TRIM('pay group &amp; schedule'!$A$2:$A$6),'pay group &amp; schedule'!$D$2:$D$6,0))</f>
        <v>46311</v>
      </c>
      <c r="N897" s="39" t="str">
        <f t="array" ref="N897">_xlfn.LET(_xlpm.t,_xlfn.XLOOKUP($A897,TRIM(SUBSTITUTE('worker file'!$A$2:$A$406,_xlfn.UNICHAR(160)," ")),'worker file'!$N$2:$N$406,""),IF(N(_xlpm.t)=0,"",_xlpm.t))</f>
        <v/>
      </c>
    </row>
    <row r="898" spans="1:15" x14ac:dyDescent="0.2">
      <c r="A898" s="35" t="s">
        <v>408</v>
      </c>
      <c r="B898" s="36" t="str">
        <f t="array" ref="B898">_xlfn.XLOOKUP($A898,TRIM(SUBSTITUTE('worker file'!$A$2:$A$406,_xlfn.UNICHAR(160)," ")),'worker file'!$L$2:$L$406,"Not found")</f>
        <v>US Semi-monthly</v>
      </c>
      <c r="C898" s="36" t="str">
        <f t="array" ref="C898">_xlfn.XLOOKUP($A898,TRIM(SUBSTITUTE('worker file'!$A$2:$A$406,_xlfn.UNICHAR(160)," ")),'worker file'!$D$2:$D$406,"Not found")</f>
        <v>WA</v>
      </c>
      <c r="D898" s="36" t="str">
        <f t="array" ref="D898">_xlfn.XLOOKUP($A898,TRIM(SUBSTITUTE('worker file'!$A$2:$A$406,_xlfn.UNICHAR(160)," ")),'worker file'!$Q$2:$Q$406,"Not found")</f>
        <v>Active</v>
      </c>
      <c r="E898" s="35" t="s">
        <v>626</v>
      </c>
      <c r="F898" t="str">
        <f t="shared" si="100"/>
        <v>Medical (Health) – Employee</v>
      </c>
      <c r="G898" t="str">
        <f t="shared" si="101"/>
        <v>Pre-tax Section 125 (exempt from FIT/SIT/FICA)</v>
      </c>
      <c r="H898" t="str">
        <f t="shared" si="102"/>
        <v>Flat</v>
      </c>
      <c r="I898" s="40" t="str">
        <f>IF($H898="Percent",_xlfn.XLOOKUP($E898,$A$5:$A$8,$F$5:$F$8,""),"")</f>
        <v/>
      </c>
      <c r="J898" s="38">
        <f t="shared" si="103"/>
        <v>200</v>
      </c>
      <c r="K898" t="str">
        <f t="shared" si="104"/>
        <v>Per pay period</v>
      </c>
      <c r="L898" t="str">
        <f t="shared" si="105"/>
        <v>Every pay period (ongoing)</v>
      </c>
      <c r="M898" s="39">
        <f t="array" ref="M898">MAX(_xlfn.XLOOKUP($A898,TRIM(SUBSTITUTE('worker file'!$A$2:$A$406,_xlfn.UNICHAR(160)," ")),'worker file'!$M$2:$M$406,0),_xlfn.XLOOKUP($B898,TRIM('pay group &amp; schedule'!$A$2:$A$6),'pay group &amp; schedule'!$D$2:$D$6,0))</f>
        <v>46311</v>
      </c>
      <c r="N898" s="39" t="str">
        <f t="array" ref="N898">_xlfn.LET(_xlpm.t,_xlfn.XLOOKUP($A898,TRIM(SUBSTITUTE('worker file'!$A$2:$A$406,_xlfn.UNICHAR(160)," ")),'worker file'!$N$2:$N$406,""),IF(N(_xlpm.t)=0,"",_xlpm.t))</f>
        <v/>
      </c>
    </row>
    <row r="899" spans="1:15" x14ac:dyDescent="0.2">
      <c r="A899" s="35" t="s">
        <v>408</v>
      </c>
      <c r="B899" s="36" t="str">
        <f t="array" ref="B899">_xlfn.XLOOKUP($A899,TRIM(SUBSTITUTE('worker file'!$A$2:$A$406,_xlfn.UNICHAR(160)," ")),'worker file'!$L$2:$L$406,"Not found")</f>
        <v>US Semi-monthly</v>
      </c>
      <c r="C899" s="36" t="str">
        <f t="array" ref="C899">_xlfn.XLOOKUP($A899,TRIM(SUBSTITUTE('worker file'!$A$2:$A$406,_xlfn.UNICHAR(160)," ")),'worker file'!$D$2:$D$406,"Not found")</f>
        <v>WA</v>
      </c>
      <c r="D899" s="36" t="str">
        <f t="array" ref="D899">_xlfn.XLOOKUP($A899,TRIM(SUBSTITUTE('worker file'!$A$2:$A$406,_xlfn.UNICHAR(160)," ")),'worker file'!$Q$2:$Q$406,"Not found")</f>
        <v>Active</v>
      </c>
      <c r="E899" s="35" t="s">
        <v>632</v>
      </c>
      <c r="F899" t="str">
        <f t="shared" si="100"/>
        <v>Dental – Employee</v>
      </c>
      <c r="G899" t="str">
        <f t="shared" si="101"/>
        <v>Pre-tax Section 125 (exempt from FIT/SIT/FICA)</v>
      </c>
      <c r="H899" t="str">
        <f t="shared" si="102"/>
        <v>Flat</v>
      </c>
      <c r="I899" s="40" t="str">
        <f>IF($H899="Percent",_xlfn.XLOOKUP($E899,$A$5:$A$8,$F$5:$F$8,""),"")</f>
        <v/>
      </c>
      <c r="J899" s="38">
        <f t="shared" si="103"/>
        <v>44</v>
      </c>
      <c r="K899" t="str">
        <f t="shared" si="104"/>
        <v>Per pay period</v>
      </c>
      <c r="L899" t="str">
        <f t="shared" si="105"/>
        <v>Every pay period (ongoing)</v>
      </c>
      <c r="M899" s="39">
        <f t="array" ref="M899">MAX(_xlfn.XLOOKUP($A899,TRIM(SUBSTITUTE('worker file'!$A$2:$A$406,_xlfn.UNICHAR(160)," ")),'worker file'!$M$2:$M$406,0),_xlfn.XLOOKUP($B899,TRIM('pay group &amp; schedule'!$A$2:$A$6),'pay group &amp; schedule'!$D$2:$D$6,0))</f>
        <v>46311</v>
      </c>
      <c r="N899" s="39" t="str">
        <f t="array" ref="N899">_xlfn.LET(_xlpm.t,_xlfn.XLOOKUP($A899,TRIM(SUBSTITUTE('worker file'!$A$2:$A$406,_xlfn.UNICHAR(160)," ")),'worker file'!$N$2:$N$406,""),IF(N(_xlpm.t)=0,"",_xlpm.t))</f>
        <v/>
      </c>
    </row>
    <row r="900" spans="1:15" x14ac:dyDescent="0.2">
      <c r="A900" s="35" t="s">
        <v>408</v>
      </c>
      <c r="B900" s="36" t="str">
        <f t="array" ref="B900">_xlfn.XLOOKUP($A900,TRIM(SUBSTITUTE('worker file'!$A$2:$A$406,_xlfn.UNICHAR(160)," ")),'worker file'!$L$2:$L$406,"Not found")</f>
        <v>US Semi-monthly</v>
      </c>
      <c r="C900" s="36" t="str">
        <f t="array" ref="C900">_xlfn.XLOOKUP($A900,TRIM(SUBSTITUTE('worker file'!$A$2:$A$406,_xlfn.UNICHAR(160)," ")),'worker file'!$D$2:$D$406,"Not found")</f>
        <v>WA</v>
      </c>
      <c r="D900" s="36" t="str">
        <f t="array" ref="D900">_xlfn.XLOOKUP($A900,TRIM(SUBSTITUTE('worker file'!$A$2:$A$406,_xlfn.UNICHAR(160)," ")),'worker file'!$Q$2:$Q$406,"Not found")</f>
        <v>Active</v>
      </c>
      <c r="E900" s="35" t="s">
        <v>634</v>
      </c>
      <c r="F900" t="str">
        <f t="shared" si="100"/>
        <v>Vision – Employee</v>
      </c>
      <c r="G900" t="str">
        <f t="shared" si="101"/>
        <v>Pre-tax Section 125 (exempt from FIT/SIT/FICA)</v>
      </c>
      <c r="H900" t="str">
        <f t="shared" si="102"/>
        <v>Flat</v>
      </c>
      <c r="I900" s="40" t="str">
        <f>IF($H900="Percent",_xlfn.XLOOKUP($E900,$A$5:$A$8,$F$5:$F$8,""),"")</f>
        <v/>
      </c>
      <c r="J900" s="38">
        <f t="shared" si="103"/>
        <v>30</v>
      </c>
      <c r="K900" t="str">
        <f t="shared" si="104"/>
        <v>Per pay period</v>
      </c>
      <c r="L900" t="str">
        <f t="shared" si="105"/>
        <v>Every pay period (ongoing)</v>
      </c>
      <c r="M900" s="39">
        <f t="array" ref="M900">MAX(_xlfn.XLOOKUP($A900,TRIM(SUBSTITUTE('worker file'!$A$2:$A$406,_xlfn.UNICHAR(160)," ")),'worker file'!$M$2:$M$406,0),_xlfn.XLOOKUP($B900,TRIM('pay group &amp; schedule'!$A$2:$A$6),'pay group &amp; schedule'!$D$2:$D$6,0))</f>
        <v>46311</v>
      </c>
      <c r="N900" s="39" t="str">
        <f t="array" ref="N900">_xlfn.LET(_xlpm.t,_xlfn.XLOOKUP($A900,TRIM(SUBSTITUTE('worker file'!$A$2:$A$406,_xlfn.UNICHAR(160)," ")),'worker file'!$N$2:$N$406,""),IF(N(_xlpm.t)=0,"",_xlpm.t))</f>
        <v/>
      </c>
    </row>
    <row r="901" spans="1:15" x14ac:dyDescent="0.2">
      <c r="A901" s="35" t="s">
        <v>409</v>
      </c>
      <c r="B901" s="36" t="str">
        <f t="array" ref="B901">_xlfn.XLOOKUP($A901,TRIM(SUBSTITUTE('worker file'!$A$2:$A$406,_xlfn.UNICHAR(160)," ")),'worker file'!$L$2:$L$406,"Not found")</f>
        <v>US Semi-monthly</v>
      </c>
      <c r="C901" s="36" t="str">
        <f t="array" ref="C901">_xlfn.XLOOKUP($A901,TRIM(SUBSTITUTE('worker file'!$A$2:$A$406,_xlfn.UNICHAR(160)," ")),'worker file'!$D$2:$D$406,"Not found")</f>
        <v>CA</v>
      </c>
      <c r="D901" s="36" t="str">
        <f t="array" ref="D901">_xlfn.XLOOKUP($A901,TRIM(SUBSTITUTE('worker file'!$A$2:$A$406,_xlfn.UNICHAR(160)," ")),'worker file'!$Q$2:$Q$406,"Not found")</f>
        <v>On Leave(unpaid)</v>
      </c>
      <c r="E901" s="35" t="s">
        <v>618</v>
      </c>
      <c r="F901" t="str">
        <f t="shared" si="100"/>
        <v>401(k) Employee Deferral</v>
      </c>
      <c r="G901" t="str">
        <f t="shared" si="101"/>
        <v>Pre-tax (exempt from FIT/SIT; subject to FICA)</v>
      </c>
      <c r="H901" t="str">
        <f t="shared" si="102"/>
        <v>Percent</v>
      </c>
      <c r="I901" s="37">
        <v>7.0000000000000007E-2</v>
      </c>
      <c r="J901" s="38" t="str">
        <f t="shared" si="103"/>
        <v/>
      </c>
      <c r="K901" t="str">
        <f t="shared" si="104"/>
        <v>Gross pay</v>
      </c>
      <c r="L901" t="str">
        <f t="shared" si="105"/>
        <v>Every pay period (ongoing)</v>
      </c>
      <c r="M901" s="39">
        <f t="array" ref="M901">MAX(_xlfn.XLOOKUP($A901,TRIM(SUBSTITUTE('worker file'!$A$2:$A$406,_xlfn.UNICHAR(160)," ")),'worker file'!$M$2:$M$406,0),_xlfn.XLOOKUP($B901,TRIM('pay group &amp; schedule'!$A$2:$A$6),'pay group &amp; schedule'!$D$2:$D$6,0))</f>
        <v>46311</v>
      </c>
      <c r="N901" s="39" t="str">
        <f t="array" ref="N901">_xlfn.LET(_xlpm.t,_xlfn.XLOOKUP($A901,TRIM(SUBSTITUTE('worker file'!$A$2:$A$406,_xlfn.UNICHAR(160)," ")),'worker file'!$N$2:$N$406,""),IF(N(_xlpm.t)=0,"",_xlpm.t))</f>
        <v/>
      </c>
      <c r="O901" t="s">
        <v>646</v>
      </c>
    </row>
    <row r="902" spans="1:15" x14ac:dyDescent="0.2">
      <c r="A902" s="35" t="s">
        <v>409</v>
      </c>
      <c r="B902" s="36" t="str">
        <f t="array" ref="B902">_xlfn.XLOOKUP($A902,TRIM(SUBSTITUTE('worker file'!$A$2:$A$406,_xlfn.UNICHAR(160)," ")),'worker file'!$L$2:$L$406,"Not found")</f>
        <v>US Semi-monthly</v>
      </c>
      <c r="C902" s="36" t="str">
        <f t="array" ref="C902">_xlfn.XLOOKUP($A902,TRIM(SUBSTITUTE('worker file'!$A$2:$A$406,_xlfn.UNICHAR(160)," ")),'worker file'!$D$2:$D$406,"Not found")</f>
        <v>CA</v>
      </c>
      <c r="D902" s="36" t="str">
        <f t="array" ref="D902">_xlfn.XLOOKUP($A902,TRIM(SUBSTITUTE('worker file'!$A$2:$A$406,_xlfn.UNICHAR(160)," ")),'worker file'!$Q$2:$Q$406,"Not found")</f>
        <v>On Leave(unpaid)</v>
      </c>
      <c r="E902" s="35" t="s">
        <v>626</v>
      </c>
      <c r="F902" t="str">
        <f t="shared" si="100"/>
        <v>Medical (Health) – Employee</v>
      </c>
      <c r="G902" t="str">
        <f t="shared" si="101"/>
        <v>Pre-tax Section 125 (exempt from FIT/SIT/FICA)</v>
      </c>
      <c r="H902" t="str">
        <f t="shared" si="102"/>
        <v>Flat</v>
      </c>
      <c r="I902" s="40" t="str">
        <f>IF($H902="Percent",_xlfn.XLOOKUP($E902,$A$5:$A$8,$F$5:$F$8,""),"")</f>
        <v/>
      </c>
      <c r="J902" s="38">
        <f t="shared" si="103"/>
        <v>200</v>
      </c>
      <c r="K902" t="str">
        <f t="shared" si="104"/>
        <v>Per pay period</v>
      </c>
      <c r="L902" t="str">
        <f t="shared" si="105"/>
        <v>Every pay period (ongoing)</v>
      </c>
      <c r="M902" s="39">
        <f t="array" ref="M902">MAX(_xlfn.XLOOKUP($A902,TRIM(SUBSTITUTE('worker file'!$A$2:$A$406,_xlfn.UNICHAR(160)," ")),'worker file'!$M$2:$M$406,0),_xlfn.XLOOKUP($B902,TRIM('pay group &amp; schedule'!$A$2:$A$6),'pay group &amp; schedule'!$D$2:$D$6,0))</f>
        <v>46311</v>
      </c>
      <c r="N902" s="39" t="str">
        <f t="array" ref="N902">_xlfn.LET(_xlpm.t,_xlfn.XLOOKUP($A902,TRIM(SUBSTITUTE('worker file'!$A$2:$A$406,_xlfn.UNICHAR(160)," ")),'worker file'!$N$2:$N$406,""),IF(N(_xlpm.t)=0,"",_xlpm.t))</f>
        <v/>
      </c>
      <c r="O902" t="s">
        <v>646</v>
      </c>
    </row>
    <row r="903" spans="1:15" x14ac:dyDescent="0.2">
      <c r="A903" s="35" t="s">
        <v>409</v>
      </c>
      <c r="B903" s="36" t="str">
        <f t="array" ref="B903">_xlfn.XLOOKUP($A903,TRIM(SUBSTITUTE('worker file'!$A$2:$A$406,_xlfn.UNICHAR(160)," ")),'worker file'!$L$2:$L$406,"Not found")</f>
        <v>US Semi-monthly</v>
      </c>
      <c r="C903" s="36" t="str">
        <f t="array" ref="C903">_xlfn.XLOOKUP($A903,TRIM(SUBSTITUTE('worker file'!$A$2:$A$406,_xlfn.UNICHAR(160)," ")),'worker file'!$D$2:$D$406,"Not found")</f>
        <v>CA</v>
      </c>
      <c r="D903" s="36" t="str">
        <f t="array" ref="D903">_xlfn.XLOOKUP($A903,TRIM(SUBSTITUTE('worker file'!$A$2:$A$406,_xlfn.UNICHAR(160)," ")),'worker file'!$Q$2:$Q$406,"Not found")</f>
        <v>On Leave(unpaid)</v>
      </c>
      <c r="E903" s="35" t="s">
        <v>632</v>
      </c>
      <c r="F903" t="str">
        <f t="shared" si="100"/>
        <v>Dental – Employee</v>
      </c>
      <c r="G903" t="str">
        <f t="shared" si="101"/>
        <v>Pre-tax Section 125 (exempt from FIT/SIT/FICA)</v>
      </c>
      <c r="H903" t="str">
        <f t="shared" si="102"/>
        <v>Flat</v>
      </c>
      <c r="I903" s="40" t="str">
        <f>IF($H903="Percent",_xlfn.XLOOKUP($E903,$A$5:$A$8,$F$5:$F$8,""),"")</f>
        <v/>
      </c>
      <c r="J903" s="38">
        <f t="shared" si="103"/>
        <v>44</v>
      </c>
      <c r="K903" t="str">
        <f t="shared" si="104"/>
        <v>Per pay period</v>
      </c>
      <c r="L903" t="str">
        <f t="shared" si="105"/>
        <v>Every pay period (ongoing)</v>
      </c>
      <c r="M903" s="39">
        <f t="array" ref="M903">MAX(_xlfn.XLOOKUP($A903,TRIM(SUBSTITUTE('worker file'!$A$2:$A$406,_xlfn.UNICHAR(160)," ")),'worker file'!$M$2:$M$406,0),_xlfn.XLOOKUP($B903,TRIM('pay group &amp; schedule'!$A$2:$A$6),'pay group &amp; schedule'!$D$2:$D$6,0))</f>
        <v>46311</v>
      </c>
      <c r="N903" s="39" t="str">
        <f t="array" ref="N903">_xlfn.LET(_xlpm.t,_xlfn.XLOOKUP($A903,TRIM(SUBSTITUTE('worker file'!$A$2:$A$406,_xlfn.UNICHAR(160)," ")),'worker file'!$N$2:$N$406,""),IF(N(_xlpm.t)=0,"",_xlpm.t))</f>
        <v/>
      </c>
      <c r="O903" t="s">
        <v>646</v>
      </c>
    </row>
    <row r="904" spans="1:15" x14ac:dyDescent="0.2">
      <c r="A904" s="35" t="s">
        <v>409</v>
      </c>
      <c r="B904" s="36" t="str">
        <f t="array" ref="B904">_xlfn.XLOOKUP($A904,TRIM(SUBSTITUTE('worker file'!$A$2:$A$406,_xlfn.UNICHAR(160)," ")),'worker file'!$L$2:$L$406,"Not found")</f>
        <v>US Semi-monthly</v>
      </c>
      <c r="C904" s="36" t="str">
        <f t="array" ref="C904">_xlfn.XLOOKUP($A904,TRIM(SUBSTITUTE('worker file'!$A$2:$A$406,_xlfn.UNICHAR(160)," ")),'worker file'!$D$2:$D$406,"Not found")</f>
        <v>CA</v>
      </c>
      <c r="D904" s="36" t="str">
        <f t="array" ref="D904">_xlfn.XLOOKUP($A904,TRIM(SUBSTITUTE('worker file'!$A$2:$A$406,_xlfn.UNICHAR(160)," ")),'worker file'!$Q$2:$Q$406,"Not found")</f>
        <v>On Leave(unpaid)</v>
      </c>
      <c r="E904" s="35" t="s">
        <v>634</v>
      </c>
      <c r="F904" t="str">
        <f t="shared" si="100"/>
        <v>Vision – Employee</v>
      </c>
      <c r="G904" t="str">
        <f t="shared" si="101"/>
        <v>Pre-tax Section 125 (exempt from FIT/SIT/FICA)</v>
      </c>
      <c r="H904" t="str">
        <f t="shared" si="102"/>
        <v>Flat</v>
      </c>
      <c r="I904" s="40" t="str">
        <f>IF($H904="Percent",_xlfn.XLOOKUP($E904,$A$5:$A$8,$F$5:$F$8,""),"")</f>
        <v/>
      </c>
      <c r="J904" s="38">
        <f t="shared" si="103"/>
        <v>30</v>
      </c>
      <c r="K904" t="str">
        <f t="shared" si="104"/>
        <v>Per pay period</v>
      </c>
      <c r="L904" t="str">
        <f t="shared" si="105"/>
        <v>Every pay period (ongoing)</v>
      </c>
      <c r="M904" s="39">
        <f t="array" ref="M904">MAX(_xlfn.XLOOKUP($A904,TRIM(SUBSTITUTE('worker file'!$A$2:$A$406,_xlfn.UNICHAR(160)," ")),'worker file'!$M$2:$M$406,0),_xlfn.XLOOKUP($B904,TRIM('pay group &amp; schedule'!$A$2:$A$6),'pay group &amp; schedule'!$D$2:$D$6,0))</f>
        <v>46311</v>
      </c>
      <c r="N904" s="39" t="str">
        <f t="array" ref="N904">_xlfn.LET(_xlpm.t,_xlfn.XLOOKUP($A904,TRIM(SUBSTITUTE('worker file'!$A$2:$A$406,_xlfn.UNICHAR(160)," ")),'worker file'!$N$2:$N$406,""),IF(N(_xlpm.t)=0,"",_xlpm.t))</f>
        <v/>
      </c>
      <c r="O904" t="s">
        <v>646</v>
      </c>
    </row>
    <row r="905" spans="1:15" x14ac:dyDescent="0.2">
      <c r="A905" s="35" t="s">
        <v>410</v>
      </c>
      <c r="B905" s="36" t="str">
        <f t="array" ref="B905">_xlfn.XLOOKUP($A905,TRIM(SUBSTITUTE('worker file'!$A$2:$A$406,_xlfn.UNICHAR(160)," ")),'worker file'!$L$2:$L$406,"Not found")</f>
        <v>US Semi-monthly</v>
      </c>
      <c r="C905" s="36" t="str">
        <f t="array" ref="C905">_xlfn.XLOOKUP($A905,TRIM(SUBSTITUTE('worker file'!$A$2:$A$406,_xlfn.UNICHAR(160)," ")),'worker file'!$D$2:$D$406,"Not found")</f>
        <v>IL</v>
      </c>
      <c r="D905" s="36" t="str">
        <f t="array" ref="D905">_xlfn.XLOOKUP($A905,TRIM(SUBSTITUTE('worker file'!$A$2:$A$406,_xlfn.UNICHAR(160)," ")),'worker file'!$Q$2:$Q$406,"Not found")</f>
        <v>Active</v>
      </c>
      <c r="E905" s="35" t="s">
        <v>618</v>
      </c>
      <c r="F905" t="str">
        <f t="shared" si="100"/>
        <v>401(k) Employee Deferral</v>
      </c>
      <c r="G905" t="str">
        <f t="shared" si="101"/>
        <v>Pre-tax (exempt from FIT/SIT; subject to FICA)</v>
      </c>
      <c r="H905" t="str">
        <f t="shared" si="102"/>
        <v>Percent</v>
      </c>
      <c r="I905" s="37">
        <v>0.04</v>
      </c>
      <c r="J905" s="38" t="str">
        <f t="shared" si="103"/>
        <v/>
      </c>
      <c r="K905" t="str">
        <f t="shared" si="104"/>
        <v>Gross pay</v>
      </c>
      <c r="L905" t="str">
        <f t="shared" si="105"/>
        <v>Every pay period (ongoing)</v>
      </c>
      <c r="M905" s="39">
        <f t="array" ref="M905">MAX(_xlfn.XLOOKUP($A905,TRIM(SUBSTITUTE('worker file'!$A$2:$A$406,_xlfn.UNICHAR(160)," ")),'worker file'!$M$2:$M$406,0),_xlfn.XLOOKUP($B905,TRIM('pay group &amp; schedule'!$A$2:$A$6),'pay group &amp; schedule'!$D$2:$D$6,0))</f>
        <v>46311</v>
      </c>
      <c r="N905" s="39" t="str">
        <f t="array" ref="N905">_xlfn.LET(_xlpm.t,_xlfn.XLOOKUP($A905,TRIM(SUBSTITUTE('worker file'!$A$2:$A$406,_xlfn.UNICHAR(160)," ")),'worker file'!$N$2:$N$406,""),IF(N(_xlpm.t)=0,"",_xlpm.t))</f>
        <v/>
      </c>
    </row>
    <row r="906" spans="1:15" x14ac:dyDescent="0.2">
      <c r="A906" s="35" t="s">
        <v>410</v>
      </c>
      <c r="B906" s="36" t="str">
        <f t="array" ref="B906">_xlfn.XLOOKUP($A906,TRIM(SUBSTITUTE('worker file'!$A$2:$A$406,_xlfn.UNICHAR(160)," ")),'worker file'!$L$2:$L$406,"Not found")</f>
        <v>US Semi-monthly</v>
      </c>
      <c r="C906" s="36" t="str">
        <f t="array" ref="C906">_xlfn.XLOOKUP($A906,TRIM(SUBSTITUTE('worker file'!$A$2:$A$406,_xlfn.UNICHAR(160)," ")),'worker file'!$D$2:$D$406,"Not found")</f>
        <v>IL</v>
      </c>
      <c r="D906" s="36" t="str">
        <f t="array" ref="D906">_xlfn.XLOOKUP($A906,TRIM(SUBSTITUTE('worker file'!$A$2:$A$406,_xlfn.UNICHAR(160)," ")),'worker file'!$Q$2:$Q$406,"Not found")</f>
        <v>Active</v>
      </c>
      <c r="E906" s="35" t="s">
        <v>626</v>
      </c>
      <c r="F906" t="str">
        <f t="shared" si="100"/>
        <v>Medical (Health) – Employee</v>
      </c>
      <c r="G906" t="str">
        <f t="shared" si="101"/>
        <v>Pre-tax Section 125 (exempt from FIT/SIT/FICA)</v>
      </c>
      <c r="H906" t="str">
        <f t="shared" si="102"/>
        <v>Flat</v>
      </c>
      <c r="I906" s="40" t="str">
        <f>IF($H906="Percent",_xlfn.XLOOKUP($E906,$A$5:$A$8,$F$5:$F$8,""),"")</f>
        <v/>
      </c>
      <c r="J906" s="38">
        <f t="shared" si="103"/>
        <v>200</v>
      </c>
      <c r="K906" t="str">
        <f t="shared" si="104"/>
        <v>Per pay period</v>
      </c>
      <c r="L906" t="str">
        <f t="shared" si="105"/>
        <v>Every pay period (ongoing)</v>
      </c>
      <c r="M906" s="39">
        <f t="array" ref="M906">MAX(_xlfn.XLOOKUP($A906,TRIM(SUBSTITUTE('worker file'!$A$2:$A$406,_xlfn.UNICHAR(160)," ")),'worker file'!$M$2:$M$406,0),_xlfn.XLOOKUP($B906,TRIM('pay group &amp; schedule'!$A$2:$A$6),'pay group &amp; schedule'!$D$2:$D$6,0))</f>
        <v>46311</v>
      </c>
      <c r="N906" s="39" t="str">
        <f t="array" ref="N906">_xlfn.LET(_xlpm.t,_xlfn.XLOOKUP($A906,TRIM(SUBSTITUTE('worker file'!$A$2:$A$406,_xlfn.UNICHAR(160)," ")),'worker file'!$N$2:$N$406,""),IF(N(_xlpm.t)=0,"",_xlpm.t))</f>
        <v/>
      </c>
    </row>
    <row r="907" spans="1:15" x14ac:dyDescent="0.2">
      <c r="A907" s="35" t="s">
        <v>410</v>
      </c>
      <c r="B907" s="36" t="str">
        <f t="array" ref="B907">_xlfn.XLOOKUP($A907,TRIM(SUBSTITUTE('worker file'!$A$2:$A$406,_xlfn.UNICHAR(160)," ")),'worker file'!$L$2:$L$406,"Not found")</f>
        <v>US Semi-monthly</v>
      </c>
      <c r="C907" s="36" t="str">
        <f t="array" ref="C907">_xlfn.XLOOKUP($A907,TRIM(SUBSTITUTE('worker file'!$A$2:$A$406,_xlfn.UNICHAR(160)," ")),'worker file'!$D$2:$D$406,"Not found")</f>
        <v>IL</v>
      </c>
      <c r="D907" s="36" t="str">
        <f t="array" ref="D907">_xlfn.XLOOKUP($A907,TRIM(SUBSTITUTE('worker file'!$A$2:$A$406,_xlfn.UNICHAR(160)," ")),'worker file'!$Q$2:$Q$406,"Not found")</f>
        <v>Active</v>
      </c>
      <c r="E907" s="35" t="s">
        <v>632</v>
      </c>
      <c r="F907" t="str">
        <f t="shared" si="100"/>
        <v>Dental – Employee</v>
      </c>
      <c r="G907" t="str">
        <f t="shared" si="101"/>
        <v>Pre-tax Section 125 (exempt from FIT/SIT/FICA)</v>
      </c>
      <c r="H907" t="str">
        <f t="shared" si="102"/>
        <v>Flat</v>
      </c>
      <c r="I907" s="40" t="str">
        <f>IF($H907="Percent",_xlfn.XLOOKUP($E907,$A$5:$A$8,$F$5:$F$8,""),"")</f>
        <v/>
      </c>
      <c r="J907" s="38">
        <f t="shared" si="103"/>
        <v>44</v>
      </c>
      <c r="K907" t="str">
        <f t="shared" si="104"/>
        <v>Per pay period</v>
      </c>
      <c r="L907" t="str">
        <f t="shared" si="105"/>
        <v>Every pay period (ongoing)</v>
      </c>
      <c r="M907" s="39">
        <f t="array" ref="M907">MAX(_xlfn.XLOOKUP($A907,TRIM(SUBSTITUTE('worker file'!$A$2:$A$406,_xlfn.UNICHAR(160)," ")),'worker file'!$M$2:$M$406,0),_xlfn.XLOOKUP($B907,TRIM('pay group &amp; schedule'!$A$2:$A$6),'pay group &amp; schedule'!$D$2:$D$6,0))</f>
        <v>46311</v>
      </c>
      <c r="N907" s="39" t="str">
        <f t="array" ref="N907">_xlfn.LET(_xlpm.t,_xlfn.XLOOKUP($A907,TRIM(SUBSTITUTE('worker file'!$A$2:$A$406,_xlfn.UNICHAR(160)," ")),'worker file'!$N$2:$N$406,""),IF(N(_xlpm.t)=0,"",_xlpm.t))</f>
        <v/>
      </c>
    </row>
    <row r="908" spans="1:15" x14ac:dyDescent="0.2">
      <c r="A908" s="35" t="s">
        <v>410</v>
      </c>
      <c r="B908" s="36" t="str">
        <f t="array" ref="B908">_xlfn.XLOOKUP($A908,TRIM(SUBSTITUTE('worker file'!$A$2:$A$406,_xlfn.UNICHAR(160)," ")),'worker file'!$L$2:$L$406,"Not found")</f>
        <v>US Semi-monthly</v>
      </c>
      <c r="C908" s="36" t="str">
        <f t="array" ref="C908">_xlfn.XLOOKUP($A908,TRIM(SUBSTITUTE('worker file'!$A$2:$A$406,_xlfn.UNICHAR(160)," ")),'worker file'!$D$2:$D$406,"Not found")</f>
        <v>IL</v>
      </c>
      <c r="D908" s="36" t="str">
        <f t="array" ref="D908">_xlfn.XLOOKUP($A908,TRIM(SUBSTITUTE('worker file'!$A$2:$A$406,_xlfn.UNICHAR(160)," ")),'worker file'!$Q$2:$Q$406,"Not found")</f>
        <v>Active</v>
      </c>
      <c r="E908" s="35" t="s">
        <v>634</v>
      </c>
      <c r="F908" t="str">
        <f t="shared" ref="F908:F971" si="107">_xlfn.XLOOKUP($E908,$A$5:$A$8,$B$5:$B$8,"")</f>
        <v>Vision – Employee</v>
      </c>
      <c r="G908" t="str">
        <f t="shared" ref="G908:G971" si="108">_xlfn.XLOOKUP($E908,$A$5:$A$8,$D$5:$D$8,"")</f>
        <v>Pre-tax Section 125 (exempt from FIT/SIT/FICA)</v>
      </c>
      <c r="H908" t="str">
        <f t="shared" ref="H908:H971" si="109">_xlfn.XLOOKUP($E908,$A$5:$A$8,$E$5:$E$8,"")</f>
        <v>Flat</v>
      </c>
      <c r="I908" s="40" t="str">
        <f>IF($H908="Percent",_xlfn.XLOOKUP($E908,$A$5:$A$8,$F$5:$F$8,""),"")</f>
        <v/>
      </c>
      <c r="J908" s="38">
        <f t="shared" ref="J908:J971" si="110">IF($H908="Flat",_xlfn.XLOOKUP($E908,$A$5:$A$8,$F$5:$F$8,""),"")</f>
        <v>30</v>
      </c>
      <c r="K908" t="str">
        <f t="shared" ref="K908:K971" si="111">_xlfn.XLOOKUP($E908,$A$5:$A$8,$G$5:$G$8,"")</f>
        <v>Per pay period</v>
      </c>
      <c r="L908" t="str">
        <f t="shared" ref="L908:L971" si="112">_xlfn.XLOOKUP($E908,$A$5:$A$8,$H$5:$H$8,"")</f>
        <v>Every pay period (ongoing)</v>
      </c>
      <c r="M908" s="39">
        <f t="array" ref="M908">MAX(_xlfn.XLOOKUP($A908,TRIM(SUBSTITUTE('worker file'!$A$2:$A$406,_xlfn.UNICHAR(160)," ")),'worker file'!$M$2:$M$406,0),_xlfn.XLOOKUP($B908,TRIM('pay group &amp; schedule'!$A$2:$A$6),'pay group &amp; schedule'!$D$2:$D$6,0))</f>
        <v>46311</v>
      </c>
      <c r="N908" s="39" t="str">
        <f t="array" ref="N908">_xlfn.LET(_xlpm.t,_xlfn.XLOOKUP($A908,TRIM(SUBSTITUTE('worker file'!$A$2:$A$406,_xlfn.UNICHAR(160)," ")),'worker file'!$N$2:$N$406,""),IF(N(_xlpm.t)=0,"",_xlpm.t))</f>
        <v/>
      </c>
    </row>
    <row r="909" spans="1:15" x14ac:dyDescent="0.2">
      <c r="A909" s="35" t="s">
        <v>411</v>
      </c>
      <c r="B909" s="36" t="str">
        <f t="array" ref="B909">_xlfn.XLOOKUP($A909,TRIM(SUBSTITUTE('worker file'!$A$2:$A$406,_xlfn.UNICHAR(160)," ")),'worker file'!$L$2:$L$406,"Not found")</f>
        <v>US Semi-monthly</v>
      </c>
      <c r="C909" s="36" t="str">
        <f t="array" ref="C909">_xlfn.XLOOKUP($A909,TRIM(SUBSTITUTE('worker file'!$A$2:$A$406,_xlfn.UNICHAR(160)," ")),'worker file'!$D$2:$D$406,"Not found")</f>
        <v>CA</v>
      </c>
      <c r="D909" s="36" t="str">
        <f t="array" ref="D909">_xlfn.XLOOKUP($A909,TRIM(SUBSTITUTE('worker file'!$A$2:$A$406,_xlfn.UNICHAR(160)," ")),'worker file'!$Q$2:$Q$406,"Not found")</f>
        <v>Active</v>
      </c>
      <c r="E909" s="35" t="s">
        <v>618</v>
      </c>
      <c r="F909" t="str">
        <f t="shared" si="107"/>
        <v>401(k) Employee Deferral</v>
      </c>
      <c r="G909" t="str">
        <f t="shared" si="108"/>
        <v>Pre-tax (exempt from FIT/SIT; subject to FICA)</v>
      </c>
      <c r="H909" t="str">
        <f t="shared" si="109"/>
        <v>Percent</v>
      </c>
      <c r="I909" s="37">
        <v>0.01</v>
      </c>
      <c r="J909" s="38" t="str">
        <f t="shared" si="110"/>
        <v/>
      </c>
      <c r="K909" t="str">
        <f t="shared" si="111"/>
        <v>Gross pay</v>
      </c>
      <c r="L909" t="str">
        <f t="shared" si="112"/>
        <v>Every pay period (ongoing)</v>
      </c>
      <c r="M909" s="39">
        <f t="array" ref="M909">MAX(_xlfn.XLOOKUP($A909,TRIM(SUBSTITUTE('worker file'!$A$2:$A$406,_xlfn.UNICHAR(160)," ")),'worker file'!$M$2:$M$406,0),_xlfn.XLOOKUP($B909,TRIM('pay group &amp; schedule'!$A$2:$A$6),'pay group &amp; schedule'!$D$2:$D$6,0))</f>
        <v>46311</v>
      </c>
      <c r="N909" s="39" t="str">
        <f t="array" ref="N909">_xlfn.LET(_xlpm.t,_xlfn.XLOOKUP($A909,TRIM(SUBSTITUTE('worker file'!$A$2:$A$406,_xlfn.UNICHAR(160)," ")),'worker file'!$N$2:$N$406,""),IF(N(_xlpm.t)=0,"",_xlpm.t))</f>
        <v/>
      </c>
    </row>
    <row r="910" spans="1:15" x14ac:dyDescent="0.2">
      <c r="A910" s="35" t="s">
        <v>411</v>
      </c>
      <c r="B910" s="36" t="str">
        <f t="array" ref="B910">_xlfn.XLOOKUP($A910,TRIM(SUBSTITUTE('worker file'!$A$2:$A$406,_xlfn.UNICHAR(160)," ")),'worker file'!$L$2:$L$406,"Not found")</f>
        <v>US Semi-monthly</v>
      </c>
      <c r="C910" s="36" t="str">
        <f t="array" ref="C910">_xlfn.XLOOKUP($A910,TRIM(SUBSTITUTE('worker file'!$A$2:$A$406,_xlfn.UNICHAR(160)," ")),'worker file'!$D$2:$D$406,"Not found")</f>
        <v>CA</v>
      </c>
      <c r="D910" s="36" t="str">
        <f t="array" ref="D910">_xlfn.XLOOKUP($A910,TRIM(SUBSTITUTE('worker file'!$A$2:$A$406,_xlfn.UNICHAR(160)," ")),'worker file'!$Q$2:$Q$406,"Not found")</f>
        <v>Active</v>
      </c>
      <c r="E910" s="35" t="s">
        <v>626</v>
      </c>
      <c r="F910" t="str">
        <f t="shared" si="107"/>
        <v>Medical (Health) – Employee</v>
      </c>
      <c r="G910" t="str">
        <f t="shared" si="108"/>
        <v>Pre-tax Section 125 (exempt from FIT/SIT/FICA)</v>
      </c>
      <c r="H910" t="str">
        <f t="shared" si="109"/>
        <v>Flat</v>
      </c>
      <c r="I910" s="40" t="str">
        <f t="shared" ref="I910:I915" si="113">IF($H910="Percent",_xlfn.XLOOKUP($E910,$A$5:$A$8,$F$5:$F$8,""),"")</f>
        <v/>
      </c>
      <c r="J910" s="38">
        <f t="shared" si="110"/>
        <v>200</v>
      </c>
      <c r="K910" t="str">
        <f t="shared" si="111"/>
        <v>Per pay period</v>
      </c>
      <c r="L910" t="str">
        <f t="shared" si="112"/>
        <v>Every pay period (ongoing)</v>
      </c>
      <c r="M910" s="39">
        <f t="array" ref="M910">MAX(_xlfn.XLOOKUP($A910,TRIM(SUBSTITUTE('worker file'!$A$2:$A$406,_xlfn.UNICHAR(160)," ")),'worker file'!$M$2:$M$406,0),_xlfn.XLOOKUP($B910,TRIM('pay group &amp; schedule'!$A$2:$A$6),'pay group &amp; schedule'!$D$2:$D$6,0))</f>
        <v>46311</v>
      </c>
      <c r="N910" s="39" t="str">
        <f t="array" ref="N910">_xlfn.LET(_xlpm.t,_xlfn.XLOOKUP($A910,TRIM(SUBSTITUTE('worker file'!$A$2:$A$406,_xlfn.UNICHAR(160)," ")),'worker file'!$N$2:$N$406,""),IF(N(_xlpm.t)=0,"",_xlpm.t))</f>
        <v/>
      </c>
    </row>
    <row r="911" spans="1:15" x14ac:dyDescent="0.2">
      <c r="A911" s="35" t="s">
        <v>411</v>
      </c>
      <c r="B911" s="36" t="str">
        <f t="array" ref="B911">_xlfn.XLOOKUP($A911,TRIM(SUBSTITUTE('worker file'!$A$2:$A$406,_xlfn.UNICHAR(160)," ")),'worker file'!$L$2:$L$406,"Not found")</f>
        <v>US Semi-monthly</v>
      </c>
      <c r="C911" s="36" t="str">
        <f t="array" ref="C911">_xlfn.XLOOKUP($A911,TRIM(SUBSTITUTE('worker file'!$A$2:$A$406,_xlfn.UNICHAR(160)," ")),'worker file'!$D$2:$D$406,"Not found")</f>
        <v>CA</v>
      </c>
      <c r="D911" s="36" t="str">
        <f t="array" ref="D911">_xlfn.XLOOKUP($A911,TRIM(SUBSTITUTE('worker file'!$A$2:$A$406,_xlfn.UNICHAR(160)," ")),'worker file'!$Q$2:$Q$406,"Not found")</f>
        <v>Active</v>
      </c>
      <c r="E911" s="35" t="s">
        <v>632</v>
      </c>
      <c r="F911" t="str">
        <f t="shared" si="107"/>
        <v>Dental – Employee</v>
      </c>
      <c r="G911" t="str">
        <f t="shared" si="108"/>
        <v>Pre-tax Section 125 (exempt from FIT/SIT/FICA)</v>
      </c>
      <c r="H911" t="str">
        <f t="shared" si="109"/>
        <v>Flat</v>
      </c>
      <c r="I911" s="40" t="str">
        <f t="shared" si="113"/>
        <v/>
      </c>
      <c r="J911" s="38">
        <f t="shared" si="110"/>
        <v>44</v>
      </c>
      <c r="K911" t="str">
        <f t="shared" si="111"/>
        <v>Per pay period</v>
      </c>
      <c r="L911" t="str">
        <f t="shared" si="112"/>
        <v>Every pay period (ongoing)</v>
      </c>
      <c r="M911" s="39">
        <f t="array" ref="M911">MAX(_xlfn.XLOOKUP($A911,TRIM(SUBSTITUTE('worker file'!$A$2:$A$406,_xlfn.UNICHAR(160)," ")),'worker file'!$M$2:$M$406,0),_xlfn.XLOOKUP($B911,TRIM('pay group &amp; schedule'!$A$2:$A$6),'pay group &amp; schedule'!$D$2:$D$6,0))</f>
        <v>46311</v>
      </c>
      <c r="N911" s="39" t="str">
        <f t="array" ref="N911">_xlfn.LET(_xlpm.t,_xlfn.XLOOKUP($A911,TRIM(SUBSTITUTE('worker file'!$A$2:$A$406,_xlfn.UNICHAR(160)," ")),'worker file'!$N$2:$N$406,""),IF(N(_xlpm.t)=0,"",_xlpm.t))</f>
        <v/>
      </c>
    </row>
    <row r="912" spans="1:15" x14ac:dyDescent="0.2">
      <c r="A912" s="35" t="s">
        <v>411</v>
      </c>
      <c r="B912" s="36" t="str">
        <f t="array" ref="B912">_xlfn.XLOOKUP($A912,TRIM(SUBSTITUTE('worker file'!$A$2:$A$406,_xlfn.UNICHAR(160)," ")),'worker file'!$L$2:$L$406,"Not found")</f>
        <v>US Semi-monthly</v>
      </c>
      <c r="C912" s="36" t="str">
        <f t="array" ref="C912">_xlfn.XLOOKUP($A912,TRIM(SUBSTITUTE('worker file'!$A$2:$A$406,_xlfn.UNICHAR(160)," ")),'worker file'!$D$2:$D$406,"Not found")</f>
        <v>CA</v>
      </c>
      <c r="D912" s="36" t="str">
        <f t="array" ref="D912">_xlfn.XLOOKUP($A912,TRIM(SUBSTITUTE('worker file'!$A$2:$A$406,_xlfn.UNICHAR(160)," ")),'worker file'!$Q$2:$Q$406,"Not found")</f>
        <v>Active</v>
      </c>
      <c r="E912" s="35" t="s">
        <v>634</v>
      </c>
      <c r="F912" t="str">
        <f t="shared" si="107"/>
        <v>Vision – Employee</v>
      </c>
      <c r="G912" t="str">
        <f t="shared" si="108"/>
        <v>Pre-tax Section 125 (exempt from FIT/SIT/FICA)</v>
      </c>
      <c r="H912" t="str">
        <f t="shared" si="109"/>
        <v>Flat</v>
      </c>
      <c r="I912" s="40" t="str">
        <f t="shared" si="113"/>
        <v/>
      </c>
      <c r="J912" s="38">
        <f t="shared" si="110"/>
        <v>30</v>
      </c>
      <c r="K912" t="str">
        <f t="shared" si="111"/>
        <v>Per pay period</v>
      </c>
      <c r="L912" t="str">
        <f t="shared" si="112"/>
        <v>Every pay period (ongoing)</v>
      </c>
      <c r="M912" s="39">
        <f t="array" ref="M912">MAX(_xlfn.XLOOKUP($A912,TRIM(SUBSTITUTE('worker file'!$A$2:$A$406,_xlfn.UNICHAR(160)," ")),'worker file'!$M$2:$M$406,0),_xlfn.XLOOKUP($B912,TRIM('pay group &amp; schedule'!$A$2:$A$6),'pay group &amp; schedule'!$D$2:$D$6,0))</f>
        <v>46311</v>
      </c>
      <c r="N912" s="39" t="str">
        <f t="array" ref="N912">_xlfn.LET(_xlpm.t,_xlfn.XLOOKUP($A912,TRIM(SUBSTITUTE('worker file'!$A$2:$A$406,_xlfn.UNICHAR(160)," ")),'worker file'!$N$2:$N$406,""),IF(N(_xlpm.t)=0,"",_xlpm.t))</f>
        <v/>
      </c>
    </row>
    <row r="913" spans="1:14" x14ac:dyDescent="0.2">
      <c r="A913" s="35" t="s">
        <v>412</v>
      </c>
      <c r="B913" s="36" t="str">
        <f t="array" ref="B913">_xlfn.XLOOKUP($A913,TRIM(SUBSTITUTE('worker file'!$A$2:$A$406,_xlfn.UNICHAR(160)," ")),'worker file'!$L$2:$L$406,"Not found")</f>
        <v>US Semi-monthly</v>
      </c>
      <c r="C913" s="36" t="str">
        <f t="array" ref="C913">_xlfn.XLOOKUP($A913,TRIM(SUBSTITUTE('worker file'!$A$2:$A$406,_xlfn.UNICHAR(160)," ")),'worker file'!$D$2:$D$406,"Not found")</f>
        <v>WA</v>
      </c>
      <c r="D913" s="36" t="str">
        <f t="array" ref="D913">_xlfn.XLOOKUP($A913,TRIM(SUBSTITUTE('worker file'!$A$2:$A$406,_xlfn.UNICHAR(160)," ")),'worker file'!$Q$2:$Q$406,"Not found")</f>
        <v>Active</v>
      </c>
      <c r="E913" s="35" t="s">
        <v>626</v>
      </c>
      <c r="F913" t="str">
        <f t="shared" si="107"/>
        <v>Medical (Health) – Employee</v>
      </c>
      <c r="G913" t="str">
        <f t="shared" si="108"/>
        <v>Pre-tax Section 125 (exempt from FIT/SIT/FICA)</v>
      </c>
      <c r="H913" t="str">
        <f t="shared" si="109"/>
        <v>Flat</v>
      </c>
      <c r="I913" s="40" t="str">
        <f t="shared" si="113"/>
        <v/>
      </c>
      <c r="J913" s="38">
        <f t="shared" si="110"/>
        <v>200</v>
      </c>
      <c r="K913" t="str">
        <f t="shared" si="111"/>
        <v>Per pay period</v>
      </c>
      <c r="L913" t="str">
        <f t="shared" si="112"/>
        <v>Every pay period (ongoing)</v>
      </c>
      <c r="M913" s="39">
        <f t="array" ref="M913">MAX(_xlfn.XLOOKUP($A913,TRIM(SUBSTITUTE('worker file'!$A$2:$A$406,_xlfn.UNICHAR(160)," ")),'worker file'!$M$2:$M$406,0),_xlfn.XLOOKUP($B913,TRIM('pay group &amp; schedule'!$A$2:$A$6),'pay group &amp; schedule'!$D$2:$D$6,0))</f>
        <v>46311</v>
      </c>
      <c r="N913" s="39" t="str">
        <f t="array" ref="N913">_xlfn.LET(_xlpm.t,_xlfn.XLOOKUP($A913,TRIM(SUBSTITUTE('worker file'!$A$2:$A$406,_xlfn.UNICHAR(160)," ")),'worker file'!$N$2:$N$406,""),IF(N(_xlpm.t)=0,"",_xlpm.t))</f>
        <v/>
      </c>
    </row>
    <row r="914" spans="1:14" x14ac:dyDescent="0.2">
      <c r="A914" s="35" t="s">
        <v>412</v>
      </c>
      <c r="B914" s="36" t="str">
        <f t="array" ref="B914">_xlfn.XLOOKUP($A914,TRIM(SUBSTITUTE('worker file'!$A$2:$A$406,_xlfn.UNICHAR(160)," ")),'worker file'!$L$2:$L$406,"Not found")</f>
        <v>US Semi-monthly</v>
      </c>
      <c r="C914" s="36" t="str">
        <f t="array" ref="C914">_xlfn.XLOOKUP($A914,TRIM(SUBSTITUTE('worker file'!$A$2:$A$406,_xlfn.UNICHAR(160)," ")),'worker file'!$D$2:$D$406,"Not found")</f>
        <v>WA</v>
      </c>
      <c r="D914" s="36" t="str">
        <f t="array" ref="D914">_xlfn.XLOOKUP($A914,TRIM(SUBSTITUTE('worker file'!$A$2:$A$406,_xlfn.UNICHAR(160)," ")),'worker file'!$Q$2:$Q$406,"Not found")</f>
        <v>Active</v>
      </c>
      <c r="E914" s="35" t="s">
        <v>632</v>
      </c>
      <c r="F914" t="str">
        <f t="shared" si="107"/>
        <v>Dental – Employee</v>
      </c>
      <c r="G914" t="str">
        <f t="shared" si="108"/>
        <v>Pre-tax Section 125 (exempt from FIT/SIT/FICA)</v>
      </c>
      <c r="H914" t="str">
        <f t="shared" si="109"/>
        <v>Flat</v>
      </c>
      <c r="I914" s="40" t="str">
        <f t="shared" si="113"/>
        <v/>
      </c>
      <c r="J914" s="38">
        <f t="shared" si="110"/>
        <v>44</v>
      </c>
      <c r="K914" t="str">
        <f t="shared" si="111"/>
        <v>Per pay period</v>
      </c>
      <c r="L914" t="str">
        <f t="shared" si="112"/>
        <v>Every pay period (ongoing)</v>
      </c>
      <c r="M914" s="39">
        <f t="array" ref="M914">MAX(_xlfn.XLOOKUP($A914,TRIM(SUBSTITUTE('worker file'!$A$2:$A$406,_xlfn.UNICHAR(160)," ")),'worker file'!$M$2:$M$406,0),_xlfn.XLOOKUP($B914,TRIM('pay group &amp; schedule'!$A$2:$A$6),'pay group &amp; schedule'!$D$2:$D$6,0))</f>
        <v>46311</v>
      </c>
      <c r="N914" s="39" t="str">
        <f t="array" ref="N914">_xlfn.LET(_xlpm.t,_xlfn.XLOOKUP($A914,TRIM(SUBSTITUTE('worker file'!$A$2:$A$406,_xlfn.UNICHAR(160)," ")),'worker file'!$N$2:$N$406,""),IF(N(_xlpm.t)=0,"",_xlpm.t))</f>
        <v/>
      </c>
    </row>
    <row r="915" spans="1:14" x14ac:dyDescent="0.2">
      <c r="A915" s="35" t="s">
        <v>412</v>
      </c>
      <c r="B915" s="36" t="str">
        <f t="array" ref="B915">_xlfn.XLOOKUP($A915,TRIM(SUBSTITUTE('worker file'!$A$2:$A$406,_xlfn.UNICHAR(160)," ")),'worker file'!$L$2:$L$406,"Not found")</f>
        <v>US Semi-monthly</v>
      </c>
      <c r="C915" s="36" t="str">
        <f t="array" ref="C915">_xlfn.XLOOKUP($A915,TRIM(SUBSTITUTE('worker file'!$A$2:$A$406,_xlfn.UNICHAR(160)," ")),'worker file'!$D$2:$D$406,"Not found")</f>
        <v>WA</v>
      </c>
      <c r="D915" s="36" t="str">
        <f t="array" ref="D915">_xlfn.XLOOKUP($A915,TRIM(SUBSTITUTE('worker file'!$A$2:$A$406,_xlfn.UNICHAR(160)," ")),'worker file'!$Q$2:$Q$406,"Not found")</f>
        <v>Active</v>
      </c>
      <c r="E915" s="35" t="s">
        <v>634</v>
      </c>
      <c r="F915" t="str">
        <f t="shared" si="107"/>
        <v>Vision – Employee</v>
      </c>
      <c r="G915" t="str">
        <f t="shared" si="108"/>
        <v>Pre-tax Section 125 (exempt from FIT/SIT/FICA)</v>
      </c>
      <c r="H915" t="str">
        <f t="shared" si="109"/>
        <v>Flat</v>
      </c>
      <c r="I915" s="40" t="str">
        <f t="shared" si="113"/>
        <v/>
      </c>
      <c r="J915" s="38">
        <f t="shared" si="110"/>
        <v>30</v>
      </c>
      <c r="K915" t="str">
        <f t="shared" si="111"/>
        <v>Per pay period</v>
      </c>
      <c r="L915" t="str">
        <f t="shared" si="112"/>
        <v>Every pay period (ongoing)</v>
      </c>
      <c r="M915" s="39">
        <f t="array" ref="M915">MAX(_xlfn.XLOOKUP($A915,TRIM(SUBSTITUTE('worker file'!$A$2:$A$406,_xlfn.UNICHAR(160)," ")),'worker file'!$M$2:$M$406,0),_xlfn.XLOOKUP($B915,TRIM('pay group &amp; schedule'!$A$2:$A$6),'pay group &amp; schedule'!$D$2:$D$6,0))</f>
        <v>46311</v>
      </c>
      <c r="N915" s="39" t="str">
        <f t="array" ref="N915">_xlfn.LET(_xlpm.t,_xlfn.XLOOKUP($A915,TRIM(SUBSTITUTE('worker file'!$A$2:$A$406,_xlfn.UNICHAR(160)," ")),'worker file'!$N$2:$N$406,""),IF(N(_xlpm.t)=0,"",_xlpm.t))</f>
        <v/>
      </c>
    </row>
    <row r="916" spans="1:14" x14ac:dyDescent="0.2">
      <c r="A916" s="35" t="s">
        <v>413</v>
      </c>
      <c r="B916" s="36" t="str">
        <f t="array" ref="B916">_xlfn.XLOOKUP($A916,TRIM(SUBSTITUTE('worker file'!$A$2:$A$406,_xlfn.UNICHAR(160)," ")),'worker file'!$L$2:$L$406,"Not found")</f>
        <v>US Semi-monthly</v>
      </c>
      <c r="C916" s="36" t="str">
        <f t="array" ref="C916">_xlfn.XLOOKUP($A916,TRIM(SUBSTITUTE('worker file'!$A$2:$A$406,_xlfn.UNICHAR(160)," ")),'worker file'!$D$2:$D$406,"Not found")</f>
        <v>CA</v>
      </c>
      <c r="D916" s="36" t="str">
        <f t="array" ref="D916">_xlfn.XLOOKUP($A916,TRIM(SUBSTITUTE('worker file'!$A$2:$A$406,_xlfn.UNICHAR(160)," ")),'worker file'!$Q$2:$Q$406,"Not found")</f>
        <v>Active</v>
      </c>
      <c r="E916" s="35" t="s">
        <v>618</v>
      </c>
      <c r="F916" t="str">
        <f t="shared" si="107"/>
        <v>401(k) Employee Deferral</v>
      </c>
      <c r="G916" t="str">
        <f t="shared" si="108"/>
        <v>Pre-tax (exempt from FIT/SIT; subject to FICA)</v>
      </c>
      <c r="H916" t="str">
        <f t="shared" si="109"/>
        <v>Percent</v>
      </c>
      <c r="I916" s="37">
        <v>0.03</v>
      </c>
      <c r="J916" s="38" t="str">
        <f t="shared" si="110"/>
        <v/>
      </c>
      <c r="K916" t="str">
        <f t="shared" si="111"/>
        <v>Gross pay</v>
      </c>
      <c r="L916" t="str">
        <f t="shared" si="112"/>
        <v>Every pay period (ongoing)</v>
      </c>
      <c r="M916" s="39">
        <f t="array" ref="M916">MAX(_xlfn.XLOOKUP($A916,TRIM(SUBSTITUTE('worker file'!$A$2:$A$406,_xlfn.UNICHAR(160)," ")),'worker file'!$M$2:$M$406,0),_xlfn.XLOOKUP($B916,TRIM('pay group &amp; schedule'!$A$2:$A$6),'pay group &amp; schedule'!$D$2:$D$6,0))</f>
        <v>46311</v>
      </c>
      <c r="N916" s="39" t="str">
        <f t="array" ref="N916">_xlfn.LET(_xlpm.t,_xlfn.XLOOKUP($A916,TRIM(SUBSTITUTE('worker file'!$A$2:$A$406,_xlfn.UNICHAR(160)," ")),'worker file'!$N$2:$N$406,""),IF(N(_xlpm.t)=0,"",_xlpm.t))</f>
        <v/>
      </c>
    </row>
    <row r="917" spans="1:14" x14ac:dyDescent="0.2">
      <c r="A917" s="35" t="s">
        <v>413</v>
      </c>
      <c r="B917" s="36" t="str">
        <f t="array" ref="B917">_xlfn.XLOOKUP($A917,TRIM(SUBSTITUTE('worker file'!$A$2:$A$406,_xlfn.UNICHAR(160)," ")),'worker file'!$L$2:$L$406,"Not found")</f>
        <v>US Semi-monthly</v>
      </c>
      <c r="C917" s="36" t="str">
        <f t="array" ref="C917">_xlfn.XLOOKUP($A917,TRIM(SUBSTITUTE('worker file'!$A$2:$A$406,_xlfn.UNICHAR(160)," ")),'worker file'!$D$2:$D$406,"Not found")</f>
        <v>CA</v>
      </c>
      <c r="D917" s="36" t="str">
        <f t="array" ref="D917">_xlfn.XLOOKUP($A917,TRIM(SUBSTITUTE('worker file'!$A$2:$A$406,_xlfn.UNICHAR(160)," ")),'worker file'!$Q$2:$Q$406,"Not found")</f>
        <v>Active</v>
      </c>
      <c r="E917" s="35" t="s">
        <v>626</v>
      </c>
      <c r="F917" t="str">
        <f t="shared" si="107"/>
        <v>Medical (Health) – Employee</v>
      </c>
      <c r="G917" t="str">
        <f t="shared" si="108"/>
        <v>Pre-tax Section 125 (exempt from FIT/SIT/FICA)</v>
      </c>
      <c r="H917" t="str">
        <f t="shared" si="109"/>
        <v>Flat</v>
      </c>
      <c r="I917" s="40" t="str">
        <f>IF($H917="Percent",_xlfn.XLOOKUP($E917,$A$5:$A$8,$F$5:$F$8,""),"")</f>
        <v/>
      </c>
      <c r="J917" s="38">
        <f t="shared" si="110"/>
        <v>200</v>
      </c>
      <c r="K917" t="str">
        <f t="shared" si="111"/>
        <v>Per pay period</v>
      </c>
      <c r="L917" t="str">
        <f t="shared" si="112"/>
        <v>Every pay period (ongoing)</v>
      </c>
      <c r="M917" s="39">
        <f t="array" ref="M917">MAX(_xlfn.XLOOKUP($A917,TRIM(SUBSTITUTE('worker file'!$A$2:$A$406,_xlfn.UNICHAR(160)," ")),'worker file'!$M$2:$M$406,0),_xlfn.XLOOKUP($B917,TRIM('pay group &amp; schedule'!$A$2:$A$6),'pay group &amp; schedule'!$D$2:$D$6,0))</f>
        <v>46311</v>
      </c>
      <c r="N917" s="39" t="str">
        <f t="array" ref="N917">_xlfn.LET(_xlpm.t,_xlfn.XLOOKUP($A917,TRIM(SUBSTITUTE('worker file'!$A$2:$A$406,_xlfn.UNICHAR(160)," ")),'worker file'!$N$2:$N$406,""),IF(N(_xlpm.t)=0,"",_xlpm.t))</f>
        <v/>
      </c>
    </row>
    <row r="918" spans="1:14" x14ac:dyDescent="0.2">
      <c r="A918" s="35" t="s">
        <v>413</v>
      </c>
      <c r="B918" s="36" t="str">
        <f t="array" ref="B918">_xlfn.XLOOKUP($A918,TRIM(SUBSTITUTE('worker file'!$A$2:$A$406,_xlfn.UNICHAR(160)," ")),'worker file'!$L$2:$L$406,"Not found")</f>
        <v>US Semi-monthly</v>
      </c>
      <c r="C918" s="36" t="str">
        <f t="array" ref="C918">_xlfn.XLOOKUP($A918,TRIM(SUBSTITUTE('worker file'!$A$2:$A$406,_xlfn.UNICHAR(160)," ")),'worker file'!$D$2:$D$406,"Not found")</f>
        <v>CA</v>
      </c>
      <c r="D918" s="36" t="str">
        <f t="array" ref="D918">_xlfn.XLOOKUP($A918,TRIM(SUBSTITUTE('worker file'!$A$2:$A$406,_xlfn.UNICHAR(160)," ")),'worker file'!$Q$2:$Q$406,"Not found")</f>
        <v>Active</v>
      </c>
      <c r="E918" s="35" t="s">
        <v>632</v>
      </c>
      <c r="F918" t="str">
        <f t="shared" si="107"/>
        <v>Dental – Employee</v>
      </c>
      <c r="G918" t="str">
        <f t="shared" si="108"/>
        <v>Pre-tax Section 125 (exempt from FIT/SIT/FICA)</v>
      </c>
      <c r="H918" t="str">
        <f t="shared" si="109"/>
        <v>Flat</v>
      </c>
      <c r="I918" s="40" t="str">
        <f>IF($H918="Percent",_xlfn.XLOOKUP($E918,$A$5:$A$8,$F$5:$F$8,""),"")</f>
        <v/>
      </c>
      <c r="J918" s="38">
        <f t="shared" si="110"/>
        <v>44</v>
      </c>
      <c r="K918" t="str">
        <f t="shared" si="111"/>
        <v>Per pay period</v>
      </c>
      <c r="L918" t="str">
        <f t="shared" si="112"/>
        <v>Every pay period (ongoing)</v>
      </c>
      <c r="M918" s="39">
        <f t="array" ref="M918">MAX(_xlfn.XLOOKUP($A918,TRIM(SUBSTITUTE('worker file'!$A$2:$A$406,_xlfn.UNICHAR(160)," ")),'worker file'!$M$2:$M$406,0),_xlfn.XLOOKUP($B918,TRIM('pay group &amp; schedule'!$A$2:$A$6),'pay group &amp; schedule'!$D$2:$D$6,0))</f>
        <v>46311</v>
      </c>
      <c r="N918" s="39" t="str">
        <f t="array" ref="N918">_xlfn.LET(_xlpm.t,_xlfn.XLOOKUP($A918,TRIM(SUBSTITUTE('worker file'!$A$2:$A$406,_xlfn.UNICHAR(160)," ")),'worker file'!$N$2:$N$406,""),IF(N(_xlpm.t)=0,"",_xlpm.t))</f>
        <v/>
      </c>
    </row>
    <row r="919" spans="1:14" x14ac:dyDescent="0.2">
      <c r="A919" s="35" t="s">
        <v>413</v>
      </c>
      <c r="B919" s="36" t="str">
        <f t="array" ref="B919">_xlfn.XLOOKUP($A919,TRIM(SUBSTITUTE('worker file'!$A$2:$A$406,_xlfn.UNICHAR(160)," ")),'worker file'!$L$2:$L$406,"Not found")</f>
        <v>US Semi-monthly</v>
      </c>
      <c r="C919" s="36" t="str">
        <f t="array" ref="C919">_xlfn.XLOOKUP($A919,TRIM(SUBSTITUTE('worker file'!$A$2:$A$406,_xlfn.UNICHAR(160)," ")),'worker file'!$D$2:$D$406,"Not found")</f>
        <v>CA</v>
      </c>
      <c r="D919" s="36" t="str">
        <f t="array" ref="D919">_xlfn.XLOOKUP($A919,TRIM(SUBSTITUTE('worker file'!$A$2:$A$406,_xlfn.UNICHAR(160)," ")),'worker file'!$Q$2:$Q$406,"Not found")</f>
        <v>Active</v>
      </c>
      <c r="E919" s="35" t="s">
        <v>634</v>
      </c>
      <c r="F919" t="str">
        <f t="shared" si="107"/>
        <v>Vision – Employee</v>
      </c>
      <c r="G919" t="str">
        <f t="shared" si="108"/>
        <v>Pre-tax Section 125 (exempt from FIT/SIT/FICA)</v>
      </c>
      <c r="H919" t="str">
        <f t="shared" si="109"/>
        <v>Flat</v>
      </c>
      <c r="I919" s="40" t="str">
        <f>IF($H919="Percent",_xlfn.XLOOKUP($E919,$A$5:$A$8,$F$5:$F$8,""),"")</f>
        <v/>
      </c>
      <c r="J919" s="38">
        <f t="shared" si="110"/>
        <v>30</v>
      </c>
      <c r="K919" t="str">
        <f t="shared" si="111"/>
        <v>Per pay period</v>
      </c>
      <c r="L919" t="str">
        <f t="shared" si="112"/>
        <v>Every pay period (ongoing)</v>
      </c>
      <c r="M919" s="39">
        <f t="array" ref="M919">MAX(_xlfn.XLOOKUP($A919,TRIM(SUBSTITUTE('worker file'!$A$2:$A$406,_xlfn.UNICHAR(160)," ")),'worker file'!$M$2:$M$406,0),_xlfn.XLOOKUP($B919,TRIM('pay group &amp; schedule'!$A$2:$A$6),'pay group &amp; schedule'!$D$2:$D$6,0))</f>
        <v>46311</v>
      </c>
      <c r="N919" s="39" t="str">
        <f t="array" ref="N919">_xlfn.LET(_xlpm.t,_xlfn.XLOOKUP($A919,TRIM(SUBSTITUTE('worker file'!$A$2:$A$406,_xlfn.UNICHAR(160)," ")),'worker file'!$N$2:$N$406,""),IF(N(_xlpm.t)=0,"",_xlpm.t))</f>
        <v/>
      </c>
    </row>
    <row r="920" spans="1:14" x14ac:dyDescent="0.2">
      <c r="A920" s="35" t="s">
        <v>414</v>
      </c>
      <c r="B920" s="36" t="str">
        <f t="array" ref="B920">_xlfn.XLOOKUP($A920,TRIM(SUBSTITUTE('worker file'!$A$2:$A$406,_xlfn.UNICHAR(160)," ")),'worker file'!$L$2:$L$406,"Not found")</f>
        <v>US Semi-monthly</v>
      </c>
      <c r="C920" s="36" t="str">
        <f t="array" ref="C920">_xlfn.XLOOKUP($A920,TRIM(SUBSTITUTE('worker file'!$A$2:$A$406,_xlfn.UNICHAR(160)," ")),'worker file'!$D$2:$D$406,"Not found")</f>
        <v>CA</v>
      </c>
      <c r="D920" s="36" t="str">
        <f t="array" ref="D920">_xlfn.XLOOKUP($A920,TRIM(SUBSTITUTE('worker file'!$A$2:$A$406,_xlfn.UNICHAR(160)," ")),'worker file'!$Q$2:$Q$406,"Not found")</f>
        <v>Active</v>
      </c>
      <c r="E920" s="35" t="s">
        <v>618</v>
      </c>
      <c r="F920" t="str">
        <f t="shared" si="107"/>
        <v>401(k) Employee Deferral</v>
      </c>
      <c r="G920" t="str">
        <f t="shared" si="108"/>
        <v>Pre-tax (exempt from FIT/SIT; subject to FICA)</v>
      </c>
      <c r="H920" t="str">
        <f t="shared" si="109"/>
        <v>Percent</v>
      </c>
      <c r="I920" s="37">
        <v>0</v>
      </c>
      <c r="J920" s="38" t="str">
        <f t="shared" si="110"/>
        <v/>
      </c>
      <c r="K920" t="str">
        <f t="shared" si="111"/>
        <v>Gross pay</v>
      </c>
      <c r="L920" t="str">
        <f t="shared" si="112"/>
        <v>Every pay period (ongoing)</v>
      </c>
      <c r="M920" s="39">
        <f t="array" ref="M920">MAX(_xlfn.XLOOKUP($A920,TRIM(SUBSTITUTE('worker file'!$A$2:$A$406,_xlfn.UNICHAR(160)," ")),'worker file'!$M$2:$M$406,0),_xlfn.XLOOKUP($B920,TRIM('pay group &amp; schedule'!$A$2:$A$6),'pay group &amp; schedule'!$D$2:$D$6,0))</f>
        <v>46311</v>
      </c>
      <c r="N920" s="39" t="str">
        <f t="array" ref="N920">_xlfn.LET(_xlpm.t,_xlfn.XLOOKUP($A920,TRIM(SUBSTITUTE('worker file'!$A$2:$A$406,_xlfn.UNICHAR(160)," ")),'worker file'!$N$2:$N$406,""),IF(N(_xlpm.t)=0,"",_xlpm.t))</f>
        <v/>
      </c>
    </row>
    <row r="921" spans="1:14" x14ac:dyDescent="0.2">
      <c r="A921" s="35" t="s">
        <v>414</v>
      </c>
      <c r="B921" s="36" t="str">
        <f t="array" ref="B921">_xlfn.XLOOKUP($A921,TRIM(SUBSTITUTE('worker file'!$A$2:$A$406,_xlfn.UNICHAR(160)," ")),'worker file'!$L$2:$L$406,"Not found")</f>
        <v>US Semi-monthly</v>
      </c>
      <c r="C921" s="36" t="str">
        <f t="array" ref="C921">_xlfn.XLOOKUP($A921,TRIM(SUBSTITUTE('worker file'!$A$2:$A$406,_xlfn.UNICHAR(160)," ")),'worker file'!$D$2:$D$406,"Not found")</f>
        <v>CA</v>
      </c>
      <c r="D921" s="36" t="str">
        <f t="array" ref="D921">_xlfn.XLOOKUP($A921,TRIM(SUBSTITUTE('worker file'!$A$2:$A$406,_xlfn.UNICHAR(160)," ")),'worker file'!$Q$2:$Q$406,"Not found")</f>
        <v>Active</v>
      </c>
      <c r="E921" s="35" t="s">
        <v>626</v>
      </c>
      <c r="F921" t="str">
        <f t="shared" si="107"/>
        <v>Medical (Health) – Employee</v>
      </c>
      <c r="G921" t="str">
        <f t="shared" si="108"/>
        <v>Pre-tax Section 125 (exempt from FIT/SIT/FICA)</v>
      </c>
      <c r="H921" t="str">
        <f t="shared" si="109"/>
        <v>Flat</v>
      </c>
      <c r="I921" s="40" t="str">
        <f>IF($H921="Percent",_xlfn.XLOOKUP($E921,$A$5:$A$8,$F$5:$F$8,""),"")</f>
        <v/>
      </c>
      <c r="J921" s="38">
        <f t="shared" si="110"/>
        <v>200</v>
      </c>
      <c r="K921" t="str">
        <f t="shared" si="111"/>
        <v>Per pay period</v>
      </c>
      <c r="L921" t="str">
        <f t="shared" si="112"/>
        <v>Every pay period (ongoing)</v>
      </c>
      <c r="M921" s="39">
        <f t="array" ref="M921">MAX(_xlfn.XLOOKUP($A921,TRIM(SUBSTITUTE('worker file'!$A$2:$A$406,_xlfn.UNICHAR(160)," ")),'worker file'!$M$2:$M$406,0),_xlfn.XLOOKUP($B921,TRIM('pay group &amp; schedule'!$A$2:$A$6),'pay group &amp; schedule'!$D$2:$D$6,0))</f>
        <v>46311</v>
      </c>
      <c r="N921" s="39" t="str">
        <f t="array" ref="N921">_xlfn.LET(_xlpm.t,_xlfn.XLOOKUP($A921,TRIM(SUBSTITUTE('worker file'!$A$2:$A$406,_xlfn.UNICHAR(160)," ")),'worker file'!$N$2:$N$406,""),IF(N(_xlpm.t)=0,"",_xlpm.t))</f>
        <v/>
      </c>
    </row>
    <row r="922" spans="1:14" x14ac:dyDescent="0.2">
      <c r="A922" s="35" t="s">
        <v>414</v>
      </c>
      <c r="B922" s="36" t="str">
        <f t="array" ref="B922">_xlfn.XLOOKUP($A922,TRIM(SUBSTITUTE('worker file'!$A$2:$A$406,_xlfn.UNICHAR(160)," ")),'worker file'!$L$2:$L$406,"Not found")</f>
        <v>US Semi-monthly</v>
      </c>
      <c r="C922" s="36" t="str">
        <f t="array" ref="C922">_xlfn.XLOOKUP($A922,TRIM(SUBSTITUTE('worker file'!$A$2:$A$406,_xlfn.UNICHAR(160)," ")),'worker file'!$D$2:$D$406,"Not found")</f>
        <v>CA</v>
      </c>
      <c r="D922" s="36" t="str">
        <f t="array" ref="D922">_xlfn.XLOOKUP($A922,TRIM(SUBSTITUTE('worker file'!$A$2:$A$406,_xlfn.UNICHAR(160)," ")),'worker file'!$Q$2:$Q$406,"Not found")</f>
        <v>Active</v>
      </c>
      <c r="E922" s="35" t="s">
        <v>632</v>
      </c>
      <c r="F922" t="str">
        <f t="shared" si="107"/>
        <v>Dental – Employee</v>
      </c>
      <c r="G922" t="str">
        <f t="shared" si="108"/>
        <v>Pre-tax Section 125 (exempt from FIT/SIT/FICA)</v>
      </c>
      <c r="H922" t="str">
        <f t="shared" si="109"/>
        <v>Flat</v>
      </c>
      <c r="I922" s="40" t="str">
        <f>IF($H922="Percent",_xlfn.XLOOKUP($E922,$A$5:$A$8,$F$5:$F$8,""),"")</f>
        <v/>
      </c>
      <c r="J922" s="38">
        <f t="shared" si="110"/>
        <v>44</v>
      </c>
      <c r="K922" t="str">
        <f t="shared" si="111"/>
        <v>Per pay period</v>
      </c>
      <c r="L922" t="str">
        <f t="shared" si="112"/>
        <v>Every pay period (ongoing)</v>
      </c>
      <c r="M922" s="39">
        <f t="array" ref="M922">MAX(_xlfn.XLOOKUP($A922,TRIM(SUBSTITUTE('worker file'!$A$2:$A$406,_xlfn.UNICHAR(160)," ")),'worker file'!$M$2:$M$406,0),_xlfn.XLOOKUP($B922,TRIM('pay group &amp; schedule'!$A$2:$A$6),'pay group &amp; schedule'!$D$2:$D$6,0))</f>
        <v>46311</v>
      </c>
      <c r="N922" s="39" t="str">
        <f t="array" ref="N922">_xlfn.LET(_xlpm.t,_xlfn.XLOOKUP($A922,TRIM(SUBSTITUTE('worker file'!$A$2:$A$406,_xlfn.UNICHAR(160)," ")),'worker file'!$N$2:$N$406,""),IF(N(_xlpm.t)=0,"",_xlpm.t))</f>
        <v/>
      </c>
    </row>
    <row r="923" spans="1:14" x14ac:dyDescent="0.2">
      <c r="A923" s="35" t="s">
        <v>414</v>
      </c>
      <c r="B923" s="36" t="str">
        <f t="array" ref="B923">_xlfn.XLOOKUP($A923,TRIM(SUBSTITUTE('worker file'!$A$2:$A$406,_xlfn.UNICHAR(160)," ")),'worker file'!$L$2:$L$406,"Not found")</f>
        <v>US Semi-monthly</v>
      </c>
      <c r="C923" s="36" t="str">
        <f t="array" ref="C923">_xlfn.XLOOKUP($A923,TRIM(SUBSTITUTE('worker file'!$A$2:$A$406,_xlfn.UNICHAR(160)," ")),'worker file'!$D$2:$D$406,"Not found")</f>
        <v>CA</v>
      </c>
      <c r="D923" s="36" t="str">
        <f t="array" ref="D923">_xlfn.XLOOKUP($A923,TRIM(SUBSTITUTE('worker file'!$A$2:$A$406,_xlfn.UNICHAR(160)," ")),'worker file'!$Q$2:$Q$406,"Not found")</f>
        <v>Active</v>
      </c>
      <c r="E923" s="35" t="s">
        <v>634</v>
      </c>
      <c r="F923" t="str">
        <f t="shared" si="107"/>
        <v>Vision – Employee</v>
      </c>
      <c r="G923" t="str">
        <f t="shared" si="108"/>
        <v>Pre-tax Section 125 (exempt from FIT/SIT/FICA)</v>
      </c>
      <c r="H923" t="str">
        <f t="shared" si="109"/>
        <v>Flat</v>
      </c>
      <c r="I923" s="40" t="str">
        <f>IF($H923="Percent",_xlfn.XLOOKUP($E923,$A$5:$A$8,$F$5:$F$8,""),"")</f>
        <v/>
      </c>
      <c r="J923" s="38">
        <f t="shared" si="110"/>
        <v>30</v>
      </c>
      <c r="K923" t="str">
        <f t="shared" si="111"/>
        <v>Per pay period</v>
      </c>
      <c r="L923" t="str">
        <f t="shared" si="112"/>
        <v>Every pay period (ongoing)</v>
      </c>
      <c r="M923" s="39">
        <f t="array" ref="M923">MAX(_xlfn.XLOOKUP($A923,TRIM(SUBSTITUTE('worker file'!$A$2:$A$406,_xlfn.UNICHAR(160)," ")),'worker file'!$M$2:$M$406,0),_xlfn.XLOOKUP($B923,TRIM('pay group &amp; schedule'!$A$2:$A$6),'pay group &amp; schedule'!$D$2:$D$6,0))</f>
        <v>46311</v>
      </c>
      <c r="N923" s="39" t="str">
        <f t="array" ref="N923">_xlfn.LET(_xlpm.t,_xlfn.XLOOKUP($A923,TRIM(SUBSTITUTE('worker file'!$A$2:$A$406,_xlfn.UNICHAR(160)," ")),'worker file'!$N$2:$N$406,""),IF(N(_xlpm.t)=0,"",_xlpm.t))</f>
        <v/>
      </c>
    </row>
    <row r="924" spans="1:14" x14ac:dyDescent="0.2">
      <c r="A924" s="35" t="s">
        <v>416</v>
      </c>
      <c r="B924" s="36" t="str">
        <f t="array" ref="B924">_xlfn.XLOOKUP($A924,TRIM(SUBSTITUTE('worker file'!$A$2:$A$406,_xlfn.UNICHAR(160)," ")),'worker file'!$L$2:$L$406,"Not found")</f>
        <v>US Semi-monthly</v>
      </c>
      <c r="C924" s="36" t="str">
        <f t="array" ref="C924">_xlfn.XLOOKUP($A924,TRIM(SUBSTITUTE('worker file'!$A$2:$A$406,_xlfn.UNICHAR(160)," ")),'worker file'!$D$2:$D$406,"Not found")</f>
        <v>CA</v>
      </c>
      <c r="D924" s="36" t="str">
        <f t="array" ref="D924">_xlfn.XLOOKUP($A924,TRIM(SUBSTITUTE('worker file'!$A$2:$A$406,_xlfn.UNICHAR(160)," ")),'worker file'!$Q$2:$Q$406,"Not found")</f>
        <v>Active</v>
      </c>
      <c r="E924" s="35" t="s">
        <v>618</v>
      </c>
      <c r="F924" t="str">
        <f t="shared" si="107"/>
        <v>401(k) Employee Deferral</v>
      </c>
      <c r="G924" t="str">
        <f t="shared" si="108"/>
        <v>Pre-tax (exempt from FIT/SIT; subject to FICA)</v>
      </c>
      <c r="H924" t="str">
        <f t="shared" si="109"/>
        <v>Percent</v>
      </c>
      <c r="I924" s="37">
        <v>0.05</v>
      </c>
      <c r="J924" s="38" t="str">
        <f t="shared" si="110"/>
        <v/>
      </c>
      <c r="K924" t="str">
        <f t="shared" si="111"/>
        <v>Gross pay</v>
      </c>
      <c r="L924" t="str">
        <f t="shared" si="112"/>
        <v>Every pay period (ongoing)</v>
      </c>
      <c r="M924" s="39">
        <f t="array" ref="M924">MAX(_xlfn.XLOOKUP($A924,TRIM(SUBSTITUTE('worker file'!$A$2:$A$406,_xlfn.UNICHAR(160)," ")),'worker file'!$M$2:$M$406,0),_xlfn.XLOOKUP($B924,TRIM('pay group &amp; schedule'!$A$2:$A$6),'pay group &amp; schedule'!$D$2:$D$6,0))</f>
        <v>46311</v>
      </c>
      <c r="N924" s="39" t="str">
        <f t="array" ref="N924">_xlfn.LET(_xlpm.t,_xlfn.XLOOKUP($A924,TRIM(SUBSTITUTE('worker file'!$A$2:$A$406,_xlfn.UNICHAR(160)," ")),'worker file'!$N$2:$N$406,""),IF(N(_xlpm.t)=0,"",_xlpm.t))</f>
        <v/>
      </c>
    </row>
    <row r="925" spans="1:14" x14ac:dyDescent="0.2">
      <c r="A925" s="35" t="s">
        <v>416</v>
      </c>
      <c r="B925" s="36" t="str">
        <f t="array" ref="B925">_xlfn.XLOOKUP($A925,TRIM(SUBSTITUTE('worker file'!$A$2:$A$406,_xlfn.UNICHAR(160)," ")),'worker file'!$L$2:$L$406,"Not found")</f>
        <v>US Semi-monthly</v>
      </c>
      <c r="C925" s="36" t="str">
        <f t="array" ref="C925">_xlfn.XLOOKUP($A925,TRIM(SUBSTITUTE('worker file'!$A$2:$A$406,_xlfn.UNICHAR(160)," ")),'worker file'!$D$2:$D$406,"Not found")</f>
        <v>CA</v>
      </c>
      <c r="D925" s="36" t="str">
        <f t="array" ref="D925">_xlfn.XLOOKUP($A925,TRIM(SUBSTITUTE('worker file'!$A$2:$A$406,_xlfn.UNICHAR(160)," ")),'worker file'!$Q$2:$Q$406,"Not found")</f>
        <v>Active</v>
      </c>
      <c r="E925" s="35" t="s">
        <v>626</v>
      </c>
      <c r="F925" t="str">
        <f t="shared" si="107"/>
        <v>Medical (Health) – Employee</v>
      </c>
      <c r="G925" t="str">
        <f t="shared" si="108"/>
        <v>Pre-tax Section 125 (exempt from FIT/SIT/FICA)</v>
      </c>
      <c r="H925" t="str">
        <f t="shared" si="109"/>
        <v>Flat</v>
      </c>
      <c r="I925" s="40" t="str">
        <f>IF($H925="Percent",_xlfn.XLOOKUP($E925,$A$5:$A$8,$F$5:$F$8,""),"")</f>
        <v/>
      </c>
      <c r="J925" s="38">
        <f t="shared" si="110"/>
        <v>200</v>
      </c>
      <c r="K925" t="str">
        <f t="shared" si="111"/>
        <v>Per pay period</v>
      </c>
      <c r="L925" t="str">
        <f t="shared" si="112"/>
        <v>Every pay period (ongoing)</v>
      </c>
      <c r="M925" s="39">
        <f t="array" ref="M925">MAX(_xlfn.XLOOKUP($A925,TRIM(SUBSTITUTE('worker file'!$A$2:$A$406,_xlfn.UNICHAR(160)," ")),'worker file'!$M$2:$M$406,0),_xlfn.XLOOKUP($B925,TRIM('pay group &amp; schedule'!$A$2:$A$6),'pay group &amp; schedule'!$D$2:$D$6,0))</f>
        <v>46311</v>
      </c>
      <c r="N925" s="39" t="str">
        <f t="array" ref="N925">_xlfn.LET(_xlpm.t,_xlfn.XLOOKUP($A925,TRIM(SUBSTITUTE('worker file'!$A$2:$A$406,_xlfn.UNICHAR(160)," ")),'worker file'!$N$2:$N$406,""),IF(N(_xlpm.t)=0,"",_xlpm.t))</f>
        <v/>
      </c>
    </row>
    <row r="926" spans="1:14" x14ac:dyDescent="0.2">
      <c r="A926" s="35" t="s">
        <v>416</v>
      </c>
      <c r="B926" s="36" t="str">
        <f t="array" ref="B926">_xlfn.XLOOKUP($A926,TRIM(SUBSTITUTE('worker file'!$A$2:$A$406,_xlfn.UNICHAR(160)," ")),'worker file'!$L$2:$L$406,"Not found")</f>
        <v>US Semi-monthly</v>
      </c>
      <c r="C926" s="36" t="str">
        <f t="array" ref="C926">_xlfn.XLOOKUP($A926,TRIM(SUBSTITUTE('worker file'!$A$2:$A$406,_xlfn.UNICHAR(160)," ")),'worker file'!$D$2:$D$406,"Not found")</f>
        <v>CA</v>
      </c>
      <c r="D926" s="36" t="str">
        <f t="array" ref="D926">_xlfn.XLOOKUP($A926,TRIM(SUBSTITUTE('worker file'!$A$2:$A$406,_xlfn.UNICHAR(160)," ")),'worker file'!$Q$2:$Q$406,"Not found")</f>
        <v>Active</v>
      </c>
      <c r="E926" s="35" t="s">
        <v>632</v>
      </c>
      <c r="F926" t="str">
        <f t="shared" si="107"/>
        <v>Dental – Employee</v>
      </c>
      <c r="G926" t="str">
        <f t="shared" si="108"/>
        <v>Pre-tax Section 125 (exempt from FIT/SIT/FICA)</v>
      </c>
      <c r="H926" t="str">
        <f t="shared" si="109"/>
        <v>Flat</v>
      </c>
      <c r="I926" s="40" t="str">
        <f>IF($H926="Percent",_xlfn.XLOOKUP($E926,$A$5:$A$8,$F$5:$F$8,""),"")</f>
        <v/>
      </c>
      <c r="J926" s="38">
        <f t="shared" si="110"/>
        <v>44</v>
      </c>
      <c r="K926" t="str">
        <f t="shared" si="111"/>
        <v>Per pay period</v>
      </c>
      <c r="L926" t="str">
        <f t="shared" si="112"/>
        <v>Every pay period (ongoing)</v>
      </c>
      <c r="M926" s="39">
        <f t="array" ref="M926">MAX(_xlfn.XLOOKUP($A926,TRIM(SUBSTITUTE('worker file'!$A$2:$A$406,_xlfn.UNICHAR(160)," ")),'worker file'!$M$2:$M$406,0),_xlfn.XLOOKUP($B926,TRIM('pay group &amp; schedule'!$A$2:$A$6),'pay group &amp; schedule'!$D$2:$D$6,0))</f>
        <v>46311</v>
      </c>
      <c r="N926" s="39" t="str">
        <f t="array" ref="N926">_xlfn.LET(_xlpm.t,_xlfn.XLOOKUP($A926,TRIM(SUBSTITUTE('worker file'!$A$2:$A$406,_xlfn.UNICHAR(160)," ")),'worker file'!$N$2:$N$406,""),IF(N(_xlpm.t)=0,"",_xlpm.t))</f>
        <v/>
      </c>
    </row>
    <row r="927" spans="1:14" x14ac:dyDescent="0.2">
      <c r="A927" s="35" t="s">
        <v>416</v>
      </c>
      <c r="B927" s="36" t="str">
        <f t="array" ref="B927">_xlfn.XLOOKUP($A927,TRIM(SUBSTITUTE('worker file'!$A$2:$A$406,_xlfn.UNICHAR(160)," ")),'worker file'!$L$2:$L$406,"Not found")</f>
        <v>US Semi-monthly</v>
      </c>
      <c r="C927" s="36" t="str">
        <f t="array" ref="C927">_xlfn.XLOOKUP($A927,TRIM(SUBSTITUTE('worker file'!$A$2:$A$406,_xlfn.UNICHAR(160)," ")),'worker file'!$D$2:$D$406,"Not found")</f>
        <v>CA</v>
      </c>
      <c r="D927" s="36" t="str">
        <f t="array" ref="D927">_xlfn.XLOOKUP($A927,TRIM(SUBSTITUTE('worker file'!$A$2:$A$406,_xlfn.UNICHAR(160)," ")),'worker file'!$Q$2:$Q$406,"Not found")</f>
        <v>Active</v>
      </c>
      <c r="E927" s="35" t="s">
        <v>634</v>
      </c>
      <c r="F927" t="str">
        <f t="shared" si="107"/>
        <v>Vision – Employee</v>
      </c>
      <c r="G927" t="str">
        <f t="shared" si="108"/>
        <v>Pre-tax Section 125 (exempt from FIT/SIT/FICA)</v>
      </c>
      <c r="H927" t="str">
        <f t="shared" si="109"/>
        <v>Flat</v>
      </c>
      <c r="I927" s="40" t="str">
        <f>IF($H927="Percent",_xlfn.XLOOKUP($E927,$A$5:$A$8,$F$5:$F$8,""),"")</f>
        <v/>
      </c>
      <c r="J927" s="38">
        <f t="shared" si="110"/>
        <v>30</v>
      </c>
      <c r="K927" t="str">
        <f t="shared" si="111"/>
        <v>Per pay period</v>
      </c>
      <c r="L927" t="str">
        <f t="shared" si="112"/>
        <v>Every pay period (ongoing)</v>
      </c>
      <c r="M927" s="39">
        <f t="array" ref="M927">MAX(_xlfn.XLOOKUP($A927,TRIM(SUBSTITUTE('worker file'!$A$2:$A$406,_xlfn.UNICHAR(160)," ")),'worker file'!$M$2:$M$406,0),_xlfn.XLOOKUP($B927,TRIM('pay group &amp; schedule'!$A$2:$A$6),'pay group &amp; schedule'!$D$2:$D$6,0))</f>
        <v>46311</v>
      </c>
      <c r="N927" s="39" t="str">
        <f t="array" ref="N927">_xlfn.LET(_xlpm.t,_xlfn.XLOOKUP($A927,TRIM(SUBSTITUTE('worker file'!$A$2:$A$406,_xlfn.UNICHAR(160)," ")),'worker file'!$N$2:$N$406,""),IF(N(_xlpm.t)=0,"",_xlpm.t))</f>
        <v/>
      </c>
    </row>
    <row r="928" spans="1:14" x14ac:dyDescent="0.2">
      <c r="A928" s="35" t="s">
        <v>417</v>
      </c>
      <c r="B928" s="36" t="str">
        <f t="array" ref="B928">_xlfn.XLOOKUP($A928,TRIM(SUBSTITUTE('worker file'!$A$2:$A$406,_xlfn.UNICHAR(160)," ")),'worker file'!$L$2:$L$406,"Not found")</f>
        <v>US Semi-monthly</v>
      </c>
      <c r="C928" s="36" t="str">
        <f t="array" ref="C928">_xlfn.XLOOKUP($A928,TRIM(SUBSTITUTE('worker file'!$A$2:$A$406,_xlfn.UNICHAR(160)," ")),'worker file'!$D$2:$D$406,"Not found")</f>
        <v>TX</v>
      </c>
      <c r="D928" s="36" t="str">
        <f t="array" ref="D928">_xlfn.XLOOKUP($A928,TRIM(SUBSTITUTE('worker file'!$A$2:$A$406,_xlfn.UNICHAR(160)," ")),'worker file'!$Q$2:$Q$406,"Not found")</f>
        <v>Active</v>
      </c>
      <c r="E928" s="35" t="s">
        <v>618</v>
      </c>
      <c r="F928" t="str">
        <f t="shared" si="107"/>
        <v>401(k) Employee Deferral</v>
      </c>
      <c r="G928" t="str">
        <f t="shared" si="108"/>
        <v>Pre-tax (exempt from FIT/SIT; subject to FICA)</v>
      </c>
      <c r="H928" t="str">
        <f t="shared" si="109"/>
        <v>Percent</v>
      </c>
      <c r="I928" s="37">
        <v>0.02</v>
      </c>
      <c r="J928" s="38" t="str">
        <f t="shared" si="110"/>
        <v/>
      </c>
      <c r="K928" t="str">
        <f t="shared" si="111"/>
        <v>Gross pay</v>
      </c>
      <c r="L928" t="str">
        <f t="shared" si="112"/>
        <v>Every pay period (ongoing)</v>
      </c>
      <c r="M928" s="39">
        <f t="array" ref="M928">MAX(_xlfn.XLOOKUP($A928,TRIM(SUBSTITUTE('worker file'!$A$2:$A$406,_xlfn.UNICHAR(160)," ")),'worker file'!$M$2:$M$406,0),_xlfn.XLOOKUP($B928,TRIM('pay group &amp; schedule'!$A$2:$A$6),'pay group &amp; schedule'!$D$2:$D$6,0))</f>
        <v>46311</v>
      </c>
      <c r="N928" s="39" t="str">
        <f t="array" ref="N928">_xlfn.LET(_xlpm.t,_xlfn.XLOOKUP($A928,TRIM(SUBSTITUTE('worker file'!$A$2:$A$406,_xlfn.UNICHAR(160)," ")),'worker file'!$N$2:$N$406,""),IF(N(_xlpm.t)=0,"",_xlpm.t))</f>
        <v/>
      </c>
    </row>
    <row r="929" spans="1:14" x14ac:dyDescent="0.2">
      <c r="A929" s="35" t="s">
        <v>417</v>
      </c>
      <c r="B929" s="36" t="str">
        <f t="array" ref="B929">_xlfn.XLOOKUP($A929,TRIM(SUBSTITUTE('worker file'!$A$2:$A$406,_xlfn.UNICHAR(160)," ")),'worker file'!$L$2:$L$406,"Not found")</f>
        <v>US Semi-monthly</v>
      </c>
      <c r="C929" s="36" t="str">
        <f t="array" ref="C929">_xlfn.XLOOKUP($A929,TRIM(SUBSTITUTE('worker file'!$A$2:$A$406,_xlfn.UNICHAR(160)," ")),'worker file'!$D$2:$D$406,"Not found")</f>
        <v>TX</v>
      </c>
      <c r="D929" s="36" t="str">
        <f t="array" ref="D929">_xlfn.XLOOKUP($A929,TRIM(SUBSTITUTE('worker file'!$A$2:$A$406,_xlfn.UNICHAR(160)," ")),'worker file'!$Q$2:$Q$406,"Not found")</f>
        <v>Active</v>
      </c>
      <c r="E929" s="35" t="s">
        <v>626</v>
      </c>
      <c r="F929" t="str">
        <f t="shared" si="107"/>
        <v>Medical (Health) – Employee</v>
      </c>
      <c r="G929" t="str">
        <f t="shared" si="108"/>
        <v>Pre-tax Section 125 (exempt from FIT/SIT/FICA)</v>
      </c>
      <c r="H929" t="str">
        <f t="shared" si="109"/>
        <v>Flat</v>
      </c>
      <c r="I929" s="40" t="str">
        <f>IF($H929="Percent",_xlfn.XLOOKUP($E929,$A$5:$A$8,$F$5:$F$8,""),"")</f>
        <v/>
      </c>
      <c r="J929" s="38">
        <f t="shared" si="110"/>
        <v>200</v>
      </c>
      <c r="K929" t="str">
        <f t="shared" si="111"/>
        <v>Per pay period</v>
      </c>
      <c r="L929" t="str">
        <f t="shared" si="112"/>
        <v>Every pay period (ongoing)</v>
      </c>
      <c r="M929" s="39">
        <f t="array" ref="M929">MAX(_xlfn.XLOOKUP($A929,TRIM(SUBSTITUTE('worker file'!$A$2:$A$406,_xlfn.UNICHAR(160)," ")),'worker file'!$M$2:$M$406,0),_xlfn.XLOOKUP($B929,TRIM('pay group &amp; schedule'!$A$2:$A$6),'pay group &amp; schedule'!$D$2:$D$6,0))</f>
        <v>46311</v>
      </c>
      <c r="N929" s="39" t="str">
        <f t="array" ref="N929">_xlfn.LET(_xlpm.t,_xlfn.XLOOKUP($A929,TRIM(SUBSTITUTE('worker file'!$A$2:$A$406,_xlfn.UNICHAR(160)," ")),'worker file'!$N$2:$N$406,""),IF(N(_xlpm.t)=0,"",_xlpm.t))</f>
        <v/>
      </c>
    </row>
    <row r="930" spans="1:14" x14ac:dyDescent="0.2">
      <c r="A930" s="35" t="s">
        <v>417</v>
      </c>
      <c r="B930" s="36" t="str">
        <f t="array" ref="B930">_xlfn.XLOOKUP($A930,TRIM(SUBSTITUTE('worker file'!$A$2:$A$406,_xlfn.UNICHAR(160)," ")),'worker file'!$L$2:$L$406,"Not found")</f>
        <v>US Semi-monthly</v>
      </c>
      <c r="C930" s="36" t="str">
        <f t="array" ref="C930">_xlfn.XLOOKUP($A930,TRIM(SUBSTITUTE('worker file'!$A$2:$A$406,_xlfn.UNICHAR(160)," ")),'worker file'!$D$2:$D$406,"Not found")</f>
        <v>TX</v>
      </c>
      <c r="D930" s="36" t="str">
        <f t="array" ref="D930">_xlfn.XLOOKUP($A930,TRIM(SUBSTITUTE('worker file'!$A$2:$A$406,_xlfn.UNICHAR(160)," ")),'worker file'!$Q$2:$Q$406,"Not found")</f>
        <v>Active</v>
      </c>
      <c r="E930" s="35" t="s">
        <v>632</v>
      </c>
      <c r="F930" t="str">
        <f t="shared" si="107"/>
        <v>Dental – Employee</v>
      </c>
      <c r="G930" t="str">
        <f t="shared" si="108"/>
        <v>Pre-tax Section 125 (exempt from FIT/SIT/FICA)</v>
      </c>
      <c r="H930" t="str">
        <f t="shared" si="109"/>
        <v>Flat</v>
      </c>
      <c r="I930" s="40" t="str">
        <f>IF($H930="Percent",_xlfn.XLOOKUP($E930,$A$5:$A$8,$F$5:$F$8,""),"")</f>
        <v/>
      </c>
      <c r="J930" s="38">
        <f t="shared" si="110"/>
        <v>44</v>
      </c>
      <c r="K930" t="str">
        <f t="shared" si="111"/>
        <v>Per pay period</v>
      </c>
      <c r="L930" t="str">
        <f t="shared" si="112"/>
        <v>Every pay period (ongoing)</v>
      </c>
      <c r="M930" s="39">
        <f t="array" ref="M930">MAX(_xlfn.XLOOKUP($A930,TRIM(SUBSTITUTE('worker file'!$A$2:$A$406,_xlfn.UNICHAR(160)," ")),'worker file'!$M$2:$M$406,0),_xlfn.XLOOKUP($B930,TRIM('pay group &amp; schedule'!$A$2:$A$6),'pay group &amp; schedule'!$D$2:$D$6,0))</f>
        <v>46311</v>
      </c>
      <c r="N930" s="39" t="str">
        <f t="array" ref="N930">_xlfn.LET(_xlpm.t,_xlfn.XLOOKUP($A930,TRIM(SUBSTITUTE('worker file'!$A$2:$A$406,_xlfn.UNICHAR(160)," ")),'worker file'!$N$2:$N$406,""),IF(N(_xlpm.t)=0,"",_xlpm.t))</f>
        <v/>
      </c>
    </row>
    <row r="931" spans="1:14" x14ac:dyDescent="0.2">
      <c r="A931" s="35" t="s">
        <v>417</v>
      </c>
      <c r="B931" s="36" t="str">
        <f t="array" ref="B931">_xlfn.XLOOKUP($A931,TRIM(SUBSTITUTE('worker file'!$A$2:$A$406,_xlfn.UNICHAR(160)," ")),'worker file'!$L$2:$L$406,"Not found")</f>
        <v>US Semi-monthly</v>
      </c>
      <c r="C931" s="36" t="str">
        <f t="array" ref="C931">_xlfn.XLOOKUP($A931,TRIM(SUBSTITUTE('worker file'!$A$2:$A$406,_xlfn.UNICHAR(160)," ")),'worker file'!$D$2:$D$406,"Not found")</f>
        <v>TX</v>
      </c>
      <c r="D931" s="36" t="str">
        <f t="array" ref="D931">_xlfn.XLOOKUP($A931,TRIM(SUBSTITUTE('worker file'!$A$2:$A$406,_xlfn.UNICHAR(160)," ")),'worker file'!$Q$2:$Q$406,"Not found")</f>
        <v>Active</v>
      </c>
      <c r="E931" s="35" t="s">
        <v>634</v>
      </c>
      <c r="F931" t="str">
        <f t="shared" si="107"/>
        <v>Vision – Employee</v>
      </c>
      <c r="G931" t="str">
        <f t="shared" si="108"/>
        <v>Pre-tax Section 125 (exempt from FIT/SIT/FICA)</v>
      </c>
      <c r="H931" t="str">
        <f t="shared" si="109"/>
        <v>Flat</v>
      </c>
      <c r="I931" s="40" t="str">
        <f>IF($H931="Percent",_xlfn.XLOOKUP($E931,$A$5:$A$8,$F$5:$F$8,""),"")</f>
        <v/>
      </c>
      <c r="J931" s="38">
        <f t="shared" si="110"/>
        <v>30</v>
      </c>
      <c r="K931" t="str">
        <f t="shared" si="111"/>
        <v>Per pay period</v>
      </c>
      <c r="L931" t="str">
        <f t="shared" si="112"/>
        <v>Every pay period (ongoing)</v>
      </c>
      <c r="M931" s="39">
        <f t="array" ref="M931">MAX(_xlfn.XLOOKUP($A931,TRIM(SUBSTITUTE('worker file'!$A$2:$A$406,_xlfn.UNICHAR(160)," ")),'worker file'!$M$2:$M$406,0),_xlfn.XLOOKUP($B931,TRIM('pay group &amp; schedule'!$A$2:$A$6),'pay group &amp; schedule'!$D$2:$D$6,0))</f>
        <v>46311</v>
      </c>
      <c r="N931" s="39" t="str">
        <f t="array" ref="N931">_xlfn.LET(_xlpm.t,_xlfn.XLOOKUP($A931,TRIM(SUBSTITUTE('worker file'!$A$2:$A$406,_xlfn.UNICHAR(160)," ")),'worker file'!$N$2:$N$406,""),IF(N(_xlpm.t)=0,"",_xlpm.t))</f>
        <v/>
      </c>
    </row>
    <row r="932" spans="1:14" x14ac:dyDescent="0.2">
      <c r="A932" s="35" t="s">
        <v>418</v>
      </c>
      <c r="B932" s="36" t="str">
        <f t="array" ref="B932">_xlfn.XLOOKUP($A932,TRIM(SUBSTITUTE('worker file'!$A$2:$A$406,_xlfn.UNICHAR(160)," ")),'worker file'!$L$2:$L$406,"Not found")</f>
        <v>US Semi-monthly</v>
      </c>
      <c r="C932" s="36" t="str">
        <f t="array" ref="C932">_xlfn.XLOOKUP($A932,TRIM(SUBSTITUTE('worker file'!$A$2:$A$406,_xlfn.UNICHAR(160)," ")),'worker file'!$D$2:$D$406,"Not found")</f>
        <v>NY</v>
      </c>
      <c r="D932" s="36" t="str">
        <f t="array" ref="D932">_xlfn.XLOOKUP($A932,TRIM(SUBSTITUTE('worker file'!$A$2:$A$406,_xlfn.UNICHAR(160)," ")),'worker file'!$Q$2:$Q$406,"Not found")</f>
        <v>Active</v>
      </c>
      <c r="E932" s="35" t="s">
        <v>618</v>
      </c>
      <c r="F932" t="str">
        <f t="shared" si="107"/>
        <v>401(k) Employee Deferral</v>
      </c>
      <c r="G932" t="str">
        <f t="shared" si="108"/>
        <v>Pre-tax (exempt from FIT/SIT; subject to FICA)</v>
      </c>
      <c r="H932" t="str">
        <f t="shared" si="109"/>
        <v>Percent</v>
      </c>
      <c r="I932" s="37">
        <v>7.0000000000000007E-2</v>
      </c>
      <c r="J932" s="38" t="str">
        <f t="shared" si="110"/>
        <v/>
      </c>
      <c r="K932" t="str">
        <f t="shared" si="111"/>
        <v>Gross pay</v>
      </c>
      <c r="L932" t="str">
        <f t="shared" si="112"/>
        <v>Every pay period (ongoing)</v>
      </c>
      <c r="M932" s="39">
        <f t="array" ref="M932">MAX(_xlfn.XLOOKUP($A932,TRIM(SUBSTITUTE('worker file'!$A$2:$A$406,_xlfn.UNICHAR(160)," ")),'worker file'!$M$2:$M$406,0),_xlfn.XLOOKUP($B932,TRIM('pay group &amp; schedule'!$A$2:$A$6),'pay group &amp; schedule'!$D$2:$D$6,0))</f>
        <v>46311</v>
      </c>
      <c r="N932" s="39" t="str">
        <f t="array" ref="N932">_xlfn.LET(_xlpm.t,_xlfn.XLOOKUP($A932,TRIM(SUBSTITUTE('worker file'!$A$2:$A$406,_xlfn.UNICHAR(160)," ")),'worker file'!$N$2:$N$406,""),IF(N(_xlpm.t)=0,"",_xlpm.t))</f>
        <v/>
      </c>
    </row>
    <row r="933" spans="1:14" x14ac:dyDescent="0.2">
      <c r="A933" s="35" t="s">
        <v>418</v>
      </c>
      <c r="B933" s="36" t="str">
        <f t="array" ref="B933">_xlfn.XLOOKUP($A933,TRIM(SUBSTITUTE('worker file'!$A$2:$A$406,_xlfn.UNICHAR(160)," ")),'worker file'!$L$2:$L$406,"Not found")</f>
        <v>US Semi-monthly</v>
      </c>
      <c r="C933" s="36" t="str">
        <f t="array" ref="C933">_xlfn.XLOOKUP($A933,TRIM(SUBSTITUTE('worker file'!$A$2:$A$406,_xlfn.UNICHAR(160)," ")),'worker file'!$D$2:$D$406,"Not found")</f>
        <v>NY</v>
      </c>
      <c r="D933" s="36" t="str">
        <f t="array" ref="D933">_xlfn.XLOOKUP($A933,TRIM(SUBSTITUTE('worker file'!$A$2:$A$406,_xlfn.UNICHAR(160)," ")),'worker file'!$Q$2:$Q$406,"Not found")</f>
        <v>Active</v>
      </c>
      <c r="E933" s="35" t="s">
        <v>626</v>
      </c>
      <c r="F933" t="str">
        <f t="shared" si="107"/>
        <v>Medical (Health) – Employee</v>
      </c>
      <c r="G933" t="str">
        <f t="shared" si="108"/>
        <v>Pre-tax Section 125 (exempt from FIT/SIT/FICA)</v>
      </c>
      <c r="H933" t="str">
        <f t="shared" si="109"/>
        <v>Flat</v>
      </c>
      <c r="I933" s="40" t="str">
        <f>IF($H933="Percent",_xlfn.XLOOKUP($E933,$A$5:$A$8,$F$5:$F$8,""),"")</f>
        <v/>
      </c>
      <c r="J933" s="38">
        <f t="shared" si="110"/>
        <v>200</v>
      </c>
      <c r="K933" t="str">
        <f t="shared" si="111"/>
        <v>Per pay period</v>
      </c>
      <c r="L933" t="str">
        <f t="shared" si="112"/>
        <v>Every pay period (ongoing)</v>
      </c>
      <c r="M933" s="39">
        <f t="array" ref="M933">MAX(_xlfn.XLOOKUP($A933,TRIM(SUBSTITUTE('worker file'!$A$2:$A$406,_xlfn.UNICHAR(160)," ")),'worker file'!$M$2:$M$406,0),_xlfn.XLOOKUP($B933,TRIM('pay group &amp; schedule'!$A$2:$A$6),'pay group &amp; schedule'!$D$2:$D$6,0))</f>
        <v>46311</v>
      </c>
      <c r="N933" s="39" t="str">
        <f t="array" ref="N933">_xlfn.LET(_xlpm.t,_xlfn.XLOOKUP($A933,TRIM(SUBSTITUTE('worker file'!$A$2:$A$406,_xlfn.UNICHAR(160)," ")),'worker file'!$N$2:$N$406,""),IF(N(_xlpm.t)=0,"",_xlpm.t))</f>
        <v/>
      </c>
    </row>
    <row r="934" spans="1:14" x14ac:dyDescent="0.2">
      <c r="A934" s="35" t="s">
        <v>418</v>
      </c>
      <c r="B934" s="36" t="str">
        <f t="array" ref="B934">_xlfn.XLOOKUP($A934,TRIM(SUBSTITUTE('worker file'!$A$2:$A$406,_xlfn.UNICHAR(160)," ")),'worker file'!$L$2:$L$406,"Not found")</f>
        <v>US Semi-monthly</v>
      </c>
      <c r="C934" s="36" t="str">
        <f t="array" ref="C934">_xlfn.XLOOKUP($A934,TRIM(SUBSTITUTE('worker file'!$A$2:$A$406,_xlfn.UNICHAR(160)," ")),'worker file'!$D$2:$D$406,"Not found")</f>
        <v>NY</v>
      </c>
      <c r="D934" s="36" t="str">
        <f t="array" ref="D934">_xlfn.XLOOKUP($A934,TRIM(SUBSTITUTE('worker file'!$A$2:$A$406,_xlfn.UNICHAR(160)," ")),'worker file'!$Q$2:$Q$406,"Not found")</f>
        <v>Active</v>
      </c>
      <c r="E934" s="35" t="s">
        <v>632</v>
      </c>
      <c r="F934" t="str">
        <f t="shared" si="107"/>
        <v>Dental – Employee</v>
      </c>
      <c r="G934" t="str">
        <f t="shared" si="108"/>
        <v>Pre-tax Section 125 (exempt from FIT/SIT/FICA)</v>
      </c>
      <c r="H934" t="str">
        <f t="shared" si="109"/>
        <v>Flat</v>
      </c>
      <c r="I934" s="40" t="str">
        <f>IF($H934="Percent",_xlfn.XLOOKUP($E934,$A$5:$A$8,$F$5:$F$8,""),"")</f>
        <v/>
      </c>
      <c r="J934" s="38">
        <f t="shared" si="110"/>
        <v>44</v>
      </c>
      <c r="K934" t="str">
        <f t="shared" si="111"/>
        <v>Per pay period</v>
      </c>
      <c r="L934" t="str">
        <f t="shared" si="112"/>
        <v>Every pay period (ongoing)</v>
      </c>
      <c r="M934" s="39">
        <f t="array" ref="M934">MAX(_xlfn.XLOOKUP($A934,TRIM(SUBSTITUTE('worker file'!$A$2:$A$406,_xlfn.UNICHAR(160)," ")),'worker file'!$M$2:$M$406,0),_xlfn.XLOOKUP($B934,TRIM('pay group &amp; schedule'!$A$2:$A$6),'pay group &amp; schedule'!$D$2:$D$6,0))</f>
        <v>46311</v>
      </c>
      <c r="N934" s="39" t="str">
        <f t="array" ref="N934">_xlfn.LET(_xlpm.t,_xlfn.XLOOKUP($A934,TRIM(SUBSTITUTE('worker file'!$A$2:$A$406,_xlfn.UNICHAR(160)," ")),'worker file'!$N$2:$N$406,""),IF(N(_xlpm.t)=0,"",_xlpm.t))</f>
        <v/>
      </c>
    </row>
    <row r="935" spans="1:14" x14ac:dyDescent="0.2">
      <c r="A935" s="35" t="s">
        <v>418</v>
      </c>
      <c r="B935" s="36" t="str">
        <f t="array" ref="B935">_xlfn.XLOOKUP($A935,TRIM(SUBSTITUTE('worker file'!$A$2:$A$406,_xlfn.UNICHAR(160)," ")),'worker file'!$L$2:$L$406,"Not found")</f>
        <v>US Semi-monthly</v>
      </c>
      <c r="C935" s="36" t="str">
        <f t="array" ref="C935">_xlfn.XLOOKUP($A935,TRIM(SUBSTITUTE('worker file'!$A$2:$A$406,_xlfn.UNICHAR(160)," ")),'worker file'!$D$2:$D$406,"Not found")</f>
        <v>NY</v>
      </c>
      <c r="D935" s="36" t="str">
        <f t="array" ref="D935">_xlfn.XLOOKUP($A935,TRIM(SUBSTITUTE('worker file'!$A$2:$A$406,_xlfn.UNICHAR(160)," ")),'worker file'!$Q$2:$Q$406,"Not found")</f>
        <v>Active</v>
      </c>
      <c r="E935" s="35" t="s">
        <v>634</v>
      </c>
      <c r="F935" t="str">
        <f t="shared" si="107"/>
        <v>Vision – Employee</v>
      </c>
      <c r="G935" t="str">
        <f t="shared" si="108"/>
        <v>Pre-tax Section 125 (exempt from FIT/SIT/FICA)</v>
      </c>
      <c r="H935" t="str">
        <f t="shared" si="109"/>
        <v>Flat</v>
      </c>
      <c r="I935" s="40" t="str">
        <f>IF($H935="Percent",_xlfn.XLOOKUP($E935,$A$5:$A$8,$F$5:$F$8,""),"")</f>
        <v/>
      </c>
      <c r="J935" s="38">
        <f t="shared" si="110"/>
        <v>30</v>
      </c>
      <c r="K935" t="str">
        <f t="shared" si="111"/>
        <v>Per pay period</v>
      </c>
      <c r="L935" t="str">
        <f t="shared" si="112"/>
        <v>Every pay period (ongoing)</v>
      </c>
      <c r="M935" s="39">
        <f t="array" ref="M935">MAX(_xlfn.XLOOKUP($A935,TRIM(SUBSTITUTE('worker file'!$A$2:$A$406,_xlfn.UNICHAR(160)," ")),'worker file'!$M$2:$M$406,0),_xlfn.XLOOKUP($B935,TRIM('pay group &amp; schedule'!$A$2:$A$6),'pay group &amp; schedule'!$D$2:$D$6,0))</f>
        <v>46311</v>
      </c>
      <c r="N935" s="39" t="str">
        <f t="array" ref="N935">_xlfn.LET(_xlpm.t,_xlfn.XLOOKUP($A935,TRIM(SUBSTITUTE('worker file'!$A$2:$A$406,_xlfn.UNICHAR(160)," ")),'worker file'!$N$2:$N$406,""),IF(N(_xlpm.t)=0,"",_xlpm.t))</f>
        <v/>
      </c>
    </row>
    <row r="936" spans="1:14" x14ac:dyDescent="0.2">
      <c r="A936" s="35" t="s">
        <v>419</v>
      </c>
      <c r="B936" s="36" t="str">
        <f t="array" ref="B936">_xlfn.XLOOKUP($A936,TRIM(SUBSTITUTE('worker file'!$A$2:$A$406,_xlfn.UNICHAR(160)," ")),'worker file'!$L$2:$L$406,"Not found")</f>
        <v>US Biweekly</v>
      </c>
      <c r="C936" s="36" t="str">
        <f t="array" ref="C936">_xlfn.XLOOKUP($A936,TRIM(SUBSTITUTE('worker file'!$A$2:$A$406,_xlfn.UNICHAR(160)," ")),'worker file'!$D$2:$D$406,"Not found")</f>
        <v>TX</v>
      </c>
      <c r="D936" s="36" t="str">
        <f t="array" ref="D936">_xlfn.XLOOKUP($A936,TRIM(SUBSTITUTE('worker file'!$A$2:$A$406,_xlfn.UNICHAR(160)," ")),'worker file'!$Q$2:$Q$406,"Not found")</f>
        <v>Active</v>
      </c>
      <c r="E936" s="35" t="s">
        <v>618</v>
      </c>
      <c r="F936" t="str">
        <f t="shared" si="107"/>
        <v>401(k) Employee Deferral</v>
      </c>
      <c r="G936" t="str">
        <f t="shared" si="108"/>
        <v>Pre-tax (exempt from FIT/SIT; subject to FICA)</v>
      </c>
      <c r="H936" t="str">
        <f t="shared" si="109"/>
        <v>Percent</v>
      </c>
      <c r="I936" s="37">
        <v>0.04</v>
      </c>
      <c r="J936" s="38" t="str">
        <f t="shared" si="110"/>
        <v/>
      </c>
      <c r="K936" t="str">
        <f t="shared" si="111"/>
        <v>Gross pay</v>
      </c>
      <c r="L936" t="str">
        <f t="shared" si="112"/>
        <v>Every pay period (ongoing)</v>
      </c>
      <c r="M936" s="39">
        <f t="array" ref="M936">MAX(_xlfn.XLOOKUP($A936,TRIM(SUBSTITUTE('worker file'!$A$2:$A$406,_xlfn.UNICHAR(160)," ")),'worker file'!$M$2:$M$406,0),_xlfn.XLOOKUP($B936,TRIM('pay group &amp; schedule'!$A$2:$A$6),'pay group &amp; schedule'!$D$2:$D$6,0))</f>
        <v>46299</v>
      </c>
      <c r="N936" s="39" t="str">
        <f t="array" ref="N936">_xlfn.LET(_xlpm.t,_xlfn.XLOOKUP($A936,TRIM(SUBSTITUTE('worker file'!$A$2:$A$406,_xlfn.UNICHAR(160)," ")),'worker file'!$N$2:$N$406,""),IF(N(_xlpm.t)=0,"",_xlpm.t))</f>
        <v/>
      </c>
    </row>
    <row r="937" spans="1:14" x14ac:dyDescent="0.2">
      <c r="A937" s="35" t="s">
        <v>419</v>
      </c>
      <c r="B937" s="36" t="str">
        <f t="array" ref="B937">_xlfn.XLOOKUP($A937,TRIM(SUBSTITUTE('worker file'!$A$2:$A$406,_xlfn.UNICHAR(160)," ")),'worker file'!$L$2:$L$406,"Not found")</f>
        <v>US Biweekly</v>
      </c>
      <c r="C937" s="36" t="str">
        <f t="array" ref="C937">_xlfn.XLOOKUP($A937,TRIM(SUBSTITUTE('worker file'!$A$2:$A$406,_xlfn.UNICHAR(160)," ")),'worker file'!$D$2:$D$406,"Not found")</f>
        <v>TX</v>
      </c>
      <c r="D937" s="36" t="str">
        <f t="array" ref="D937">_xlfn.XLOOKUP($A937,TRIM(SUBSTITUTE('worker file'!$A$2:$A$406,_xlfn.UNICHAR(160)," ")),'worker file'!$Q$2:$Q$406,"Not found")</f>
        <v>Active</v>
      </c>
      <c r="E937" s="35" t="s">
        <v>626</v>
      </c>
      <c r="F937" t="str">
        <f t="shared" si="107"/>
        <v>Medical (Health) – Employee</v>
      </c>
      <c r="G937" t="str">
        <f t="shared" si="108"/>
        <v>Pre-tax Section 125 (exempt from FIT/SIT/FICA)</v>
      </c>
      <c r="H937" t="str">
        <f t="shared" si="109"/>
        <v>Flat</v>
      </c>
      <c r="I937" s="40" t="str">
        <f>IF($H937="Percent",_xlfn.XLOOKUP($E937,$A$5:$A$8,$F$5:$F$8,""),"")</f>
        <v/>
      </c>
      <c r="J937" s="38">
        <f t="shared" si="110"/>
        <v>200</v>
      </c>
      <c r="K937" t="str">
        <f t="shared" si="111"/>
        <v>Per pay period</v>
      </c>
      <c r="L937" t="str">
        <f t="shared" si="112"/>
        <v>Every pay period (ongoing)</v>
      </c>
      <c r="M937" s="39">
        <f t="array" ref="M937">MAX(_xlfn.XLOOKUP($A937,TRIM(SUBSTITUTE('worker file'!$A$2:$A$406,_xlfn.UNICHAR(160)," ")),'worker file'!$M$2:$M$406,0),_xlfn.XLOOKUP($B937,TRIM('pay group &amp; schedule'!$A$2:$A$6),'pay group &amp; schedule'!$D$2:$D$6,0))</f>
        <v>46299</v>
      </c>
      <c r="N937" s="39" t="str">
        <f t="array" ref="N937">_xlfn.LET(_xlpm.t,_xlfn.XLOOKUP($A937,TRIM(SUBSTITUTE('worker file'!$A$2:$A$406,_xlfn.UNICHAR(160)," ")),'worker file'!$N$2:$N$406,""),IF(N(_xlpm.t)=0,"",_xlpm.t))</f>
        <v/>
      </c>
    </row>
    <row r="938" spans="1:14" x14ac:dyDescent="0.2">
      <c r="A938" s="35" t="s">
        <v>419</v>
      </c>
      <c r="B938" s="36" t="str">
        <f t="array" ref="B938">_xlfn.XLOOKUP($A938,TRIM(SUBSTITUTE('worker file'!$A$2:$A$406,_xlfn.UNICHAR(160)," ")),'worker file'!$L$2:$L$406,"Not found")</f>
        <v>US Biweekly</v>
      </c>
      <c r="C938" s="36" t="str">
        <f t="array" ref="C938">_xlfn.XLOOKUP($A938,TRIM(SUBSTITUTE('worker file'!$A$2:$A$406,_xlfn.UNICHAR(160)," ")),'worker file'!$D$2:$D$406,"Not found")</f>
        <v>TX</v>
      </c>
      <c r="D938" s="36" t="str">
        <f t="array" ref="D938">_xlfn.XLOOKUP($A938,TRIM(SUBSTITUTE('worker file'!$A$2:$A$406,_xlfn.UNICHAR(160)," ")),'worker file'!$Q$2:$Q$406,"Not found")</f>
        <v>Active</v>
      </c>
      <c r="E938" s="35" t="s">
        <v>632</v>
      </c>
      <c r="F938" t="str">
        <f t="shared" si="107"/>
        <v>Dental – Employee</v>
      </c>
      <c r="G938" t="str">
        <f t="shared" si="108"/>
        <v>Pre-tax Section 125 (exempt from FIT/SIT/FICA)</v>
      </c>
      <c r="H938" t="str">
        <f t="shared" si="109"/>
        <v>Flat</v>
      </c>
      <c r="I938" s="40" t="str">
        <f>IF($H938="Percent",_xlfn.XLOOKUP($E938,$A$5:$A$8,$F$5:$F$8,""),"")</f>
        <v/>
      </c>
      <c r="J938" s="38">
        <f t="shared" si="110"/>
        <v>44</v>
      </c>
      <c r="K938" t="str">
        <f t="shared" si="111"/>
        <v>Per pay period</v>
      </c>
      <c r="L938" t="str">
        <f t="shared" si="112"/>
        <v>Every pay period (ongoing)</v>
      </c>
      <c r="M938" s="39">
        <f t="array" ref="M938">MAX(_xlfn.XLOOKUP($A938,TRIM(SUBSTITUTE('worker file'!$A$2:$A$406,_xlfn.UNICHAR(160)," ")),'worker file'!$M$2:$M$406,0),_xlfn.XLOOKUP($B938,TRIM('pay group &amp; schedule'!$A$2:$A$6),'pay group &amp; schedule'!$D$2:$D$6,0))</f>
        <v>46299</v>
      </c>
      <c r="N938" s="39" t="str">
        <f t="array" ref="N938">_xlfn.LET(_xlpm.t,_xlfn.XLOOKUP($A938,TRIM(SUBSTITUTE('worker file'!$A$2:$A$406,_xlfn.UNICHAR(160)," ")),'worker file'!$N$2:$N$406,""),IF(N(_xlpm.t)=0,"",_xlpm.t))</f>
        <v/>
      </c>
    </row>
    <row r="939" spans="1:14" x14ac:dyDescent="0.2">
      <c r="A939" s="35" t="s">
        <v>419</v>
      </c>
      <c r="B939" s="36" t="str">
        <f t="array" ref="B939">_xlfn.XLOOKUP($A939,TRIM(SUBSTITUTE('worker file'!$A$2:$A$406,_xlfn.UNICHAR(160)," ")),'worker file'!$L$2:$L$406,"Not found")</f>
        <v>US Biweekly</v>
      </c>
      <c r="C939" s="36" t="str">
        <f t="array" ref="C939">_xlfn.XLOOKUP($A939,TRIM(SUBSTITUTE('worker file'!$A$2:$A$406,_xlfn.UNICHAR(160)," ")),'worker file'!$D$2:$D$406,"Not found")</f>
        <v>TX</v>
      </c>
      <c r="D939" s="36" t="str">
        <f t="array" ref="D939">_xlfn.XLOOKUP($A939,TRIM(SUBSTITUTE('worker file'!$A$2:$A$406,_xlfn.UNICHAR(160)," ")),'worker file'!$Q$2:$Q$406,"Not found")</f>
        <v>Active</v>
      </c>
      <c r="E939" s="35" t="s">
        <v>634</v>
      </c>
      <c r="F939" t="str">
        <f t="shared" si="107"/>
        <v>Vision – Employee</v>
      </c>
      <c r="G939" t="str">
        <f t="shared" si="108"/>
        <v>Pre-tax Section 125 (exempt from FIT/SIT/FICA)</v>
      </c>
      <c r="H939" t="str">
        <f t="shared" si="109"/>
        <v>Flat</v>
      </c>
      <c r="I939" s="40" t="str">
        <f>IF($H939="Percent",_xlfn.XLOOKUP($E939,$A$5:$A$8,$F$5:$F$8,""),"")</f>
        <v/>
      </c>
      <c r="J939" s="38">
        <f t="shared" si="110"/>
        <v>30</v>
      </c>
      <c r="K939" t="str">
        <f t="shared" si="111"/>
        <v>Per pay period</v>
      </c>
      <c r="L939" t="str">
        <f t="shared" si="112"/>
        <v>Every pay period (ongoing)</v>
      </c>
      <c r="M939" s="39">
        <f t="array" ref="M939">MAX(_xlfn.XLOOKUP($A939,TRIM(SUBSTITUTE('worker file'!$A$2:$A$406,_xlfn.UNICHAR(160)," ")),'worker file'!$M$2:$M$406,0),_xlfn.XLOOKUP($B939,TRIM('pay group &amp; schedule'!$A$2:$A$6),'pay group &amp; schedule'!$D$2:$D$6,0))</f>
        <v>46299</v>
      </c>
      <c r="N939" s="39" t="str">
        <f t="array" ref="N939">_xlfn.LET(_xlpm.t,_xlfn.XLOOKUP($A939,TRIM(SUBSTITUTE('worker file'!$A$2:$A$406,_xlfn.UNICHAR(160)," ")),'worker file'!$N$2:$N$406,""),IF(N(_xlpm.t)=0,"",_xlpm.t))</f>
        <v/>
      </c>
    </row>
    <row r="940" spans="1:14" x14ac:dyDescent="0.2">
      <c r="A940" s="35" t="s">
        <v>421</v>
      </c>
      <c r="B940" s="36" t="str">
        <f t="array" ref="B940">_xlfn.XLOOKUP($A940,TRIM(SUBSTITUTE('worker file'!$A$2:$A$406,_xlfn.UNICHAR(160)," ")),'worker file'!$L$2:$L$406,"Not found")</f>
        <v>US Semi-monthly</v>
      </c>
      <c r="C940" s="36" t="str">
        <f t="array" ref="C940">_xlfn.XLOOKUP($A940,TRIM(SUBSTITUTE('worker file'!$A$2:$A$406,_xlfn.UNICHAR(160)," ")),'worker file'!$D$2:$D$406,"Not found")</f>
        <v>CA</v>
      </c>
      <c r="D940" s="36" t="str">
        <f t="array" ref="D940">_xlfn.XLOOKUP($A940,TRIM(SUBSTITUTE('worker file'!$A$2:$A$406,_xlfn.UNICHAR(160)," ")),'worker file'!$Q$2:$Q$406,"Not found")</f>
        <v>Active</v>
      </c>
      <c r="E940" s="35" t="s">
        <v>618</v>
      </c>
      <c r="F940" t="str">
        <f t="shared" si="107"/>
        <v>401(k) Employee Deferral</v>
      </c>
      <c r="G940" t="str">
        <f t="shared" si="108"/>
        <v>Pre-tax (exempt from FIT/SIT; subject to FICA)</v>
      </c>
      <c r="H940" t="str">
        <f t="shared" si="109"/>
        <v>Percent</v>
      </c>
      <c r="I940" s="37">
        <v>0.01</v>
      </c>
      <c r="J940" s="38" t="str">
        <f t="shared" si="110"/>
        <v/>
      </c>
      <c r="K940" t="str">
        <f t="shared" si="111"/>
        <v>Gross pay</v>
      </c>
      <c r="L940" t="str">
        <f t="shared" si="112"/>
        <v>Every pay period (ongoing)</v>
      </c>
      <c r="M940" s="39">
        <f t="array" ref="M940">MAX(_xlfn.XLOOKUP($A940,TRIM(SUBSTITUTE('worker file'!$A$2:$A$406,_xlfn.UNICHAR(160)," ")),'worker file'!$M$2:$M$406,0),_xlfn.XLOOKUP($B940,TRIM('pay group &amp; schedule'!$A$2:$A$6),'pay group &amp; schedule'!$D$2:$D$6,0))</f>
        <v>46311</v>
      </c>
      <c r="N940" s="39" t="str">
        <f t="array" ref="N940">_xlfn.LET(_xlpm.t,_xlfn.XLOOKUP($A940,TRIM(SUBSTITUTE('worker file'!$A$2:$A$406,_xlfn.UNICHAR(160)," ")),'worker file'!$N$2:$N$406,""),IF(N(_xlpm.t)=0,"",_xlpm.t))</f>
        <v/>
      </c>
    </row>
    <row r="941" spans="1:14" x14ac:dyDescent="0.2">
      <c r="A941" s="35" t="s">
        <v>421</v>
      </c>
      <c r="B941" s="36" t="str">
        <f t="array" ref="B941">_xlfn.XLOOKUP($A941,TRIM(SUBSTITUTE('worker file'!$A$2:$A$406,_xlfn.UNICHAR(160)," ")),'worker file'!$L$2:$L$406,"Not found")</f>
        <v>US Semi-monthly</v>
      </c>
      <c r="C941" s="36" t="str">
        <f t="array" ref="C941">_xlfn.XLOOKUP($A941,TRIM(SUBSTITUTE('worker file'!$A$2:$A$406,_xlfn.UNICHAR(160)," ")),'worker file'!$D$2:$D$406,"Not found")</f>
        <v>CA</v>
      </c>
      <c r="D941" s="36" t="str">
        <f t="array" ref="D941">_xlfn.XLOOKUP($A941,TRIM(SUBSTITUTE('worker file'!$A$2:$A$406,_xlfn.UNICHAR(160)," ")),'worker file'!$Q$2:$Q$406,"Not found")</f>
        <v>Active</v>
      </c>
      <c r="E941" s="35" t="s">
        <v>626</v>
      </c>
      <c r="F941" t="str">
        <f t="shared" si="107"/>
        <v>Medical (Health) – Employee</v>
      </c>
      <c r="G941" t="str">
        <f t="shared" si="108"/>
        <v>Pre-tax Section 125 (exempt from FIT/SIT/FICA)</v>
      </c>
      <c r="H941" t="str">
        <f t="shared" si="109"/>
        <v>Flat</v>
      </c>
      <c r="I941" s="40" t="str">
        <f>IF($H941="Percent",_xlfn.XLOOKUP($E941,$A$5:$A$8,$F$5:$F$8,""),"")</f>
        <v/>
      </c>
      <c r="J941" s="38">
        <f t="shared" si="110"/>
        <v>200</v>
      </c>
      <c r="K941" t="str">
        <f t="shared" si="111"/>
        <v>Per pay period</v>
      </c>
      <c r="L941" t="str">
        <f t="shared" si="112"/>
        <v>Every pay period (ongoing)</v>
      </c>
      <c r="M941" s="39">
        <f t="array" ref="M941">MAX(_xlfn.XLOOKUP($A941,TRIM(SUBSTITUTE('worker file'!$A$2:$A$406,_xlfn.UNICHAR(160)," ")),'worker file'!$M$2:$M$406,0),_xlfn.XLOOKUP($B941,TRIM('pay group &amp; schedule'!$A$2:$A$6),'pay group &amp; schedule'!$D$2:$D$6,0))</f>
        <v>46311</v>
      </c>
      <c r="N941" s="39" t="str">
        <f t="array" ref="N941">_xlfn.LET(_xlpm.t,_xlfn.XLOOKUP($A941,TRIM(SUBSTITUTE('worker file'!$A$2:$A$406,_xlfn.UNICHAR(160)," ")),'worker file'!$N$2:$N$406,""),IF(N(_xlpm.t)=0,"",_xlpm.t))</f>
        <v/>
      </c>
    </row>
    <row r="942" spans="1:14" x14ac:dyDescent="0.2">
      <c r="A942" s="35" t="s">
        <v>421</v>
      </c>
      <c r="B942" s="36" t="str">
        <f t="array" ref="B942">_xlfn.XLOOKUP($A942,TRIM(SUBSTITUTE('worker file'!$A$2:$A$406,_xlfn.UNICHAR(160)," ")),'worker file'!$L$2:$L$406,"Not found")</f>
        <v>US Semi-monthly</v>
      </c>
      <c r="C942" s="36" t="str">
        <f t="array" ref="C942">_xlfn.XLOOKUP($A942,TRIM(SUBSTITUTE('worker file'!$A$2:$A$406,_xlfn.UNICHAR(160)," ")),'worker file'!$D$2:$D$406,"Not found")</f>
        <v>CA</v>
      </c>
      <c r="D942" s="36" t="str">
        <f t="array" ref="D942">_xlfn.XLOOKUP($A942,TRIM(SUBSTITUTE('worker file'!$A$2:$A$406,_xlfn.UNICHAR(160)," ")),'worker file'!$Q$2:$Q$406,"Not found")</f>
        <v>Active</v>
      </c>
      <c r="E942" s="35" t="s">
        <v>632</v>
      </c>
      <c r="F942" t="str">
        <f t="shared" si="107"/>
        <v>Dental – Employee</v>
      </c>
      <c r="G942" t="str">
        <f t="shared" si="108"/>
        <v>Pre-tax Section 125 (exempt from FIT/SIT/FICA)</v>
      </c>
      <c r="H942" t="str">
        <f t="shared" si="109"/>
        <v>Flat</v>
      </c>
      <c r="I942" s="40" t="str">
        <f>IF($H942="Percent",_xlfn.XLOOKUP($E942,$A$5:$A$8,$F$5:$F$8,""),"")</f>
        <v/>
      </c>
      <c r="J942" s="38">
        <f t="shared" si="110"/>
        <v>44</v>
      </c>
      <c r="K942" t="str">
        <f t="shared" si="111"/>
        <v>Per pay period</v>
      </c>
      <c r="L942" t="str">
        <f t="shared" si="112"/>
        <v>Every pay period (ongoing)</v>
      </c>
      <c r="M942" s="39">
        <f t="array" ref="M942">MAX(_xlfn.XLOOKUP($A942,TRIM(SUBSTITUTE('worker file'!$A$2:$A$406,_xlfn.UNICHAR(160)," ")),'worker file'!$M$2:$M$406,0),_xlfn.XLOOKUP($B942,TRIM('pay group &amp; schedule'!$A$2:$A$6),'pay group &amp; schedule'!$D$2:$D$6,0))</f>
        <v>46311</v>
      </c>
      <c r="N942" s="39" t="str">
        <f t="array" ref="N942">_xlfn.LET(_xlpm.t,_xlfn.XLOOKUP($A942,TRIM(SUBSTITUTE('worker file'!$A$2:$A$406,_xlfn.UNICHAR(160)," ")),'worker file'!$N$2:$N$406,""),IF(N(_xlpm.t)=0,"",_xlpm.t))</f>
        <v/>
      </c>
    </row>
    <row r="943" spans="1:14" x14ac:dyDescent="0.2">
      <c r="A943" s="35" t="s">
        <v>421</v>
      </c>
      <c r="B943" s="36" t="str">
        <f t="array" ref="B943">_xlfn.XLOOKUP($A943,TRIM(SUBSTITUTE('worker file'!$A$2:$A$406,_xlfn.UNICHAR(160)," ")),'worker file'!$L$2:$L$406,"Not found")</f>
        <v>US Semi-monthly</v>
      </c>
      <c r="C943" s="36" t="str">
        <f t="array" ref="C943">_xlfn.XLOOKUP($A943,TRIM(SUBSTITUTE('worker file'!$A$2:$A$406,_xlfn.UNICHAR(160)," ")),'worker file'!$D$2:$D$406,"Not found")</f>
        <v>CA</v>
      </c>
      <c r="D943" s="36" t="str">
        <f t="array" ref="D943">_xlfn.XLOOKUP($A943,TRIM(SUBSTITUTE('worker file'!$A$2:$A$406,_xlfn.UNICHAR(160)," ")),'worker file'!$Q$2:$Q$406,"Not found")</f>
        <v>Active</v>
      </c>
      <c r="E943" s="35" t="s">
        <v>634</v>
      </c>
      <c r="F943" t="str">
        <f t="shared" si="107"/>
        <v>Vision – Employee</v>
      </c>
      <c r="G943" t="str">
        <f t="shared" si="108"/>
        <v>Pre-tax Section 125 (exempt from FIT/SIT/FICA)</v>
      </c>
      <c r="H943" t="str">
        <f t="shared" si="109"/>
        <v>Flat</v>
      </c>
      <c r="I943" s="40" t="str">
        <f>IF($H943="Percent",_xlfn.XLOOKUP($E943,$A$5:$A$8,$F$5:$F$8,""),"")</f>
        <v/>
      </c>
      <c r="J943" s="38">
        <f t="shared" si="110"/>
        <v>30</v>
      </c>
      <c r="K943" t="str">
        <f t="shared" si="111"/>
        <v>Per pay period</v>
      </c>
      <c r="L943" t="str">
        <f t="shared" si="112"/>
        <v>Every pay period (ongoing)</v>
      </c>
      <c r="M943" s="39">
        <f t="array" ref="M943">MAX(_xlfn.XLOOKUP($A943,TRIM(SUBSTITUTE('worker file'!$A$2:$A$406,_xlfn.UNICHAR(160)," ")),'worker file'!$M$2:$M$406,0),_xlfn.XLOOKUP($B943,TRIM('pay group &amp; schedule'!$A$2:$A$6),'pay group &amp; schedule'!$D$2:$D$6,0))</f>
        <v>46311</v>
      </c>
      <c r="N943" s="39" t="str">
        <f t="array" ref="N943">_xlfn.LET(_xlpm.t,_xlfn.XLOOKUP($A943,TRIM(SUBSTITUTE('worker file'!$A$2:$A$406,_xlfn.UNICHAR(160)," ")),'worker file'!$N$2:$N$406,""),IF(N(_xlpm.t)=0,"",_xlpm.t))</f>
        <v/>
      </c>
    </row>
    <row r="944" spans="1:14" x14ac:dyDescent="0.2">
      <c r="A944" s="35" t="s">
        <v>422</v>
      </c>
      <c r="B944" s="36" t="str">
        <f t="array" ref="B944">_xlfn.XLOOKUP($A944,TRIM(SUBSTITUTE('worker file'!$A$2:$A$406,_xlfn.UNICHAR(160)," ")),'worker file'!$L$2:$L$406,"Not found")</f>
        <v>US Semi-monthly</v>
      </c>
      <c r="C944" s="36" t="str">
        <f t="array" ref="C944">_xlfn.XLOOKUP($A944,TRIM(SUBSTITUTE('worker file'!$A$2:$A$406,_xlfn.UNICHAR(160)," ")),'worker file'!$D$2:$D$406,"Not found")</f>
        <v>CA</v>
      </c>
      <c r="D944" s="36" t="str">
        <f t="array" ref="D944">_xlfn.XLOOKUP($A944,TRIM(SUBSTITUTE('worker file'!$A$2:$A$406,_xlfn.UNICHAR(160)," ")),'worker file'!$Q$2:$Q$406,"Not found")</f>
        <v>Active</v>
      </c>
      <c r="E944" s="35" t="s">
        <v>618</v>
      </c>
      <c r="F944" t="str">
        <f t="shared" si="107"/>
        <v>401(k) Employee Deferral</v>
      </c>
      <c r="G944" t="str">
        <f t="shared" si="108"/>
        <v>Pre-tax (exempt from FIT/SIT; subject to FICA)</v>
      </c>
      <c r="H944" t="str">
        <f t="shared" si="109"/>
        <v>Percent</v>
      </c>
      <c r="I944" s="37">
        <v>0.06</v>
      </c>
      <c r="J944" s="38" t="str">
        <f t="shared" si="110"/>
        <v/>
      </c>
      <c r="K944" t="str">
        <f t="shared" si="111"/>
        <v>Gross pay</v>
      </c>
      <c r="L944" t="str">
        <f t="shared" si="112"/>
        <v>Every pay period (ongoing)</v>
      </c>
      <c r="M944" s="39">
        <f t="array" ref="M944">MAX(_xlfn.XLOOKUP($A944,TRIM(SUBSTITUTE('worker file'!$A$2:$A$406,_xlfn.UNICHAR(160)," ")),'worker file'!$M$2:$M$406,0),_xlfn.XLOOKUP($B944,TRIM('pay group &amp; schedule'!$A$2:$A$6),'pay group &amp; schedule'!$D$2:$D$6,0))</f>
        <v>46311</v>
      </c>
      <c r="N944" s="39" t="str">
        <f t="array" ref="N944">_xlfn.LET(_xlpm.t,_xlfn.XLOOKUP($A944,TRIM(SUBSTITUTE('worker file'!$A$2:$A$406,_xlfn.UNICHAR(160)," ")),'worker file'!$N$2:$N$406,""),IF(N(_xlpm.t)=0,"",_xlpm.t))</f>
        <v/>
      </c>
    </row>
    <row r="945" spans="1:14" x14ac:dyDescent="0.2">
      <c r="A945" s="35" t="s">
        <v>422</v>
      </c>
      <c r="B945" s="36" t="str">
        <f t="array" ref="B945">_xlfn.XLOOKUP($A945,TRIM(SUBSTITUTE('worker file'!$A$2:$A$406,_xlfn.UNICHAR(160)," ")),'worker file'!$L$2:$L$406,"Not found")</f>
        <v>US Semi-monthly</v>
      </c>
      <c r="C945" s="36" t="str">
        <f t="array" ref="C945">_xlfn.XLOOKUP($A945,TRIM(SUBSTITUTE('worker file'!$A$2:$A$406,_xlfn.UNICHAR(160)," ")),'worker file'!$D$2:$D$406,"Not found")</f>
        <v>CA</v>
      </c>
      <c r="D945" s="36" t="str">
        <f t="array" ref="D945">_xlfn.XLOOKUP($A945,TRIM(SUBSTITUTE('worker file'!$A$2:$A$406,_xlfn.UNICHAR(160)," ")),'worker file'!$Q$2:$Q$406,"Not found")</f>
        <v>Active</v>
      </c>
      <c r="E945" s="35" t="s">
        <v>626</v>
      </c>
      <c r="F945" t="str">
        <f t="shared" si="107"/>
        <v>Medical (Health) – Employee</v>
      </c>
      <c r="G945" t="str">
        <f t="shared" si="108"/>
        <v>Pre-tax Section 125 (exempt from FIT/SIT/FICA)</v>
      </c>
      <c r="H945" t="str">
        <f t="shared" si="109"/>
        <v>Flat</v>
      </c>
      <c r="I945" s="40" t="str">
        <f>IF($H945="Percent",_xlfn.XLOOKUP($E945,$A$5:$A$8,$F$5:$F$8,""),"")</f>
        <v/>
      </c>
      <c r="J945" s="38">
        <f t="shared" si="110"/>
        <v>200</v>
      </c>
      <c r="K945" t="str">
        <f t="shared" si="111"/>
        <v>Per pay period</v>
      </c>
      <c r="L945" t="str">
        <f t="shared" si="112"/>
        <v>Every pay period (ongoing)</v>
      </c>
      <c r="M945" s="39">
        <f t="array" ref="M945">MAX(_xlfn.XLOOKUP($A945,TRIM(SUBSTITUTE('worker file'!$A$2:$A$406,_xlfn.UNICHAR(160)," ")),'worker file'!$M$2:$M$406,0),_xlfn.XLOOKUP($B945,TRIM('pay group &amp; schedule'!$A$2:$A$6),'pay group &amp; schedule'!$D$2:$D$6,0))</f>
        <v>46311</v>
      </c>
      <c r="N945" s="39" t="str">
        <f t="array" ref="N945">_xlfn.LET(_xlpm.t,_xlfn.XLOOKUP($A945,TRIM(SUBSTITUTE('worker file'!$A$2:$A$406,_xlfn.UNICHAR(160)," ")),'worker file'!$N$2:$N$406,""),IF(N(_xlpm.t)=0,"",_xlpm.t))</f>
        <v/>
      </c>
    </row>
    <row r="946" spans="1:14" x14ac:dyDescent="0.2">
      <c r="A946" s="35" t="s">
        <v>422</v>
      </c>
      <c r="B946" s="36" t="str">
        <f t="array" ref="B946">_xlfn.XLOOKUP($A946,TRIM(SUBSTITUTE('worker file'!$A$2:$A$406,_xlfn.UNICHAR(160)," ")),'worker file'!$L$2:$L$406,"Not found")</f>
        <v>US Semi-monthly</v>
      </c>
      <c r="C946" s="36" t="str">
        <f t="array" ref="C946">_xlfn.XLOOKUP($A946,TRIM(SUBSTITUTE('worker file'!$A$2:$A$406,_xlfn.UNICHAR(160)," ")),'worker file'!$D$2:$D$406,"Not found")</f>
        <v>CA</v>
      </c>
      <c r="D946" s="36" t="str">
        <f t="array" ref="D946">_xlfn.XLOOKUP($A946,TRIM(SUBSTITUTE('worker file'!$A$2:$A$406,_xlfn.UNICHAR(160)," ")),'worker file'!$Q$2:$Q$406,"Not found")</f>
        <v>Active</v>
      </c>
      <c r="E946" s="35" t="s">
        <v>632</v>
      </c>
      <c r="F946" t="str">
        <f t="shared" si="107"/>
        <v>Dental – Employee</v>
      </c>
      <c r="G946" t="str">
        <f t="shared" si="108"/>
        <v>Pre-tax Section 125 (exempt from FIT/SIT/FICA)</v>
      </c>
      <c r="H946" t="str">
        <f t="shared" si="109"/>
        <v>Flat</v>
      </c>
      <c r="I946" s="40" t="str">
        <f>IF($H946="Percent",_xlfn.XLOOKUP($E946,$A$5:$A$8,$F$5:$F$8,""),"")</f>
        <v/>
      </c>
      <c r="J946" s="38">
        <f t="shared" si="110"/>
        <v>44</v>
      </c>
      <c r="K946" t="str">
        <f t="shared" si="111"/>
        <v>Per pay period</v>
      </c>
      <c r="L946" t="str">
        <f t="shared" si="112"/>
        <v>Every pay period (ongoing)</v>
      </c>
      <c r="M946" s="39">
        <f t="array" ref="M946">MAX(_xlfn.XLOOKUP($A946,TRIM(SUBSTITUTE('worker file'!$A$2:$A$406,_xlfn.UNICHAR(160)," ")),'worker file'!$M$2:$M$406,0),_xlfn.XLOOKUP($B946,TRIM('pay group &amp; schedule'!$A$2:$A$6),'pay group &amp; schedule'!$D$2:$D$6,0))</f>
        <v>46311</v>
      </c>
      <c r="N946" s="39" t="str">
        <f t="array" ref="N946">_xlfn.LET(_xlpm.t,_xlfn.XLOOKUP($A946,TRIM(SUBSTITUTE('worker file'!$A$2:$A$406,_xlfn.UNICHAR(160)," ")),'worker file'!$N$2:$N$406,""),IF(N(_xlpm.t)=0,"",_xlpm.t))</f>
        <v/>
      </c>
    </row>
    <row r="947" spans="1:14" x14ac:dyDescent="0.2">
      <c r="A947" s="35" t="s">
        <v>422</v>
      </c>
      <c r="B947" s="36" t="str">
        <f t="array" ref="B947">_xlfn.XLOOKUP($A947,TRIM(SUBSTITUTE('worker file'!$A$2:$A$406,_xlfn.UNICHAR(160)," ")),'worker file'!$L$2:$L$406,"Not found")</f>
        <v>US Semi-monthly</v>
      </c>
      <c r="C947" s="36" t="str">
        <f t="array" ref="C947">_xlfn.XLOOKUP($A947,TRIM(SUBSTITUTE('worker file'!$A$2:$A$406,_xlfn.UNICHAR(160)," ")),'worker file'!$D$2:$D$406,"Not found")</f>
        <v>CA</v>
      </c>
      <c r="D947" s="36" t="str">
        <f t="array" ref="D947">_xlfn.XLOOKUP($A947,TRIM(SUBSTITUTE('worker file'!$A$2:$A$406,_xlfn.UNICHAR(160)," ")),'worker file'!$Q$2:$Q$406,"Not found")</f>
        <v>Active</v>
      </c>
      <c r="E947" s="35" t="s">
        <v>634</v>
      </c>
      <c r="F947" t="str">
        <f t="shared" si="107"/>
        <v>Vision – Employee</v>
      </c>
      <c r="G947" t="str">
        <f t="shared" si="108"/>
        <v>Pre-tax Section 125 (exempt from FIT/SIT/FICA)</v>
      </c>
      <c r="H947" t="str">
        <f t="shared" si="109"/>
        <v>Flat</v>
      </c>
      <c r="I947" s="40" t="str">
        <f>IF($H947="Percent",_xlfn.XLOOKUP($E947,$A$5:$A$8,$F$5:$F$8,""),"")</f>
        <v/>
      </c>
      <c r="J947" s="38">
        <f t="shared" si="110"/>
        <v>30</v>
      </c>
      <c r="K947" t="str">
        <f t="shared" si="111"/>
        <v>Per pay period</v>
      </c>
      <c r="L947" t="str">
        <f t="shared" si="112"/>
        <v>Every pay period (ongoing)</v>
      </c>
      <c r="M947" s="39">
        <f t="array" ref="M947">MAX(_xlfn.XLOOKUP($A947,TRIM(SUBSTITUTE('worker file'!$A$2:$A$406,_xlfn.UNICHAR(160)," ")),'worker file'!$M$2:$M$406,0),_xlfn.XLOOKUP($B947,TRIM('pay group &amp; schedule'!$A$2:$A$6),'pay group &amp; schedule'!$D$2:$D$6,0))</f>
        <v>46311</v>
      </c>
      <c r="N947" s="39" t="str">
        <f t="array" ref="N947">_xlfn.LET(_xlpm.t,_xlfn.XLOOKUP($A947,TRIM(SUBSTITUTE('worker file'!$A$2:$A$406,_xlfn.UNICHAR(160)," ")),'worker file'!$N$2:$N$406,""),IF(N(_xlpm.t)=0,"",_xlpm.t))</f>
        <v/>
      </c>
    </row>
    <row r="948" spans="1:14" x14ac:dyDescent="0.2">
      <c r="A948" s="35" t="s">
        <v>425</v>
      </c>
      <c r="B948" s="36" t="str">
        <f t="array" ref="B948">_xlfn.XLOOKUP($A948,TRIM(SUBSTITUTE('worker file'!$A$2:$A$406,_xlfn.UNICHAR(160)," ")),'worker file'!$L$2:$L$406,"Not found")</f>
        <v>US Semi-monthly</v>
      </c>
      <c r="C948" s="36" t="str">
        <f t="array" ref="C948">_xlfn.XLOOKUP($A948,TRIM(SUBSTITUTE('worker file'!$A$2:$A$406,_xlfn.UNICHAR(160)," ")),'worker file'!$D$2:$D$406,"Not found")</f>
        <v>CA</v>
      </c>
      <c r="D948" s="36" t="str">
        <f t="array" ref="D948">_xlfn.XLOOKUP($A948,TRIM(SUBSTITUTE('worker file'!$A$2:$A$406,_xlfn.UNICHAR(160)," ")),'worker file'!$Q$2:$Q$406,"Not found")</f>
        <v>Active</v>
      </c>
      <c r="E948" s="35" t="s">
        <v>618</v>
      </c>
      <c r="F948" t="str">
        <f t="shared" si="107"/>
        <v>401(k) Employee Deferral</v>
      </c>
      <c r="G948" t="str">
        <f t="shared" si="108"/>
        <v>Pre-tax (exempt from FIT/SIT; subject to FICA)</v>
      </c>
      <c r="H948" t="str">
        <f t="shared" si="109"/>
        <v>Percent</v>
      </c>
      <c r="I948" s="37">
        <v>0.03</v>
      </c>
      <c r="J948" s="38" t="str">
        <f t="shared" si="110"/>
        <v/>
      </c>
      <c r="K948" t="str">
        <f t="shared" si="111"/>
        <v>Gross pay</v>
      </c>
      <c r="L948" t="str">
        <f t="shared" si="112"/>
        <v>Every pay period (ongoing)</v>
      </c>
      <c r="M948" s="39">
        <f t="array" ref="M948">MAX(_xlfn.XLOOKUP($A948,TRIM(SUBSTITUTE('worker file'!$A$2:$A$406,_xlfn.UNICHAR(160)," ")),'worker file'!$M$2:$M$406,0),_xlfn.XLOOKUP($B948,TRIM('pay group &amp; schedule'!$A$2:$A$6),'pay group &amp; schedule'!$D$2:$D$6,0))</f>
        <v>46311</v>
      </c>
      <c r="N948" s="39" t="str">
        <f t="array" ref="N948">_xlfn.LET(_xlpm.t,_xlfn.XLOOKUP($A948,TRIM(SUBSTITUTE('worker file'!$A$2:$A$406,_xlfn.UNICHAR(160)," ")),'worker file'!$N$2:$N$406,""),IF(N(_xlpm.t)=0,"",_xlpm.t))</f>
        <v/>
      </c>
    </row>
    <row r="949" spans="1:14" x14ac:dyDescent="0.2">
      <c r="A949" s="35" t="s">
        <v>425</v>
      </c>
      <c r="B949" s="36" t="str">
        <f t="array" ref="B949">_xlfn.XLOOKUP($A949,TRIM(SUBSTITUTE('worker file'!$A$2:$A$406,_xlfn.UNICHAR(160)," ")),'worker file'!$L$2:$L$406,"Not found")</f>
        <v>US Semi-monthly</v>
      </c>
      <c r="C949" s="36" t="str">
        <f t="array" ref="C949">_xlfn.XLOOKUP($A949,TRIM(SUBSTITUTE('worker file'!$A$2:$A$406,_xlfn.UNICHAR(160)," ")),'worker file'!$D$2:$D$406,"Not found")</f>
        <v>CA</v>
      </c>
      <c r="D949" s="36" t="str">
        <f t="array" ref="D949">_xlfn.XLOOKUP($A949,TRIM(SUBSTITUTE('worker file'!$A$2:$A$406,_xlfn.UNICHAR(160)," ")),'worker file'!$Q$2:$Q$406,"Not found")</f>
        <v>Active</v>
      </c>
      <c r="E949" s="35" t="s">
        <v>626</v>
      </c>
      <c r="F949" t="str">
        <f t="shared" si="107"/>
        <v>Medical (Health) – Employee</v>
      </c>
      <c r="G949" t="str">
        <f t="shared" si="108"/>
        <v>Pre-tax Section 125 (exempt from FIT/SIT/FICA)</v>
      </c>
      <c r="H949" t="str">
        <f t="shared" si="109"/>
        <v>Flat</v>
      </c>
      <c r="I949" s="40" t="str">
        <f t="shared" ref="I949:I954" si="114">IF($H949="Percent",_xlfn.XLOOKUP($E949,$A$5:$A$8,$F$5:$F$8,""),"")</f>
        <v/>
      </c>
      <c r="J949" s="38">
        <f t="shared" si="110"/>
        <v>200</v>
      </c>
      <c r="K949" t="str">
        <f t="shared" si="111"/>
        <v>Per pay period</v>
      </c>
      <c r="L949" t="str">
        <f t="shared" si="112"/>
        <v>Every pay period (ongoing)</v>
      </c>
      <c r="M949" s="39">
        <f t="array" ref="M949">MAX(_xlfn.XLOOKUP($A949,TRIM(SUBSTITUTE('worker file'!$A$2:$A$406,_xlfn.UNICHAR(160)," ")),'worker file'!$M$2:$M$406,0),_xlfn.XLOOKUP($B949,TRIM('pay group &amp; schedule'!$A$2:$A$6),'pay group &amp; schedule'!$D$2:$D$6,0))</f>
        <v>46311</v>
      </c>
      <c r="N949" s="39" t="str">
        <f t="array" ref="N949">_xlfn.LET(_xlpm.t,_xlfn.XLOOKUP($A949,TRIM(SUBSTITUTE('worker file'!$A$2:$A$406,_xlfn.UNICHAR(160)," ")),'worker file'!$N$2:$N$406,""),IF(N(_xlpm.t)=0,"",_xlpm.t))</f>
        <v/>
      </c>
    </row>
    <row r="950" spans="1:14" x14ac:dyDescent="0.2">
      <c r="A950" s="35" t="s">
        <v>425</v>
      </c>
      <c r="B950" s="36" t="str">
        <f t="array" ref="B950">_xlfn.XLOOKUP($A950,TRIM(SUBSTITUTE('worker file'!$A$2:$A$406,_xlfn.UNICHAR(160)," ")),'worker file'!$L$2:$L$406,"Not found")</f>
        <v>US Semi-monthly</v>
      </c>
      <c r="C950" s="36" t="str">
        <f t="array" ref="C950">_xlfn.XLOOKUP($A950,TRIM(SUBSTITUTE('worker file'!$A$2:$A$406,_xlfn.UNICHAR(160)," ")),'worker file'!$D$2:$D$406,"Not found")</f>
        <v>CA</v>
      </c>
      <c r="D950" s="36" t="str">
        <f t="array" ref="D950">_xlfn.XLOOKUP($A950,TRIM(SUBSTITUTE('worker file'!$A$2:$A$406,_xlfn.UNICHAR(160)," ")),'worker file'!$Q$2:$Q$406,"Not found")</f>
        <v>Active</v>
      </c>
      <c r="E950" s="35" t="s">
        <v>632</v>
      </c>
      <c r="F950" t="str">
        <f t="shared" si="107"/>
        <v>Dental – Employee</v>
      </c>
      <c r="G950" t="str">
        <f t="shared" si="108"/>
        <v>Pre-tax Section 125 (exempt from FIT/SIT/FICA)</v>
      </c>
      <c r="H950" t="str">
        <f t="shared" si="109"/>
        <v>Flat</v>
      </c>
      <c r="I950" s="40" t="str">
        <f t="shared" si="114"/>
        <v/>
      </c>
      <c r="J950" s="38">
        <f t="shared" si="110"/>
        <v>44</v>
      </c>
      <c r="K950" t="str">
        <f t="shared" si="111"/>
        <v>Per pay period</v>
      </c>
      <c r="L950" t="str">
        <f t="shared" si="112"/>
        <v>Every pay period (ongoing)</v>
      </c>
      <c r="M950" s="39">
        <f t="array" ref="M950">MAX(_xlfn.XLOOKUP($A950,TRIM(SUBSTITUTE('worker file'!$A$2:$A$406,_xlfn.UNICHAR(160)," ")),'worker file'!$M$2:$M$406,0),_xlfn.XLOOKUP($B950,TRIM('pay group &amp; schedule'!$A$2:$A$6),'pay group &amp; schedule'!$D$2:$D$6,0))</f>
        <v>46311</v>
      </c>
      <c r="N950" s="39" t="str">
        <f t="array" ref="N950">_xlfn.LET(_xlpm.t,_xlfn.XLOOKUP($A950,TRIM(SUBSTITUTE('worker file'!$A$2:$A$406,_xlfn.UNICHAR(160)," ")),'worker file'!$N$2:$N$406,""),IF(N(_xlpm.t)=0,"",_xlpm.t))</f>
        <v/>
      </c>
    </row>
    <row r="951" spans="1:14" x14ac:dyDescent="0.2">
      <c r="A951" s="35" t="s">
        <v>425</v>
      </c>
      <c r="B951" s="36" t="str">
        <f t="array" ref="B951">_xlfn.XLOOKUP($A951,TRIM(SUBSTITUTE('worker file'!$A$2:$A$406,_xlfn.UNICHAR(160)," ")),'worker file'!$L$2:$L$406,"Not found")</f>
        <v>US Semi-monthly</v>
      </c>
      <c r="C951" s="36" t="str">
        <f t="array" ref="C951">_xlfn.XLOOKUP($A951,TRIM(SUBSTITUTE('worker file'!$A$2:$A$406,_xlfn.UNICHAR(160)," ")),'worker file'!$D$2:$D$406,"Not found")</f>
        <v>CA</v>
      </c>
      <c r="D951" s="36" t="str">
        <f t="array" ref="D951">_xlfn.XLOOKUP($A951,TRIM(SUBSTITUTE('worker file'!$A$2:$A$406,_xlfn.UNICHAR(160)," ")),'worker file'!$Q$2:$Q$406,"Not found")</f>
        <v>Active</v>
      </c>
      <c r="E951" s="35" t="s">
        <v>634</v>
      </c>
      <c r="F951" t="str">
        <f t="shared" si="107"/>
        <v>Vision – Employee</v>
      </c>
      <c r="G951" t="str">
        <f t="shared" si="108"/>
        <v>Pre-tax Section 125 (exempt from FIT/SIT/FICA)</v>
      </c>
      <c r="H951" t="str">
        <f t="shared" si="109"/>
        <v>Flat</v>
      </c>
      <c r="I951" s="40" t="str">
        <f t="shared" si="114"/>
        <v/>
      </c>
      <c r="J951" s="38">
        <f t="shared" si="110"/>
        <v>30</v>
      </c>
      <c r="K951" t="str">
        <f t="shared" si="111"/>
        <v>Per pay period</v>
      </c>
      <c r="L951" t="str">
        <f t="shared" si="112"/>
        <v>Every pay period (ongoing)</v>
      </c>
      <c r="M951" s="39">
        <f t="array" ref="M951">MAX(_xlfn.XLOOKUP($A951,TRIM(SUBSTITUTE('worker file'!$A$2:$A$406,_xlfn.UNICHAR(160)," ")),'worker file'!$M$2:$M$406,0),_xlfn.XLOOKUP($B951,TRIM('pay group &amp; schedule'!$A$2:$A$6),'pay group &amp; schedule'!$D$2:$D$6,0))</f>
        <v>46311</v>
      </c>
      <c r="N951" s="39" t="str">
        <f t="array" ref="N951">_xlfn.LET(_xlpm.t,_xlfn.XLOOKUP($A951,TRIM(SUBSTITUTE('worker file'!$A$2:$A$406,_xlfn.UNICHAR(160)," ")),'worker file'!$N$2:$N$406,""),IF(N(_xlpm.t)=0,"",_xlpm.t))</f>
        <v/>
      </c>
    </row>
    <row r="952" spans="1:14" x14ac:dyDescent="0.2">
      <c r="A952" s="35" t="s">
        <v>426</v>
      </c>
      <c r="B952" s="36" t="str">
        <f t="array" ref="B952">_xlfn.XLOOKUP($A952,TRIM(SUBSTITUTE('worker file'!$A$2:$A$406,_xlfn.UNICHAR(160)," ")),'worker file'!$L$2:$L$406,"Not found")</f>
        <v>US Semi-monthly</v>
      </c>
      <c r="C952" s="36" t="str">
        <f t="array" ref="C952">_xlfn.XLOOKUP($A952,TRIM(SUBSTITUTE('worker file'!$A$2:$A$406,_xlfn.UNICHAR(160)," ")),'worker file'!$D$2:$D$406,"Not found")</f>
        <v>TX</v>
      </c>
      <c r="D952" s="36" t="str">
        <f t="array" ref="D952">_xlfn.XLOOKUP($A952,TRIM(SUBSTITUTE('worker file'!$A$2:$A$406,_xlfn.UNICHAR(160)," ")),'worker file'!$Q$2:$Q$406,"Not found")</f>
        <v>Active</v>
      </c>
      <c r="E952" s="35" t="s">
        <v>626</v>
      </c>
      <c r="F952" t="str">
        <f t="shared" si="107"/>
        <v>Medical (Health) – Employee</v>
      </c>
      <c r="G952" t="str">
        <f t="shared" si="108"/>
        <v>Pre-tax Section 125 (exempt from FIT/SIT/FICA)</v>
      </c>
      <c r="H952" t="str">
        <f t="shared" si="109"/>
        <v>Flat</v>
      </c>
      <c r="I952" s="40" t="str">
        <f t="shared" si="114"/>
        <v/>
      </c>
      <c r="J952" s="38">
        <f t="shared" si="110"/>
        <v>200</v>
      </c>
      <c r="K952" t="str">
        <f t="shared" si="111"/>
        <v>Per pay period</v>
      </c>
      <c r="L952" t="str">
        <f t="shared" si="112"/>
        <v>Every pay period (ongoing)</v>
      </c>
      <c r="M952" s="39">
        <f t="array" ref="M952">MAX(_xlfn.XLOOKUP($A952,TRIM(SUBSTITUTE('worker file'!$A$2:$A$406,_xlfn.UNICHAR(160)," ")),'worker file'!$M$2:$M$406,0),_xlfn.XLOOKUP($B952,TRIM('pay group &amp; schedule'!$A$2:$A$6),'pay group &amp; schedule'!$D$2:$D$6,0))</f>
        <v>46311</v>
      </c>
      <c r="N952" s="39" t="str">
        <f t="array" ref="N952">_xlfn.LET(_xlpm.t,_xlfn.XLOOKUP($A952,TRIM(SUBSTITUTE('worker file'!$A$2:$A$406,_xlfn.UNICHAR(160)," ")),'worker file'!$N$2:$N$406,""),IF(N(_xlpm.t)=0,"",_xlpm.t))</f>
        <v/>
      </c>
    </row>
    <row r="953" spans="1:14" x14ac:dyDescent="0.2">
      <c r="A953" s="35" t="s">
        <v>426</v>
      </c>
      <c r="B953" s="36" t="str">
        <f t="array" ref="B953">_xlfn.XLOOKUP($A953,TRIM(SUBSTITUTE('worker file'!$A$2:$A$406,_xlfn.UNICHAR(160)," ")),'worker file'!$L$2:$L$406,"Not found")</f>
        <v>US Semi-monthly</v>
      </c>
      <c r="C953" s="36" t="str">
        <f t="array" ref="C953">_xlfn.XLOOKUP($A953,TRIM(SUBSTITUTE('worker file'!$A$2:$A$406,_xlfn.UNICHAR(160)," ")),'worker file'!$D$2:$D$406,"Not found")</f>
        <v>TX</v>
      </c>
      <c r="D953" s="36" t="str">
        <f t="array" ref="D953">_xlfn.XLOOKUP($A953,TRIM(SUBSTITUTE('worker file'!$A$2:$A$406,_xlfn.UNICHAR(160)," ")),'worker file'!$Q$2:$Q$406,"Not found")</f>
        <v>Active</v>
      </c>
      <c r="E953" s="35" t="s">
        <v>632</v>
      </c>
      <c r="F953" t="str">
        <f t="shared" si="107"/>
        <v>Dental – Employee</v>
      </c>
      <c r="G953" t="str">
        <f t="shared" si="108"/>
        <v>Pre-tax Section 125 (exempt from FIT/SIT/FICA)</v>
      </c>
      <c r="H953" t="str">
        <f t="shared" si="109"/>
        <v>Flat</v>
      </c>
      <c r="I953" s="40" t="str">
        <f t="shared" si="114"/>
        <v/>
      </c>
      <c r="J953" s="38">
        <f t="shared" si="110"/>
        <v>44</v>
      </c>
      <c r="K953" t="str">
        <f t="shared" si="111"/>
        <v>Per pay period</v>
      </c>
      <c r="L953" t="str">
        <f t="shared" si="112"/>
        <v>Every pay period (ongoing)</v>
      </c>
      <c r="M953" s="39">
        <f t="array" ref="M953">MAX(_xlfn.XLOOKUP($A953,TRIM(SUBSTITUTE('worker file'!$A$2:$A$406,_xlfn.UNICHAR(160)," ")),'worker file'!$M$2:$M$406,0),_xlfn.XLOOKUP($B953,TRIM('pay group &amp; schedule'!$A$2:$A$6),'pay group &amp; schedule'!$D$2:$D$6,0))</f>
        <v>46311</v>
      </c>
      <c r="N953" s="39" t="str">
        <f t="array" ref="N953">_xlfn.LET(_xlpm.t,_xlfn.XLOOKUP($A953,TRIM(SUBSTITUTE('worker file'!$A$2:$A$406,_xlfn.UNICHAR(160)," ")),'worker file'!$N$2:$N$406,""),IF(N(_xlpm.t)=0,"",_xlpm.t))</f>
        <v/>
      </c>
    </row>
    <row r="954" spans="1:14" x14ac:dyDescent="0.2">
      <c r="A954" s="35" t="s">
        <v>426</v>
      </c>
      <c r="B954" s="36" t="str">
        <f t="array" ref="B954">_xlfn.XLOOKUP($A954,TRIM(SUBSTITUTE('worker file'!$A$2:$A$406,_xlfn.UNICHAR(160)," ")),'worker file'!$L$2:$L$406,"Not found")</f>
        <v>US Semi-monthly</v>
      </c>
      <c r="C954" s="36" t="str">
        <f t="array" ref="C954">_xlfn.XLOOKUP($A954,TRIM(SUBSTITUTE('worker file'!$A$2:$A$406,_xlfn.UNICHAR(160)," ")),'worker file'!$D$2:$D$406,"Not found")</f>
        <v>TX</v>
      </c>
      <c r="D954" s="36" t="str">
        <f t="array" ref="D954">_xlfn.XLOOKUP($A954,TRIM(SUBSTITUTE('worker file'!$A$2:$A$406,_xlfn.UNICHAR(160)," ")),'worker file'!$Q$2:$Q$406,"Not found")</f>
        <v>Active</v>
      </c>
      <c r="E954" s="35" t="s">
        <v>634</v>
      </c>
      <c r="F954" t="str">
        <f t="shared" si="107"/>
        <v>Vision – Employee</v>
      </c>
      <c r="G954" t="str">
        <f t="shared" si="108"/>
        <v>Pre-tax Section 125 (exempt from FIT/SIT/FICA)</v>
      </c>
      <c r="H954" t="str">
        <f t="shared" si="109"/>
        <v>Flat</v>
      </c>
      <c r="I954" s="40" t="str">
        <f t="shared" si="114"/>
        <v/>
      </c>
      <c r="J954" s="38">
        <f t="shared" si="110"/>
        <v>30</v>
      </c>
      <c r="K954" t="str">
        <f t="shared" si="111"/>
        <v>Per pay period</v>
      </c>
      <c r="L954" t="str">
        <f t="shared" si="112"/>
        <v>Every pay period (ongoing)</v>
      </c>
      <c r="M954" s="39">
        <f t="array" ref="M954">MAX(_xlfn.XLOOKUP($A954,TRIM(SUBSTITUTE('worker file'!$A$2:$A$406,_xlfn.UNICHAR(160)," ")),'worker file'!$M$2:$M$406,0),_xlfn.XLOOKUP($B954,TRIM('pay group &amp; schedule'!$A$2:$A$6),'pay group &amp; schedule'!$D$2:$D$6,0))</f>
        <v>46311</v>
      </c>
      <c r="N954" s="39" t="str">
        <f t="array" ref="N954">_xlfn.LET(_xlpm.t,_xlfn.XLOOKUP($A954,TRIM(SUBSTITUTE('worker file'!$A$2:$A$406,_xlfn.UNICHAR(160)," ")),'worker file'!$N$2:$N$406,""),IF(N(_xlpm.t)=0,"",_xlpm.t))</f>
        <v/>
      </c>
    </row>
    <row r="955" spans="1:14" x14ac:dyDescent="0.2">
      <c r="A955" s="35" t="s">
        <v>427</v>
      </c>
      <c r="B955" s="36" t="str">
        <f t="array" ref="B955">_xlfn.XLOOKUP($A955,TRIM(SUBSTITUTE('worker file'!$A$2:$A$406,_xlfn.UNICHAR(160)," ")),'worker file'!$L$2:$L$406,"Not found")</f>
        <v>US Semi-monthly</v>
      </c>
      <c r="C955" s="36" t="str">
        <f t="array" ref="C955">_xlfn.XLOOKUP($A955,TRIM(SUBSTITUTE('worker file'!$A$2:$A$406,_xlfn.UNICHAR(160)," ")),'worker file'!$D$2:$D$406,"Not found")</f>
        <v>CA</v>
      </c>
      <c r="D955" s="36" t="str">
        <f t="array" ref="D955">_xlfn.XLOOKUP($A955,TRIM(SUBSTITUTE('worker file'!$A$2:$A$406,_xlfn.UNICHAR(160)," ")),'worker file'!$Q$2:$Q$406,"Not found")</f>
        <v>Active</v>
      </c>
      <c r="E955" s="35" t="s">
        <v>618</v>
      </c>
      <c r="F955" t="str">
        <f t="shared" si="107"/>
        <v>401(k) Employee Deferral</v>
      </c>
      <c r="G955" t="str">
        <f t="shared" si="108"/>
        <v>Pre-tax (exempt from FIT/SIT; subject to FICA)</v>
      </c>
      <c r="H955" t="str">
        <f t="shared" si="109"/>
        <v>Percent</v>
      </c>
      <c r="I955" s="37">
        <v>0.05</v>
      </c>
      <c r="J955" s="38" t="str">
        <f t="shared" si="110"/>
        <v/>
      </c>
      <c r="K955" t="str">
        <f t="shared" si="111"/>
        <v>Gross pay</v>
      </c>
      <c r="L955" t="str">
        <f t="shared" si="112"/>
        <v>Every pay period (ongoing)</v>
      </c>
      <c r="M955" s="39">
        <f t="array" ref="M955">MAX(_xlfn.XLOOKUP($A955,TRIM(SUBSTITUTE('worker file'!$A$2:$A$406,_xlfn.UNICHAR(160)," ")),'worker file'!$M$2:$M$406,0),_xlfn.XLOOKUP($B955,TRIM('pay group &amp; schedule'!$A$2:$A$6),'pay group &amp; schedule'!$D$2:$D$6,0))</f>
        <v>46311</v>
      </c>
      <c r="N955" s="39" t="str">
        <f t="array" ref="N955">_xlfn.LET(_xlpm.t,_xlfn.XLOOKUP($A955,TRIM(SUBSTITUTE('worker file'!$A$2:$A$406,_xlfn.UNICHAR(160)," ")),'worker file'!$N$2:$N$406,""),IF(N(_xlpm.t)=0,"",_xlpm.t))</f>
        <v/>
      </c>
    </row>
    <row r="956" spans="1:14" x14ac:dyDescent="0.2">
      <c r="A956" s="35" t="s">
        <v>427</v>
      </c>
      <c r="B956" s="36" t="str">
        <f t="array" ref="B956">_xlfn.XLOOKUP($A956,TRIM(SUBSTITUTE('worker file'!$A$2:$A$406,_xlfn.UNICHAR(160)," ")),'worker file'!$L$2:$L$406,"Not found")</f>
        <v>US Semi-monthly</v>
      </c>
      <c r="C956" s="36" t="str">
        <f t="array" ref="C956">_xlfn.XLOOKUP($A956,TRIM(SUBSTITUTE('worker file'!$A$2:$A$406,_xlfn.UNICHAR(160)," ")),'worker file'!$D$2:$D$406,"Not found")</f>
        <v>CA</v>
      </c>
      <c r="D956" s="36" t="str">
        <f t="array" ref="D956">_xlfn.XLOOKUP($A956,TRIM(SUBSTITUTE('worker file'!$A$2:$A$406,_xlfn.UNICHAR(160)," ")),'worker file'!$Q$2:$Q$406,"Not found")</f>
        <v>Active</v>
      </c>
      <c r="E956" s="35" t="s">
        <v>626</v>
      </c>
      <c r="F956" t="str">
        <f t="shared" si="107"/>
        <v>Medical (Health) – Employee</v>
      </c>
      <c r="G956" t="str">
        <f t="shared" si="108"/>
        <v>Pre-tax Section 125 (exempt from FIT/SIT/FICA)</v>
      </c>
      <c r="H956" t="str">
        <f t="shared" si="109"/>
        <v>Flat</v>
      </c>
      <c r="I956" s="40" t="str">
        <f>IF($H956="Percent",_xlfn.XLOOKUP($E956,$A$5:$A$8,$F$5:$F$8,""),"")</f>
        <v/>
      </c>
      <c r="J956" s="38">
        <f t="shared" si="110"/>
        <v>200</v>
      </c>
      <c r="K956" t="str">
        <f t="shared" si="111"/>
        <v>Per pay period</v>
      </c>
      <c r="L956" t="str">
        <f t="shared" si="112"/>
        <v>Every pay period (ongoing)</v>
      </c>
      <c r="M956" s="39">
        <f t="array" ref="M956">MAX(_xlfn.XLOOKUP($A956,TRIM(SUBSTITUTE('worker file'!$A$2:$A$406,_xlfn.UNICHAR(160)," ")),'worker file'!$M$2:$M$406,0),_xlfn.XLOOKUP($B956,TRIM('pay group &amp; schedule'!$A$2:$A$6),'pay group &amp; schedule'!$D$2:$D$6,0))</f>
        <v>46311</v>
      </c>
      <c r="N956" s="39" t="str">
        <f t="array" ref="N956">_xlfn.LET(_xlpm.t,_xlfn.XLOOKUP($A956,TRIM(SUBSTITUTE('worker file'!$A$2:$A$406,_xlfn.UNICHAR(160)," ")),'worker file'!$N$2:$N$406,""),IF(N(_xlpm.t)=0,"",_xlpm.t))</f>
        <v/>
      </c>
    </row>
    <row r="957" spans="1:14" x14ac:dyDescent="0.2">
      <c r="A957" s="35" t="s">
        <v>427</v>
      </c>
      <c r="B957" s="36" t="str">
        <f t="array" ref="B957">_xlfn.XLOOKUP($A957,TRIM(SUBSTITUTE('worker file'!$A$2:$A$406,_xlfn.UNICHAR(160)," ")),'worker file'!$L$2:$L$406,"Not found")</f>
        <v>US Semi-monthly</v>
      </c>
      <c r="C957" s="36" t="str">
        <f t="array" ref="C957">_xlfn.XLOOKUP($A957,TRIM(SUBSTITUTE('worker file'!$A$2:$A$406,_xlfn.UNICHAR(160)," ")),'worker file'!$D$2:$D$406,"Not found")</f>
        <v>CA</v>
      </c>
      <c r="D957" s="36" t="str">
        <f t="array" ref="D957">_xlfn.XLOOKUP($A957,TRIM(SUBSTITUTE('worker file'!$A$2:$A$406,_xlfn.UNICHAR(160)," ")),'worker file'!$Q$2:$Q$406,"Not found")</f>
        <v>Active</v>
      </c>
      <c r="E957" s="35" t="s">
        <v>632</v>
      </c>
      <c r="F957" t="str">
        <f t="shared" si="107"/>
        <v>Dental – Employee</v>
      </c>
      <c r="G957" t="str">
        <f t="shared" si="108"/>
        <v>Pre-tax Section 125 (exempt from FIT/SIT/FICA)</v>
      </c>
      <c r="H957" t="str">
        <f t="shared" si="109"/>
        <v>Flat</v>
      </c>
      <c r="I957" s="40" t="str">
        <f>IF($H957="Percent",_xlfn.XLOOKUP($E957,$A$5:$A$8,$F$5:$F$8,""),"")</f>
        <v/>
      </c>
      <c r="J957" s="38">
        <f t="shared" si="110"/>
        <v>44</v>
      </c>
      <c r="K957" t="str">
        <f t="shared" si="111"/>
        <v>Per pay period</v>
      </c>
      <c r="L957" t="str">
        <f t="shared" si="112"/>
        <v>Every pay period (ongoing)</v>
      </c>
      <c r="M957" s="39">
        <f t="array" ref="M957">MAX(_xlfn.XLOOKUP($A957,TRIM(SUBSTITUTE('worker file'!$A$2:$A$406,_xlfn.UNICHAR(160)," ")),'worker file'!$M$2:$M$406,0),_xlfn.XLOOKUP($B957,TRIM('pay group &amp; schedule'!$A$2:$A$6),'pay group &amp; schedule'!$D$2:$D$6,0))</f>
        <v>46311</v>
      </c>
      <c r="N957" s="39" t="str">
        <f t="array" ref="N957">_xlfn.LET(_xlpm.t,_xlfn.XLOOKUP($A957,TRIM(SUBSTITUTE('worker file'!$A$2:$A$406,_xlfn.UNICHAR(160)," ")),'worker file'!$N$2:$N$406,""),IF(N(_xlpm.t)=0,"",_xlpm.t))</f>
        <v/>
      </c>
    </row>
    <row r="958" spans="1:14" x14ac:dyDescent="0.2">
      <c r="A958" s="35" t="s">
        <v>427</v>
      </c>
      <c r="B958" s="36" t="str">
        <f t="array" ref="B958">_xlfn.XLOOKUP($A958,TRIM(SUBSTITUTE('worker file'!$A$2:$A$406,_xlfn.UNICHAR(160)," ")),'worker file'!$L$2:$L$406,"Not found")</f>
        <v>US Semi-monthly</v>
      </c>
      <c r="C958" s="36" t="str">
        <f t="array" ref="C958">_xlfn.XLOOKUP($A958,TRIM(SUBSTITUTE('worker file'!$A$2:$A$406,_xlfn.UNICHAR(160)," ")),'worker file'!$D$2:$D$406,"Not found")</f>
        <v>CA</v>
      </c>
      <c r="D958" s="36" t="str">
        <f t="array" ref="D958">_xlfn.XLOOKUP($A958,TRIM(SUBSTITUTE('worker file'!$A$2:$A$406,_xlfn.UNICHAR(160)," ")),'worker file'!$Q$2:$Q$406,"Not found")</f>
        <v>Active</v>
      </c>
      <c r="E958" s="35" t="s">
        <v>634</v>
      </c>
      <c r="F958" t="str">
        <f t="shared" si="107"/>
        <v>Vision – Employee</v>
      </c>
      <c r="G958" t="str">
        <f t="shared" si="108"/>
        <v>Pre-tax Section 125 (exempt from FIT/SIT/FICA)</v>
      </c>
      <c r="H958" t="str">
        <f t="shared" si="109"/>
        <v>Flat</v>
      </c>
      <c r="I958" s="40" t="str">
        <f>IF($H958="Percent",_xlfn.XLOOKUP($E958,$A$5:$A$8,$F$5:$F$8,""),"")</f>
        <v/>
      </c>
      <c r="J958" s="38">
        <f t="shared" si="110"/>
        <v>30</v>
      </c>
      <c r="K958" t="str">
        <f t="shared" si="111"/>
        <v>Per pay period</v>
      </c>
      <c r="L958" t="str">
        <f t="shared" si="112"/>
        <v>Every pay period (ongoing)</v>
      </c>
      <c r="M958" s="39">
        <f t="array" ref="M958">MAX(_xlfn.XLOOKUP($A958,TRIM(SUBSTITUTE('worker file'!$A$2:$A$406,_xlfn.UNICHAR(160)," ")),'worker file'!$M$2:$M$406,0),_xlfn.XLOOKUP($B958,TRIM('pay group &amp; schedule'!$A$2:$A$6),'pay group &amp; schedule'!$D$2:$D$6,0))</f>
        <v>46311</v>
      </c>
      <c r="N958" s="39" t="str">
        <f t="array" ref="N958">_xlfn.LET(_xlpm.t,_xlfn.XLOOKUP($A958,TRIM(SUBSTITUTE('worker file'!$A$2:$A$406,_xlfn.UNICHAR(160)," ")),'worker file'!$N$2:$N$406,""),IF(N(_xlpm.t)=0,"",_xlpm.t))</f>
        <v/>
      </c>
    </row>
    <row r="959" spans="1:14" x14ac:dyDescent="0.2">
      <c r="A959" s="35" t="s">
        <v>428</v>
      </c>
      <c r="B959" s="36" t="str">
        <f t="array" ref="B959">_xlfn.XLOOKUP($A959,TRIM(SUBSTITUTE('worker file'!$A$2:$A$406,_xlfn.UNICHAR(160)," ")),'worker file'!$L$2:$L$406,"Not found")</f>
        <v>US Semi-monthly</v>
      </c>
      <c r="C959" s="36" t="str">
        <f t="array" ref="C959">_xlfn.XLOOKUP($A959,TRIM(SUBSTITUTE('worker file'!$A$2:$A$406,_xlfn.UNICHAR(160)," ")),'worker file'!$D$2:$D$406,"Not found")</f>
        <v>CA</v>
      </c>
      <c r="D959" s="36" t="str">
        <f t="array" ref="D959">_xlfn.XLOOKUP($A959,TRIM(SUBSTITUTE('worker file'!$A$2:$A$406,_xlfn.UNICHAR(160)," ")),'worker file'!$Q$2:$Q$406,"Not found")</f>
        <v>Active</v>
      </c>
      <c r="E959" s="35" t="s">
        <v>618</v>
      </c>
      <c r="F959" t="str">
        <f t="shared" si="107"/>
        <v>401(k) Employee Deferral</v>
      </c>
      <c r="G959" t="str">
        <f t="shared" si="108"/>
        <v>Pre-tax (exempt from FIT/SIT; subject to FICA)</v>
      </c>
      <c r="H959" t="str">
        <f t="shared" si="109"/>
        <v>Percent</v>
      </c>
      <c r="I959" s="37">
        <v>0.02</v>
      </c>
      <c r="J959" s="38" t="str">
        <f t="shared" si="110"/>
        <v/>
      </c>
      <c r="K959" t="str">
        <f t="shared" si="111"/>
        <v>Gross pay</v>
      </c>
      <c r="L959" t="str">
        <f t="shared" si="112"/>
        <v>Every pay period (ongoing)</v>
      </c>
      <c r="M959" s="39">
        <f t="array" ref="M959">MAX(_xlfn.XLOOKUP($A959,TRIM(SUBSTITUTE('worker file'!$A$2:$A$406,_xlfn.UNICHAR(160)," ")),'worker file'!$M$2:$M$406,0),_xlfn.XLOOKUP($B959,TRIM('pay group &amp; schedule'!$A$2:$A$6),'pay group &amp; schedule'!$D$2:$D$6,0))</f>
        <v>46311</v>
      </c>
      <c r="N959" s="39" t="str">
        <f t="array" ref="N959">_xlfn.LET(_xlpm.t,_xlfn.XLOOKUP($A959,TRIM(SUBSTITUTE('worker file'!$A$2:$A$406,_xlfn.UNICHAR(160)," ")),'worker file'!$N$2:$N$406,""),IF(N(_xlpm.t)=0,"",_xlpm.t))</f>
        <v/>
      </c>
    </row>
    <row r="960" spans="1:14" x14ac:dyDescent="0.2">
      <c r="A960" s="35" t="s">
        <v>428</v>
      </c>
      <c r="B960" s="36" t="str">
        <f t="array" ref="B960">_xlfn.XLOOKUP($A960,TRIM(SUBSTITUTE('worker file'!$A$2:$A$406,_xlfn.UNICHAR(160)," ")),'worker file'!$L$2:$L$406,"Not found")</f>
        <v>US Semi-monthly</v>
      </c>
      <c r="C960" s="36" t="str">
        <f t="array" ref="C960">_xlfn.XLOOKUP($A960,TRIM(SUBSTITUTE('worker file'!$A$2:$A$406,_xlfn.UNICHAR(160)," ")),'worker file'!$D$2:$D$406,"Not found")</f>
        <v>CA</v>
      </c>
      <c r="D960" s="36" t="str">
        <f t="array" ref="D960">_xlfn.XLOOKUP($A960,TRIM(SUBSTITUTE('worker file'!$A$2:$A$406,_xlfn.UNICHAR(160)," ")),'worker file'!$Q$2:$Q$406,"Not found")</f>
        <v>Active</v>
      </c>
      <c r="E960" s="35" t="s">
        <v>626</v>
      </c>
      <c r="F960" t="str">
        <f t="shared" si="107"/>
        <v>Medical (Health) – Employee</v>
      </c>
      <c r="G960" t="str">
        <f t="shared" si="108"/>
        <v>Pre-tax Section 125 (exempt from FIT/SIT/FICA)</v>
      </c>
      <c r="H960" t="str">
        <f t="shared" si="109"/>
        <v>Flat</v>
      </c>
      <c r="I960" s="40" t="str">
        <f>IF($H960="Percent",_xlfn.XLOOKUP($E960,$A$5:$A$8,$F$5:$F$8,""),"")</f>
        <v/>
      </c>
      <c r="J960" s="38">
        <f t="shared" si="110"/>
        <v>200</v>
      </c>
      <c r="K960" t="str">
        <f t="shared" si="111"/>
        <v>Per pay period</v>
      </c>
      <c r="L960" t="str">
        <f t="shared" si="112"/>
        <v>Every pay period (ongoing)</v>
      </c>
      <c r="M960" s="39">
        <f t="array" ref="M960">MAX(_xlfn.XLOOKUP($A960,TRIM(SUBSTITUTE('worker file'!$A$2:$A$406,_xlfn.UNICHAR(160)," ")),'worker file'!$M$2:$M$406,0),_xlfn.XLOOKUP($B960,TRIM('pay group &amp; schedule'!$A$2:$A$6),'pay group &amp; schedule'!$D$2:$D$6,0))</f>
        <v>46311</v>
      </c>
      <c r="N960" s="39" t="str">
        <f t="array" ref="N960">_xlfn.LET(_xlpm.t,_xlfn.XLOOKUP($A960,TRIM(SUBSTITUTE('worker file'!$A$2:$A$406,_xlfn.UNICHAR(160)," ")),'worker file'!$N$2:$N$406,""),IF(N(_xlpm.t)=0,"",_xlpm.t))</f>
        <v/>
      </c>
    </row>
    <row r="961" spans="1:14" x14ac:dyDescent="0.2">
      <c r="A961" s="35" t="s">
        <v>428</v>
      </c>
      <c r="B961" s="36" t="str">
        <f t="array" ref="B961">_xlfn.XLOOKUP($A961,TRIM(SUBSTITUTE('worker file'!$A$2:$A$406,_xlfn.UNICHAR(160)," ")),'worker file'!$L$2:$L$406,"Not found")</f>
        <v>US Semi-monthly</v>
      </c>
      <c r="C961" s="36" t="str">
        <f t="array" ref="C961">_xlfn.XLOOKUP($A961,TRIM(SUBSTITUTE('worker file'!$A$2:$A$406,_xlfn.UNICHAR(160)," ")),'worker file'!$D$2:$D$406,"Not found")</f>
        <v>CA</v>
      </c>
      <c r="D961" s="36" t="str">
        <f t="array" ref="D961">_xlfn.XLOOKUP($A961,TRIM(SUBSTITUTE('worker file'!$A$2:$A$406,_xlfn.UNICHAR(160)," ")),'worker file'!$Q$2:$Q$406,"Not found")</f>
        <v>Active</v>
      </c>
      <c r="E961" s="35" t="s">
        <v>632</v>
      </c>
      <c r="F961" t="str">
        <f t="shared" si="107"/>
        <v>Dental – Employee</v>
      </c>
      <c r="G961" t="str">
        <f t="shared" si="108"/>
        <v>Pre-tax Section 125 (exempt from FIT/SIT/FICA)</v>
      </c>
      <c r="H961" t="str">
        <f t="shared" si="109"/>
        <v>Flat</v>
      </c>
      <c r="I961" s="40" t="str">
        <f>IF($H961="Percent",_xlfn.XLOOKUP($E961,$A$5:$A$8,$F$5:$F$8,""),"")</f>
        <v/>
      </c>
      <c r="J961" s="38">
        <f t="shared" si="110"/>
        <v>44</v>
      </c>
      <c r="K961" t="str">
        <f t="shared" si="111"/>
        <v>Per pay period</v>
      </c>
      <c r="L961" t="str">
        <f t="shared" si="112"/>
        <v>Every pay period (ongoing)</v>
      </c>
      <c r="M961" s="39">
        <f t="array" ref="M961">MAX(_xlfn.XLOOKUP($A961,TRIM(SUBSTITUTE('worker file'!$A$2:$A$406,_xlfn.UNICHAR(160)," ")),'worker file'!$M$2:$M$406,0),_xlfn.XLOOKUP($B961,TRIM('pay group &amp; schedule'!$A$2:$A$6),'pay group &amp; schedule'!$D$2:$D$6,0))</f>
        <v>46311</v>
      </c>
      <c r="N961" s="39" t="str">
        <f t="array" ref="N961">_xlfn.LET(_xlpm.t,_xlfn.XLOOKUP($A961,TRIM(SUBSTITUTE('worker file'!$A$2:$A$406,_xlfn.UNICHAR(160)," ")),'worker file'!$N$2:$N$406,""),IF(N(_xlpm.t)=0,"",_xlpm.t))</f>
        <v/>
      </c>
    </row>
    <row r="962" spans="1:14" x14ac:dyDescent="0.2">
      <c r="A962" s="35" t="s">
        <v>428</v>
      </c>
      <c r="B962" s="36" t="str">
        <f t="array" ref="B962">_xlfn.XLOOKUP($A962,TRIM(SUBSTITUTE('worker file'!$A$2:$A$406,_xlfn.UNICHAR(160)," ")),'worker file'!$L$2:$L$406,"Not found")</f>
        <v>US Semi-monthly</v>
      </c>
      <c r="C962" s="36" t="str">
        <f t="array" ref="C962">_xlfn.XLOOKUP($A962,TRIM(SUBSTITUTE('worker file'!$A$2:$A$406,_xlfn.UNICHAR(160)," ")),'worker file'!$D$2:$D$406,"Not found")</f>
        <v>CA</v>
      </c>
      <c r="D962" s="36" t="str">
        <f t="array" ref="D962">_xlfn.XLOOKUP($A962,TRIM(SUBSTITUTE('worker file'!$A$2:$A$406,_xlfn.UNICHAR(160)," ")),'worker file'!$Q$2:$Q$406,"Not found")</f>
        <v>Active</v>
      </c>
      <c r="E962" s="35" t="s">
        <v>634</v>
      </c>
      <c r="F962" t="str">
        <f t="shared" si="107"/>
        <v>Vision – Employee</v>
      </c>
      <c r="G962" t="str">
        <f t="shared" si="108"/>
        <v>Pre-tax Section 125 (exempt from FIT/SIT/FICA)</v>
      </c>
      <c r="H962" t="str">
        <f t="shared" si="109"/>
        <v>Flat</v>
      </c>
      <c r="I962" s="40" t="str">
        <f>IF($H962="Percent",_xlfn.XLOOKUP($E962,$A$5:$A$8,$F$5:$F$8,""),"")</f>
        <v/>
      </c>
      <c r="J962" s="38">
        <f t="shared" si="110"/>
        <v>30</v>
      </c>
      <c r="K962" t="str">
        <f t="shared" si="111"/>
        <v>Per pay period</v>
      </c>
      <c r="L962" t="str">
        <f t="shared" si="112"/>
        <v>Every pay period (ongoing)</v>
      </c>
      <c r="M962" s="39">
        <f t="array" ref="M962">MAX(_xlfn.XLOOKUP($A962,TRIM(SUBSTITUTE('worker file'!$A$2:$A$406,_xlfn.UNICHAR(160)," ")),'worker file'!$M$2:$M$406,0),_xlfn.XLOOKUP($B962,TRIM('pay group &amp; schedule'!$A$2:$A$6),'pay group &amp; schedule'!$D$2:$D$6,0))</f>
        <v>46311</v>
      </c>
      <c r="N962" s="39" t="str">
        <f t="array" ref="N962">_xlfn.LET(_xlpm.t,_xlfn.XLOOKUP($A962,TRIM(SUBSTITUTE('worker file'!$A$2:$A$406,_xlfn.UNICHAR(160)," ")),'worker file'!$N$2:$N$406,""),IF(N(_xlpm.t)=0,"",_xlpm.t))</f>
        <v/>
      </c>
    </row>
    <row r="963" spans="1:14" x14ac:dyDescent="0.2">
      <c r="A963" s="35" t="s">
        <v>429</v>
      </c>
      <c r="B963" s="36" t="str">
        <f t="array" ref="B963">_xlfn.XLOOKUP($A963,TRIM(SUBSTITUTE('worker file'!$A$2:$A$406,_xlfn.UNICHAR(160)," ")),'worker file'!$L$2:$L$406,"Not found")</f>
        <v>US Semi-monthly</v>
      </c>
      <c r="C963" s="36" t="str">
        <f t="array" ref="C963">_xlfn.XLOOKUP($A963,TRIM(SUBSTITUTE('worker file'!$A$2:$A$406,_xlfn.UNICHAR(160)," ")),'worker file'!$D$2:$D$406,"Not found")</f>
        <v>WA</v>
      </c>
      <c r="D963" s="36" t="str">
        <f t="array" ref="D963">_xlfn.XLOOKUP($A963,TRIM(SUBSTITUTE('worker file'!$A$2:$A$406,_xlfn.UNICHAR(160)," ")),'worker file'!$Q$2:$Q$406,"Not found")</f>
        <v>Active</v>
      </c>
      <c r="E963" s="35" t="s">
        <v>618</v>
      </c>
      <c r="F963" t="str">
        <f t="shared" si="107"/>
        <v>401(k) Employee Deferral</v>
      </c>
      <c r="G963" t="str">
        <f t="shared" si="108"/>
        <v>Pre-tax (exempt from FIT/SIT; subject to FICA)</v>
      </c>
      <c r="H963" t="str">
        <f t="shared" si="109"/>
        <v>Percent</v>
      </c>
      <c r="I963" s="37">
        <v>7.0000000000000007E-2</v>
      </c>
      <c r="J963" s="38" t="str">
        <f t="shared" si="110"/>
        <v/>
      </c>
      <c r="K963" t="str">
        <f t="shared" si="111"/>
        <v>Gross pay</v>
      </c>
      <c r="L963" t="str">
        <f t="shared" si="112"/>
        <v>Every pay period (ongoing)</v>
      </c>
      <c r="M963" s="39">
        <f t="array" ref="M963">MAX(_xlfn.XLOOKUP($A963,TRIM(SUBSTITUTE('worker file'!$A$2:$A$406,_xlfn.UNICHAR(160)," ")),'worker file'!$M$2:$M$406,0),_xlfn.XLOOKUP($B963,TRIM('pay group &amp; schedule'!$A$2:$A$6),'pay group &amp; schedule'!$D$2:$D$6,0))</f>
        <v>46311</v>
      </c>
      <c r="N963" s="39" t="str">
        <f t="array" ref="N963">_xlfn.LET(_xlpm.t,_xlfn.XLOOKUP($A963,TRIM(SUBSTITUTE('worker file'!$A$2:$A$406,_xlfn.UNICHAR(160)," ")),'worker file'!$N$2:$N$406,""),IF(N(_xlpm.t)=0,"",_xlpm.t))</f>
        <v/>
      </c>
    </row>
    <row r="964" spans="1:14" x14ac:dyDescent="0.2">
      <c r="A964" s="35" t="s">
        <v>429</v>
      </c>
      <c r="B964" s="36" t="str">
        <f t="array" ref="B964">_xlfn.XLOOKUP($A964,TRIM(SUBSTITUTE('worker file'!$A$2:$A$406,_xlfn.UNICHAR(160)," ")),'worker file'!$L$2:$L$406,"Not found")</f>
        <v>US Semi-monthly</v>
      </c>
      <c r="C964" s="36" t="str">
        <f t="array" ref="C964">_xlfn.XLOOKUP($A964,TRIM(SUBSTITUTE('worker file'!$A$2:$A$406,_xlfn.UNICHAR(160)," ")),'worker file'!$D$2:$D$406,"Not found")</f>
        <v>WA</v>
      </c>
      <c r="D964" s="36" t="str">
        <f t="array" ref="D964">_xlfn.XLOOKUP($A964,TRIM(SUBSTITUTE('worker file'!$A$2:$A$406,_xlfn.UNICHAR(160)," ")),'worker file'!$Q$2:$Q$406,"Not found")</f>
        <v>Active</v>
      </c>
      <c r="E964" s="35" t="s">
        <v>626</v>
      </c>
      <c r="F964" t="str">
        <f t="shared" si="107"/>
        <v>Medical (Health) – Employee</v>
      </c>
      <c r="G964" t="str">
        <f t="shared" si="108"/>
        <v>Pre-tax Section 125 (exempt from FIT/SIT/FICA)</v>
      </c>
      <c r="H964" t="str">
        <f t="shared" si="109"/>
        <v>Flat</v>
      </c>
      <c r="I964" s="40" t="str">
        <f>IF($H964="Percent",_xlfn.XLOOKUP($E964,$A$5:$A$8,$F$5:$F$8,""),"")</f>
        <v/>
      </c>
      <c r="J964" s="38">
        <f t="shared" si="110"/>
        <v>200</v>
      </c>
      <c r="K964" t="str">
        <f t="shared" si="111"/>
        <v>Per pay period</v>
      </c>
      <c r="L964" t="str">
        <f t="shared" si="112"/>
        <v>Every pay period (ongoing)</v>
      </c>
      <c r="M964" s="39">
        <f t="array" ref="M964">MAX(_xlfn.XLOOKUP($A964,TRIM(SUBSTITUTE('worker file'!$A$2:$A$406,_xlfn.UNICHAR(160)," ")),'worker file'!$M$2:$M$406,0),_xlfn.XLOOKUP($B964,TRIM('pay group &amp; schedule'!$A$2:$A$6),'pay group &amp; schedule'!$D$2:$D$6,0))</f>
        <v>46311</v>
      </c>
      <c r="N964" s="39" t="str">
        <f t="array" ref="N964">_xlfn.LET(_xlpm.t,_xlfn.XLOOKUP($A964,TRIM(SUBSTITUTE('worker file'!$A$2:$A$406,_xlfn.UNICHAR(160)," ")),'worker file'!$N$2:$N$406,""),IF(N(_xlpm.t)=0,"",_xlpm.t))</f>
        <v/>
      </c>
    </row>
    <row r="965" spans="1:14" x14ac:dyDescent="0.2">
      <c r="A965" s="35" t="s">
        <v>429</v>
      </c>
      <c r="B965" s="36" t="str">
        <f t="array" ref="B965">_xlfn.XLOOKUP($A965,TRIM(SUBSTITUTE('worker file'!$A$2:$A$406,_xlfn.UNICHAR(160)," ")),'worker file'!$L$2:$L$406,"Not found")</f>
        <v>US Semi-monthly</v>
      </c>
      <c r="C965" s="36" t="str">
        <f t="array" ref="C965">_xlfn.XLOOKUP($A965,TRIM(SUBSTITUTE('worker file'!$A$2:$A$406,_xlfn.UNICHAR(160)," ")),'worker file'!$D$2:$D$406,"Not found")</f>
        <v>WA</v>
      </c>
      <c r="D965" s="36" t="str">
        <f t="array" ref="D965">_xlfn.XLOOKUP($A965,TRIM(SUBSTITUTE('worker file'!$A$2:$A$406,_xlfn.UNICHAR(160)," ")),'worker file'!$Q$2:$Q$406,"Not found")</f>
        <v>Active</v>
      </c>
      <c r="E965" s="35" t="s">
        <v>632</v>
      </c>
      <c r="F965" t="str">
        <f t="shared" si="107"/>
        <v>Dental – Employee</v>
      </c>
      <c r="G965" t="str">
        <f t="shared" si="108"/>
        <v>Pre-tax Section 125 (exempt from FIT/SIT/FICA)</v>
      </c>
      <c r="H965" t="str">
        <f t="shared" si="109"/>
        <v>Flat</v>
      </c>
      <c r="I965" s="40" t="str">
        <f>IF($H965="Percent",_xlfn.XLOOKUP($E965,$A$5:$A$8,$F$5:$F$8,""),"")</f>
        <v/>
      </c>
      <c r="J965" s="38">
        <f t="shared" si="110"/>
        <v>44</v>
      </c>
      <c r="K965" t="str">
        <f t="shared" si="111"/>
        <v>Per pay period</v>
      </c>
      <c r="L965" t="str">
        <f t="shared" si="112"/>
        <v>Every pay period (ongoing)</v>
      </c>
      <c r="M965" s="39">
        <f t="array" ref="M965">MAX(_xlfn.XLOOKUP($A965,TRIM(SUBSTITUTE('worker file'!$A$2:$A$406,_xlfn.UNICHAR(160)," ")),'worker file'!$M$2:$M$406,0),_xlfn.XLOOKUP($B965,TRIM('pay group &amp; schedule'!$A$2:$A$6),'pay group &amp; schedule'!$D$2:$D$6,0))</f>
        <v>46311</v>
      </c>
      <c r="N965" s="39" t="str">
        <f t="array" ref="N965">_xlfn.LET(_xlpm.t,_xlfn.XLOOKUP($A965,TRIM(SUBSTITUTE('worker file'!$A$2:$A$406,_xlfn.UNICHAR(160)," ")),'worker file'!$N$2:$N$406,""),IF(N(_xlpm.t)=0,"",_xlpm.t))</f>
        <v/>
      </c>
    </row>
    <row r="966" spans="1:14" x14ac:dyDescent="0.2">
      <c r="A966" s="35" t="s">
        <v>429</v>
      </c>
      <c r="B966" s="36" t="str">
        <f t="array" ref="B966">_xlfn.XLOOKUP($A966,TRIM(SUBSTITUTE('worker file'!$A$2:$A$406,_xlfn.UNICHAR(160)," ")),'worker file'!$L$2:$L$406,"Not found")</f>
        <v>US Semi-monthly</v>
      </c>
      <c r="C966" s="36" t="str">
        <f t="array" ref="C966">_xlfn.XLOOKUP($A966,TRIM(SUBSTITUTE('worker file'!$A$2:$A$406,_xlfn.UNICHAR(160)," ")),'worker file'!$D$2:$D$406,"Not found")</f>
        <v>WA</v>
      </c>
      <c r="D966" s="36" t="str">
        <f t="array" ref="D966">_xlfn.XLOOKUP($A966,TRIM(SUBSTITUTE('worker file'!$A$2:$A$406,_xlfn.UNICHAR(160)," ")),'worker file'!$Q$2:$Q$406,"Not found")</f>
        <v>Active</v>
      </c>
      <c r="E966" s="35" t="s">
        <v>634</v>
      </c>
      <c r="F966" t="str">
        <f t="shared" si="107"/>
        <v>Vision – Employee</v>
      </c>
      <c r="G966" t="str">
        <f t="shared" si="108"/>
        <v>Pre-tax Section 125 (exempt from FIT/SIT/FICA)</v>
      </c>
      <c r="H966" t="str">
        <f t="shared" si="109"/>
        <v>Flat</v>
      </c>
      <c r="I966" s="40" t="str">
        <f>IF($H966="Percent",_xlfn.XLOOKUP($E966,$A$5:$A$8,$F$5:$F$8,""),"")</f>
        <v/>
      </c>
      <c r="J966" s="38">
        <f t="shared" si="110"/>
        <v>30</v>
      </c>
      <c r="K966" t="str">
        <f t="shared" si="111"/>
        <v>Per pay period</v>
      </c>
      <c r="L966" t="str">
        <f t="shared" si="112"/>
        <v>Every pay period (ongoing)</v>
      </c>
      <c r="M966" s="39">
        <f t="array" ref="M966">MAX(_xlfn.XLOOKUP($A966,TRIM(SUBSTITUTE('worker file'!$A$2:$A$406,_xlfn.UNICHAR(160)," ")),'worker file'!$M$2:$M$406,0),_xlfn.XLOOKUP($B966,TRIM('pay group &amp; schedule'!$A$2:$A$6),'pay group &amp; schedule'!$D$2:$D$6,0))</f>
        <v>46311</v>
      </c>
      <c r="N966" s="39" t="str">
        <f t="array" ref="N966">_xlfn.LET(_xlpm.t,_xlfn.XLOOKUP($A966,TRIM(SUBSTITUTE('worker file'!$A$2:$A$406,_xlfn.UNICHAR(160)," ")),'worker file'!$N$2:$N$406,""),IF(N(_xlpm.t)=0,"",_xlpm.t))</f>
        <v/>
      </c>
    </row>
    <row r="967" spans="1:14" x14ac:dyDescent="0.2">
      <c r="A967" s="35" t="s">
        <v>430</v>
      </c>
      <c r="B967" s="36" t="str">
        <f t="array" ref="B967">_xlfn.XLOOKUP($A967,TRIM(SUBSTITUTE('worker file'!$A$2:$A$406,_xlfn.UNICHAR(160)," ")),'worker file'!$L$2:$L$406,"Not found")</f>
        <v>US Semi-monthly</v>
      </c>
      <c r="C967" s="36" t="str">
        <f t="array" ref="C967">_xlfn.XLOOKUP($A967,TRIM(SUBSTITUTE('worker file'!$A$2:$A$406,_xlfn.UNICHAR(160)," ")),'worker file'!$D$2:$D$406,"Not found")</f>
        <v>CA</v>
      </c>
      <c r="D967" s="36" t="str">
        <f t="array" ref="D967">_xlfn.XLOOKUP($A967,TRIM(SUBSTITUTE('worker file'!$A$2:$A$406,_xlfn.UNICHAR(160)," ")),'worker file'!$Q$2:$Q$406,"Not found")</f>
        <v>Active</v>
      </c>
      <c r="E967" s="35" t="s">
        <v>618</v>
      </c>
      <c r="F967" t="str">
        <f t="shared" si="107"/>
        <v>401(k) Employee Deferral</v>
      </c>
      <c r="G967" t="str">
        <f t="shared" si="108"/>
        <v>Pre-tax (exempt from FIT/SIT; subject to FICA)</v>
      </c>
      <c r="H967" t="str">
        <f t="shared" si="109"/>
        <v>Percent</v>
      </c>
      <c r="I967" s="37">
        <v>0.04</v>
      </c>
      <c r="J967" s="38" t="str">
        <f t="shared" si="110"/>
        <v/>
      </c>
      <c r="K967" t="str">
        <f t="shared" si="111"/>
        <v>Gross pay</v>
      </c>
      <c r="L967" t="str">
        <f t="shared" si="112"/>
        <v>Every pay period (ongoing)</v>
      </c>
      <c r="M967" s="39">
        <f t="array" ref="M967">MAX(_xlfn.XLOOKUP($A967,TRIM(SUBSTITUTE('worker file'!$A$2:$A$406,_xlfn.UNICHAR(160)," ")),'worker file'!$M$2:$M$406,0),_xlfn.XLOOKUP($B967,TRIM('pay group &amp; schedule'!$A$2:$A$6),'pay group &amp; schedule'!$D$2:$D$6,0))</f>
        <v>46311</v>
      </c>
      <c r="N967" s="39" t="str">
        <f t="array" ref="N967">_xlfn.LET(_xlpm.t,_xlfn.XLOOKUP($A967,TRIM(SUBSTITUTE('worker file'!$A$2:$A$406,_xlfn.UNICHAR(160)," ")),'worker file'!$N$2:$N$406,""),IF(N(_xlpm.t)=0,"",_xlpm.t))</f>
        <v/>
      </c>
    </row>
    <row r="968" spans="1:14" x14ac:dyDescent="0.2">
      <c r="A968" s="35" t="s">
        <v>430</v>
      </c>
      <c r="B968" s="36" t="str">
        <f t="array" ref="B968">_xlfn.XLOOKUP($A968,TRIM(SUBSTITUTE('worker file'!$A$2:$A$406,_xlfn.UNICHAR(160)," ")),'worker file'!$L$2:$L$406,"Not found")</f>
        <v>US Semi-monthly</v>
      </c>
      <c r="C968" s="36" t="str">
        <f t="array" ref="C968">_xlfn.XLOOKUP($A968,TRIM(SUBSTITUTE('worker file'!$A$2:$A$406,_xlfn.UNICHAR(160)," ")),'worker file'!$D$2:$D$406,"Not found")</f>
        <v>CA</v>
      </c>
      <c r="D968" s="36" t="str">
        <f t="array" ref="D968">_xlfn.XLOOKUP($A968,TRIM(SUBSTITUTE('worker file'!$A$2:$A$406,_xlfn.UNICHAR(160)," ")),'worker file'!$Q$2:$Q$406,"Not found")</f>
        <v>Active</v>
      </c>
      <c r="E968" s="35" t="s">
        <v>626</v>
      </c>
      <c r="F968" t="str">
        <f t="shared" si="107"/>
        <v>Medical (Health) – Employee</v>
      </c>
      <c r="G968" t="str">
        <f t="shared" si="108"/>
        <v>Pre-tax Section 125 (exempt from FIT/SIT/FICA)</v>
      </c>
      <c r="H968" t="str">
        <f t="shared" si="109"/>
        <v>Flat</v>
      </c>
      <c r="I968" s="40" t="str">
        <f>IF($H968="Percent",_xlfn.XLOOKUP($E968,$A$5:$A$8,$F$5:$F$8,""),"")</f>
        <v/>
      </c>
      <c r="J968" s="38">
        <f t="shared" si="110"/>
        <v>200</v>
      </c>
      <c r="K968" t="str">
        <f t="shared" si="111"/>
        <v>Per pay period</v>
      </c>
      <c r="L968" t="str">
        <f t="shared" si="112"/>
        <v>Every pay period (ongoing)</v>
      </c>
      <c r="M968" s="39">
        <f t="array" ref="M968">MAX(_xlfn.XLOOKUP($A968,TRIM(SUBSTITUTE('worker file'!$A$2:$A$406,_xlfn.UNICHAR(160)," ")),'worker file'!$M$2:$M$406,0),_xlfn.XLOOKUP($B968,TRIM('pay group &amp; schedule'!$A$2:$A$6),'pay group &amp; schedule'!$D$2:$D$6,0))</f>
        <v>46311</v>
      </c>
      <c r="N968" s="39" t="str">
        <f t="array" ref="N968">_xlfn.LET(_xlpm.t,_xlfn.XLOOKUP($A968,TRIM(SUBSTITUTE('worker file'!$A$2:$A$406,_xlfn.UNICHAR(160)," ")),'worker file'!$N$2:$N$406,""),IF(N(_xlpm.t)=0,"",_xlpm.t))</f>
        <v/>
      </c>
    </row>
    <row r="969" spans="1:14" x14ac:dyDescent="0.2">
      <c r="A969" s="35" t="s">
        <v>430</v>
      </c>
      <c r="B969" s="36" t="str">
        <f t="array" ref="B969">_xlfn.XLOOKUP($A969,TRIM(SUBSTITUTE('worker file'!$A$2:$A$406,_xlfn.UNICHAR(160)," ")),'worker file'!$L$2:$L$406,"Not found")</f>
        <v>US Semi-monthly</v>
      </c>
      <c r="C969" s="36" t="str">
        <f t="array" ref="C969">_xlfn.XLOOKUP($A969,TRIM(SUBSTITUTE('worker file'!$A$2:$A$406,_xlfn.UNICHAR(160)," ")),'worker file'!$D$2:$D$406,"Not found")</f>
        <v>CA</v>
      </c>
      <c r="D969" s="36" t="str">
        <f t="array" ref="D969">_xlfn.XLOOKUP($A969,TRIM(SUBSTITUTE('worker file'!$A$2:$A$406,_xlfn.UNICHAR(160)," ")),'worker file'!$Q$2:$Q$406,"Not found")</f>
        <v>Active</v>
      </c>
      <c r="E969" s="35" t="s">
        <v>632</v>
      </c>
      <c r="F969" t="str">
        <f t="shared" si="107"/>
        <v>Dental – Employee</v>
      </c>
      <c r="G969" t="str">
        <f t="shared" si="108"/>
        <v>Pre-tax Section 125 (exempt from FIT/SIT/FICA)</v>
      </c>
      <c r="H969" t="str">
        <f t="shared" si="109"/>
        <v>Flat</v>
      </c>
      <c r="I969" s="40" t="str">
        <f>IF($H969="Percent",_xlfn.XLOOKUP($E969,$A$5:$A$8,$F$5:$F$8,""),"")</f>
        <v/>
      </c>
      <c r="J969" s="38">
        <f t="shared" si="110"/>
        <v>44</v>
      </c>
      <c r="K969" t="str">
        <f t="shared" si="111"/>
        <v>Per pay period</v>
      </c>
      <c r="L969" t="str">
        <f t="shared" si="112"/>
        <v>Every pay period (ongoing)</v>
      </c>
      <c r="M969" s="39">
        <f t="array" ref="M969">MAX(_xlfn.XLOOKUP($A969,TRIM(SUBSTITUTE('worker file'!$A$2:$A$406,_xlfn.UNICHAR(160)," ")),'worker file'!$M$2:$M$406,0),_xlfn.XLOOKUP($B969,TRIM('pay group &amp; schedule'!$A$2:$A$6),'pay group &amp; schedule'!$D$2:$D$6,0))</f>
        <v>46311</v>
      </c>
      <c r="N969" s="39" t="str">
        <f t="array" ref="N969">_xlfn.LET(_xlpm.t,_xlfn.XLOOKUP($A969,TRIM(SUBSTITUTE('worker file'!$A$2:$A$406,_xlfn.UNICHAR(160)," ")),'worker file'!$N$2:$N$406,""),IF(N(_xlpm.t)=0,"",_xlpm.t))</f>
        <v/>
      </c>
    </row>
    <row r="970" spans="1:14" x14ac:dyDescent="0.2">
      <c r="A970" s="35" t="s">
        <v>430</v>
      </c>
      <c r="B970" s="36" t="str">
        <f t="array" ref="B970">_xlfn.XLOOKUP($A970,TRIM(SUBSTITUTE('worker file'!$A$2:$A$406,_xlfn.UNICHAR(160)," ")),'worker file'!$L$2:$L$406,"Not found")</f>
        <v>US Semi-monthly</v>
      </c>
      <c r="C970" s="36" t="str">
        <f t="array" ref="C970">_xlfn.XLOOKUP($A970,TRIM(SUBSTITUTE('worker file'!$A$2:$A$406,_xlfn.UNICHAR(160)," ")),'worker file'!$D$2:$D$406,"Not found")</f>
        <v>CA</v>
      </c>
      <c r="D970" s="36" t="str">
        <f t="array" ref="D970">_xlfn.XLOOKUP($A970,TRIM(SUBSTITUTE('worker file'!$A$2:$A$406,_xlfn.UNICHAR(160)," ")),'worker file'!$Q$2:$Q$406,"Not found")</f>
        <v>Active</v>
      </c>
      <c r="E970" s="35" t="s">
        <v>634</v>
      </c>
      <c r="F970" t="str">
        <f t="shared" si="107"/>
        <v>Vision – Employee</v>
      </c>
      <c r="G970" t="str">
        <f t="shared" si="108"/>
        <v>Pre-tax Section 125 (exempt from FIT/SIT/FICA)</v>
      </c>
      <c r="H970" t="str">
        <f t="shared" si="109"/>
        <v>Flat</v>
      </c>
      <c r="I970" s="40" t="str">
        <f>IF($H970="Percent",_xlfn.XLOOKUP($E970,$A$5:$A$8,$F$5:$F$8,""),"")</f>
        <v/>
      </c>
      <c r="J970" s="38">
        <f t="shared" si="110"/>
        <v>30</v>
      </c>
      <c r="K970" t="str">
        <f t="shared" si="111"/>
        <v>Per pay period</v>
      </c>
      <c r="L970" t="str">
        <f t="shared" si="112"/>
        <v>Every pay period (ongoing)</v>
      </c>
      <c r="M970" s="39">
        <f t="array" ref="M970">MAX(_xlfn.XLOOKUP($A970,TRIM(SUBSTITUTE('worker file'!$A$2:$A$406,_xlfn.UNICHAR(160)," ")),'worker file'!$M$2:$M$406,0),_xlfn.XLOOKUP($B970,TRIM('pay group &amp; schedule'!$A$2:$A$6),'pay group &amp; schedule'!$D$2:$D$6,0))</f>
        <v>46311</v>
      </c>
      <c r="N970" s="39" t="str">
        <f t="array" ref="N970">_xlfn.LET(_xlpm.t,_xlfn.XLOOKUP($A970,TRIM(SUBSTITUTE('worker file'!$A$2:$A$406,_xlfn.UNICHAR(160)," ")),'worker file'!$N$2:$N$406,""),IF(N(_xlpm.t)=0,"",_xlpm.t))</f>
        <v/>
      </c>
    </row>
    <row r="971" spans="1:14" x14ac:dyDescent="0.2">
      <c r="A971" s="35" t="s">
        <v>431</v>
      </c>
      <c r="B971" s="36" t="str">
        <f t="array" ref="B971">_xlfn.XLOOKUP($A971,TRIM(SUBSTITUTE('worker file'!$A$2:$A$406,_xlfn.UNICHAR(160)," ")),'worker file'!$L$2:$L$406,"Not found")</f>
        <v>US Semi-monthly</v>
      </c>
      <c r="C971" s="36" t="str">
        <f t="array" ref="C971">_xlfn.XLOOKUP($A971,TRIM(SUBSTITUTE('worker file'!$A$2:$A$406,_xlfn.UNICHAR(160)," ")),'worker file'!$D$2:$D$406,"Not found")</f>
        <v>CA</v>
      </c>
      <c r="D971" s="36" t="str">
        <f t="array" ref="D971">_xlfn.XLOOKUP($A971,TRIM(SUBSTITUTE('worker file'!$A$2:$A$406,_xlfn.UNICHAR(160)," ")),'worker file'!$Q$2:$Q$406,"Not found")</f>
        <v>Active</v>
      </c>
      <c r="E971" s="35" t="s">
        <v>618</v>
      </c>
      <c r="F971" t="str">
        <f t="shared" si="107"/>
        <v>401(k) Employee Deferral</v>
      </c>
      <c r="G971" t="str">
        <f t="shared" si="108"/>
        <v>Pre-tax (exempt from FIT/SIT; subject to FICA)</v>
      </c>
      <c r="H971" t="str">
        <f t="shared" si="109"/>
        <v>Percent</v>
      </c>
      <c r="I971" s="37">
        <v>0.01</v>
      </c>
      <c r="J971" s="38" t="str">
        <f t="shared" si="110"/>
        <v/>
      </c>
      <c r="K971" t="str">
        <f t="shared" si="111"/>
        <v>Gross pay</v>
      </c>
      <c r="L971" t="str">
        <f t="shared" si="112"/>
        <v>Every pay period (ongoing)</v>
      </c>
      <c r="M971" s="39">
        <f t="array" ref="M971">MAX(_xlfn.XLOOKUP($A971,TRIM(SUBSTITUTE('worker file'!$A$2:$A$406,_xlfn.UNICHAR(160)," ")),'worker file'!$M$2:$M$406,0),_xlfn.XLOOKUP($B971,TRIM('pay group &amp; schedule'!$A$2:$A$6),'pay group &amp; schedule'!$D$2:$D$6,0))</f>
        <v>46311</v>
      </c>
      <c r="N971" s="39" t="str">
        <f t="array" ref="N971">_xlfn.LET(_xlpm.t,_xlfn.XLOOKUP($A971,TRIM(SUBSTITUTE('worker file'!$A$2:$A$406,_xlfn.UNICHAR(160)," ")),'worker file'!$N$2:$N$406,""),IF(N(_xlpm.t)=0,"",_xlpm.t))</f>
        <v/>
      </c>
    </row>
    <row r="972" spans="1:14" x14ac:dyDescent="0.2">
      <c r="A972" s="35" t="s">
        <v>431</v>
      </c>
      <c r="B972" s="36" t="str">
        <f t="array" ref="B972">_xlfn.XLOOKUP($A972,TRIM(SUBSTITUTE('worker file'!$A$2:$A$406,_xlfn.UNICHAR(160)," ")),'worker file'!$L$2:$L$406,"Not found")</f>
        <v>US Semi-monthly</v>
      </c>
      <c r="C972" s="36" t="str">
        <f t="array" ref="C972">_xlfn.XLOOKUP($A972,TRIM(SUBSTITUTE('worker file'!$A$2:$A$406,_xlfn.UNICHAR(160)," ")),'worker file'!$D$2:$D$406,"Not found")</f>
        <v>CA</v>
      </c>
      <c r="D972" s="36" t="str">
        <f t="array" ref="D972">_xlfn.XLOOKUP($A972,TRIM(SUBSTITUTE('worker file'!$A$2:$A$406,_xlfn.UNICHAR(160)," ")),'worker file'!$Q$2:$Q$406,"Not found")</f>
        <v>Active</v>
      </c>
      <c r="E972" s="35" t="s">
        <v>626</v>
      </c>
      <c r="F972" t="str">
        <f t="shared" ref="F972:F1035" si="115">_xlfn.XLOOKUP($E972,$A$5:$A$8,$B$5:$B$8,"")</f>
        <v>Medical (Health) – Employee</v>
      </c>
      <c r="G972" t="str">
        <f t="shared" ref="G972:G1035" si="116">_xlfn.XLOOKUP($E972,$A$5:$A$8,$D$5:$D$8,"")</f>
        <v>Pre-tax Section 125 (exempt from FIT/SIT/FICA)</v>
      </c>
      <c r="H972" t="str">
        <f t="shared" ref="H972:H1035" si="117">_xlfn.XLOOKUP($E972,$A$5:$A$8,$E$5:$E$8,"")</f>
        <v>Flat</v>
      </c>
      <c r="I972" s="40" t="str">
        <f>IF($H972="Percent",_xlfn.XLOOKUP($E972,$A$5:$A$8,$F$5:$F$8,""),"")</f>
        <v/>
      </c>
      <c r="J972" s="38">
        <f t="shared" ref="J972:J1035" si="118">IF($H972="Flat",_xlfn.XLOOKUP($E972,$A$5:$A$8,$F$5:$F$8,""),"")</f>
        <v>200</v>
      </c>
      <c r="K972" t="str">
        <f t="shared" ref="K972:K1035" si="119">_xlfn.XLOOKUP($E972,$A$5:$A$8,$G$5:$G$8,"")</f>
        <v>Per pay period</v>
      </c>
      <c r="L972" t="str">
        <f t="shared" ref="L972:L1035" si="120">_xlfn.XLOOKUP($E972,$A$5:$A$8,$H$5:$H$8,"")</f>
        <v>Every pay period (ongoing)</v>
      </c>
      <c r="M972" s="39">
        <f t="array" ref="M972">MAX(_xlfn.XLOOKUP($A972,TRIM(SUBSTITUTE('worker file'!$A$2:$A$406,_xlfn.UNICHAR(160)," ")),'worker file'!$M$2:$M$406,0),_xlfn.XLOOKUP($B972,TRIM('pay group &amp; schedule'!$A$2:$A$6),'pay group &amp; schedule'!$D$2:$D$6,0))</f>
        <v>46311</v>
      </c>
      <c r="N972" s="39" t="str">
        <f t="array" ref="N972">_xlfn.LET(_xlpm.t,_xlfn.XLOOKUP($A972,TRIM(SUBSTITUTE('worker file'!$A$2:$A$406,_xlfn.UNICHAR(160)," ")),'worker file'!$N$2:$N$406,""),IF(N(_xlpm.t)=0,"",_xlpm.t))</f>
        <v/>
      </c>
    </row>
    <row r="973" spans="1:14" x14ac:dyDescent="0.2">
      <c r="A973" s="35" t="s">
        <v>431</v>
      </c>
      <c r="B973" s="36" t="str">
        <f t="array" ref="B973">_xlfn.XLOOKUP($A973,TRIM(SUBSTITUTE('worker file'!$A$2:$A$406,_xlfn.UNICHAR(160)," ")),'worker file'!$L$2:$L$406,"Not found")</f>
        <v>US Semi-monthly</v>
      </c>
      <c r="C973" s="36" t="str">
        <f t="array" ref="C973">_xlfn.XLOOKUP($A973,TRIM(SUBSTITUTE('worker file'!$A$2:$A$406,_xlfn.UNICHAR(160)," ")),'worker file'!$D$2:$D$406,"Not found")</f>
        <v>CA</v>
      </c>
      <c r="D973" s="36" t="str">
        <f t="array" ref="D973">_xlfn.XLOOKUP($A973,TRIM(SUBSTITUTE('worker file'!$A$2:$A$406,_xlfn.UNICHAR(160)," ")),'worker file'!$Q$2:$Q$406,"Not found")</f>
        <v>Active</v>
      </c>
      <c r="E973" s="35" t="s">
        <v>632</v>
      </c>
      <c r="F973" t="str">
        <f t="shared" si="115"/>
        <v>Dental – Employee</v>
      </c>
      <c r="G973" t="str">
        <f t="shared" si="116"/>
        <v>Pre-tax Section 125 (exempt from FIT/SIT/FICA)</v>
      </c>
      <c r="H973" t="str">
        <f t="shared" si="117"/>
        <v>Flat</v>
      </c>
      <c r="I973" s="40" t="str">
        <f>IF($H973="Percent",_xlfn.XLOOKUP($E973,$A$5:$A$8,$F$5:$F$8,""),"")</f>
        <v/>
      </c>
      <c r="J973" s="38">
        <f t="shared" si="118"/>
        <v>44</v>
      </c>
      <c r="K973" t="str">
        <f t="shared" si="119"/>
        <v>Per pay period</v>
      </c>
      <c r="L973" t="str">
        <f t="shared" si="120"/>
        <v>Every pay period (ongoing)</v>
      </c>
      <c r="M973" s="39">
        <f t="array" ref="M973">MAX(_xlfn.XLOOKUP($A973,TRIM(SUBSTITUTE('worker file'!$A$2:$A$406,_xlfn.UNICHAR(160)," ")),'worker file'!$M$2:$M$406,0),_xlfn.XLOOKUP($B973,TRIM('pay group &amp; schedule'!$A$2:$A$6),'pay group &amp; schedule'!$D$2:$D$6,0))</f>
        <v>46311</v>
      </c>
      <c r="N973" s="39" t="str">
        <f t="array" ref="N973">_xlfn.LET(_xlpm.t,_xlfn.XLOOKUP($A973,TRIM(SUBSTITUTE('worker file'!$A$2:$A$406,_xlfn.UNICHAR(160)," ")),'worker file'!$N$2:$N$406,""),IF(N(_xlpm.t)=0,"",_xlpm.t))</f>
        <v/>
      </c>
    </row>
    <row r="974" spans="1:14" x14ac:dyDescent="0.2">
      <c r="A974" s="35" t="s">
        <v>431</v>
      </c>
      <c r="B974" s="36" t="str">
        <f t="array" ref="B974">_xlfn.XLOOKUP($A974,TRIM(SUBSTITUTE('worker file'!$A$2:$A$406,_xlfn.UNICHAR(160)," ")),'worker file'!$L$2:$L$406,"Not found")</f>
        <v>US Semi-monthly</v>
      </c>
      <c r="C974" s="36" t="str">
        <f t="array" ref="C974">_xlfn.XLOOKUP($A974,TRIM(SUBSTITUTE('worker file'!$A$2:$A$406,_xlfn.UNICHAR(160)," ")),'worker file'!$D$2:$D$406,"Not found")</f>
        <v>CA</v>
      </c>
      <c r="D974" s="36" t="str">
        <f t="array" ref="D974">_xlfn.XLOOKUP($A974,TRIM(SUBSTITUTE('worker file'!$A$2:$A$406,_xlfn.UNICHAR(160)," ")),'worker file'!$Q$2:$Q$406,"Not found")</f>
        <v>Active</v>
      </c>
      <c r="E974" s="35" t="s">
        <v>634</v>
      </c>
      <c r="F974" t="str">
        <f t="shared" si="115"/>
        <v>Vision – Employee</v>
      </c>
      <c r="G974" t="str">
        <f t="shared" si="116"/>
        <v>Pre-tax Section 125 (exempt from FIT/SIT/FICA)</v>
      </c>
      <c r="H974" t="str">
        <f t="shared" si="117"/>
        <v>Flat</v>
      </c>
      <c r="I974" s="40" t="str">
        <f>IF($H974="Percent",_xlfn.XLOOKUP($E974,$A$5:$A$8,$F$5:$F$8,""),"")</f>
        <v/>
      </c>
      <c r="J974" s="38">
        <f t="shared" si="118"/>
        <v>30</v>
      </c>
      <c r="K974" t="str">
        <f t="shared" si="119"/>
        <v>Per pay period</v>
      </c>
      <c r="L974" t="str">
        <f t="shared" si="120"/>
        <v>Every pay period (ongoing)</v>
      </c>
      <c r="M974" s="39">
        <f t="array" ref="M974">MAX(_xlfn.XLOOKUP($A974,TRIM(SUBSTITUTE('worker file'!$A$2:$A$406,_xlfn.UNICHAR(160)," ")),'worker file'!$M$2:$M$406,0),_xlfn.XLOOKUP($B974,TRIM('pay group &amp; schedule'!$A$2:$A$6),'pay group &amp; schedule'!$D$2:$D$6,0))</f>
        <v>46311</v>
      </c>
      <c r="N974" s="39" t="str">
        <f t="array" ref="N974">_xlfn.LET(_xlpm.t,_xlfn.XLOOKUP($A974,TRIM(SUBSTITUTE('worker file'!$A$2:$A$406,_xlfn.UNICHAR(160)," ")),'worker file'!$N$2:$N$406,""),IF(N(_xlpm.t)=0,"",_xlpm.t))</f>
        <v/>
      </c>
    </row>
    <row r="975" spans="1:14" x14ac:dyDescent="0.2">
      <c r="A975" s="35" t="s">
        <v>432</v>
      </c>
      <c r="B975" s="36" t="str">
        <f t="array" ref="B975">_xlfn.XLOOKUP($A975,TRIM(SUBSTITUTE('worker file'!$A$2:$A$406,_xlfn.UNICHAR(160)," ")),'worker file'!$L$2:$L$406,"Not found")</f>
        <v>US Semi-monthly</v>
      </c>
      <c r="C975" s="36" t="str">
        <f t="array" ref="C975">_xlfn.XLOOKUP($A975,TRIM(SUBSTITUTE('worker file'!$A$2:$A$406,_xlfn.UNICHAR(160)," ")),'worker file'!$D$2:$D$406,"Not found")</f>
        <v>NY</v>
      </c>
      <c r="D975" s="36" t="str">
        <f t="array" ref="D975">_xlfn.XLOOKUP($A975,TRIM(SUBSTITUTE('worker file'!$A$2:$A$406,_xlfn.UNICHAR(160)," ")),'worker file'!$Q$2:$Q$406,"Not found")</f>
        <v>Active</v>
      </c>
      <c r="E975" s="35" t="s">
        <v>618</v>
      </c>
      <c r="F975" t="str">
        <f t="shared" si="115"/>
        <v>401(k) Employee Deferral</v>
      </c>
      <c r="G975" t="str">
        <f t="shared" si="116"/>
        <v>Pre-tax (exempt from FIT/SIT; subject to FICA)</v>
      </c>
      <c r="H975" t="str">
        <f t="shared" si="117"/>
        <v>Percent</v>
      </c>
      <c r="I975" s="37">
        <v>0.06</v>
      </c>
      <c r="J975" s="38" t="str">
        <f t="shared" si="118"/>
        <v/>
      </c>
      <c r="K975" t="str">
        <f t="shared" si="119"/>
        <v>Gross pay</v>
      </c>
      <c r="L975" t="str">
        <f t="shared" si="120"/>
        <v>Every pay period (ongoing)</v>
      </c>
      <c r="M975" s="39">
        <f t="array" ref="M975">MAX(_xlfn.XLOOKUP($A975,TRIM(SUBSTITUTE('worker file'!$A$2:$A$406,_xlfn.UNICHAR(160)," ")),'worker file'!$M$2:$M$406,0),_xlfn.XLOOKUP($B975,TRIM('pay group &amp; schedule'!$A$2:$A$6),'pay group &amp; schedule'!$D$2:$D$6,0))</f>
        <v>46311</v>
      </c>
      <c r="N975" s="39" t="str">
        <f t="array" ref="N975">_xlfn.LET(_xlpm.t,_xlfn.XLOOKUP($A975,TRIM(SUBSTITUTE('worker file'!$A$2:$A$406,_xlfn.UNICHAR(160)," ")),'worker file'!$N$2:$N$406,""),IF(N(_xlpm.t)=0,"",_xlpm.t))</f>
        <v/>
      </c>
    </row>
    <row r="976" spans="1:14" x14ac:dyDescent="0.2">
      <c r="A976" s="35" t="s">
        <v>432</v>
      </c>
      <c r="B976" s="36" t="str">
        <f t="array" ref="B976">_xlfn.XLOOKUP($A976,TRIM(SUBSTITUTE('worker file'!$A$2:$A$406,_xlfn.UNICHAR(160)," ")),'worker file'!$L$2:$L$406,"Not found")</f>
        <v>US Semi-monthly</v>
      </c>
      <c r="C976" s="36" t="str">
        <f t="array" ref="C976">_xlfn.XLOOKUP($A976,TRIM(SUBSTITUTE('worker file'!$A$2:$A$406,_xlfn.UNICHAR(160)," ")),'worker file'!$D$2:$D$406,"Not found")</f>
        <v>NY</v>
      </c>
      <c r="D976" s="36" t="str">
        <f t="array" ref="D976">_xlfn.XLOOKUP($A976,TRIM(SUBSTITUTE('worker file'!$A$2:$A$406,_xlfn.UNICHAR(160)," ")),'worker file'!$Q$2:$Q$406,"Not found")</f>
        <v>Active</v>
      </c>
      <c r="E976" s="35" t="s">
        <v>626</v>
      </c>
      <c r="F976" t="str">
        <f t="shared" si="115"/>
        <v>Medical (Health) – Employee</v>
      </c>
      <c r="G976" t="str">
        <f t="shared" si="116"/>
        <v>Pre-tax Section 125 (exempt from FIT/SIT/FICA)</v>
      </c>
      <c r="H976" t="str">
        <f t="shared" si="117"/>
        <v>Flat</v>
      </c>
      <c r="I976" s="40" t="str">
        <f>IF($H976="Percent",_xlfn.XLOOKUP($E976,$A$5:$A$8,$F$5:$F$8,""),"")</f>
        <v/>
      </c>
      <c r="J976" s="38">
        <f t="shared" si="118"/>
        <v>200</v>
      </c>
      <c r="K976" t="str">
        <f t="shared" si="119"/>
        <v>Per pay period</v>
      </c>
      <c r="L976" t="str">
        <f t="shared" si="120"/>
        <v>Every pay period (ongoing)</v>
      </c>
      <c r="M976" s="39">
        <f t="array" ref="M976">MAX(_xlfn.XLOOKUP($A976,TRIM(SUBSTITUTE('worker file'!$A$2:$A$406,_xlfn.UNICHAR(160)," ")),'worker file'!$M$2:$M$406,0),_xlfn.XLOOKUP($B976,TRIM('pay group &amp; schedule'!$A$2:$A$6),'pay group &amp; schedule'!$D$2:$D$6,0))</f>
        <v>46311</v>
      </c>
      <c r="N976" s="39" t="str">
        <f t="array" ref="N976">_xlfn.LET(_xlpm.t,_xlfn.XLOOKUP($A976,TRIM(SUBSTITUTE('worker file'!$A$2:$A$406,_xlfn.UNICHAR(160)," ")),'worker file'!$N$2:$N$406,""),IF(N(_xlpm.t)=0,"",_xlpm.t))</f>
        <v/>
      </c>
    </row>
    <row r="977" spans="1:14" x14ac:dyDescent="0.2">
      <c r="A977" s="35" t="s">
        <v>432</v>
      </c>
      <c r="B977" s="36" t="str">
        <f t="array" ref="B977">_xlfn.XLOOKUP($A977,TRIM(SUBSTITUTE('worker file'!$A$2:$A$406,_xlfn.UNICHAR(160)," ")),'worker file'!$L$2:$L$406,"Not found")</f>
        <v>US Semi-monthly</v>
      </c>
      <c r="C977" s="36" t="str">
        <f t="array" ref="C977">_xlfn.XLOOKUP($A977,TRIM(SUBSTITUTE('worker file'!$A$2:$A$406,_xlfn.UNICHAR(160)," ")),'worker file'!$D$2:$D$406,"Not found")</f>
        <v>NY</v>
      </c>
      <c r="D977" s="36" t="str">
        <f t="array" ref="D977">_xlfn.XLOOKUP($A977,TRIM(SUBSTITUTE('worker file'!$A$2:$A$406,_xlfn.UNICHAR(160)," ")),'worker file'!$Q$2:$Q$406,"Not found")</f>
        <v>Active</v>
      </c>
      <c r="E977" s="35" t="s">
        <v>632</v>
      </c>
      <c r="F977" t="str">
        <f t="shared" si="115"/>
        <v>Dental – Employee</v>
      </c>
      <c r="G977" t="str">
        <f t="shared" si="116"/>
        <v>Pre-tax Section 125 (exempt from FIT/SIT/FICA)</v>
      </c>
      <c r="H977" t="str">
        <f t="shared" si="117"/>
        <v>Flat</v>
      </c>
      <c r="I977" s="40" t="str">
        <f>IF($H977="Percent",_xlfn.XLOOKUP($E977,$A$5:$A$8,$F$5:$F$8,""),"")</f>
        <v/>
      </c>
      <c r="J977" s="38">
        <f t="shared" si="118"/>
        <v>44</v>
      </c>
      <c r="K977" t="str">
        <f t="shared" si="119"/>
        <v>Per pay period</v>
      </c>
      <c r="L977" t="str">
        <f t="shared" si="120"/>
        <v>Every pay period (ongoing)</v>
      </c>
      <c r="M977" s="39">
        <f t="array" ref="M977">MAX(_xlfn.XLOOKUP($A977,TRIM(SUBSTITUTE('worker file'!$A$2:$A$406,_xlfn.UNICHAR(160)," ")),'worker file'!$M$2:$M$406,0),_xlfn.XLOOKUP($B977,TRIM('pay group &amp; schedule'!$A$2:$A$6),'pay group &amp; schedule'!$D$2:$D$6,0))</f>
        <v>46311</v>
      </c>
      <c r="N977" s="39" t="str">
        <f t="array" ref="N977">_xlfn.LET(_xlpm.t,_xlfn.XLOOKUP($A977,TRIM(SUBSTITUTE('worker file'!$A$2:$A$406,_xlfn.UNICHAR(160)," ")),'worker file'!$N$2:$N$406,""),IF(N(_xlpm.t)=0,"",_xlpm.t))</f>
        <v/>
      </c>
    </row>
    <row r="978" spans="1:14" x14ac:dyDescent="0.2">
      <c r="A978" s="35" t="s">
        <v>432</v>
      </c>
      <c r="B978" s="36" t="str">
        <f t="array" ref="B978">_xlfn.XLOOKUP($A978,TRIM(SUBSTITUTE('worker file'!$A$2:$A$406,_xlfn.UNICHAR(160)," ")),'worker file'!$L$2:$L$406,"Not found")</f>
        <v>US Semi-monthly</v>
      </c>
      <c r="C978" s="36" t="str">
        <f t="array" ref="C978">_xlfn.XLOOKUP($A978,TRIM(SUBSTITUTE('worker file'!$A$2:$A$406,_xlfn.UNICHAR(160)," ")),'worker file'!$D$2:$D$406,"Not found")</f>
        <v>NY</v>
      </c>
      <c r="D978" s="36" t="str">
        <f t="array" ref="D978">_xlfn.XLOOKUP($A978,TRIM(SUBSTITUTE('worker file'!$A$2:$A$406,_xlfn.UNICHAR(160)," ")),'worker file'!$Q$2:$Q$406,"Not found")</f>
        <v>Active</v>
      </c>
      <c r="E978" s="35" t="s">
        <v>634</v>
      </c>
      <c r="F978" t="str">
        <f t="shared" si="115"/>
        <v>Vision – Employee</v>
      </c>
      <c r="G978" t="str">
        <f t="shared" si="116"/>
        <v>Pre-tax Section 125 (exempt from FIT/SIT/FICA)</v>
      </c>
      <c r="H978" t="str">
        <f t="shared" si="117"/>
        <v>Flat</v>
      </c>
      <c r="I978" s="40" t="str">
        <f>IF($H978="Percent",_xlfn.XLOOKUP($E978,$A$5:$A$8,$F$5:$F$8,""),"")</f>
        <v/>
      </c>
      <c r="J978" s="38">
        <f t="shared" si="118"/>
        <v>30</v>
      </c>
      <c r="K978" t="str">
        <f t="shared" si="119"/>
        <v>Per pay period</v>
      </c>
      <c r="L978" t="str">
        <f t="shared" si="120"/>
        <v>Every pay period (ongoing)</v>
      </c>
      <c r="M978" s="39">
        <f t="array" ref="M978">MAX(_xlfn.XLOOKUP($A978,TRIM(SUBSTITUTE('worker file'!$A$2:$A$406,_xlfn.UNICHAR(160)," ")),'worker file'!$M$2:$M$406,0),_xlfn.XLOOKUP($B978,TRIM('pay group &amp; schedule'!$A$2:$A$6),'pay group &amp; schedule'!$D$2:$D$6,0))</f>
        <v>46311</v>
      </c>
      <c r="N978" s="39" t="str">
        <f t="array" ref="N978">_xlfn.LET(_xlpm.t,_xlfn.XLOOKUP($A978,TRIM(SUBSTITUTE('worker file'!$A$2:$A$406,_xlfn.UNICHAR(160)," ")),'worker file'!$N$2:$N$406,""),IF(N(_xlpm.t)=0,"",_xlpm.t))</f>
        <v/>
      </c>
    </row>
    <row r="979" spans="1:14" x14ac:dyDescent="0.2">
      <c r="A979" s="35" t="s">
        <v>434</v>
      </c>
      <c r="B979" s="36" t="str">
        <f t="array" ref="B979">_xlfn.XLOOKUP($A979,TRIM(SUBSTITUTE('worker file'!$A$2:$A$406,_xlfn.UNICHAR(160)," ")),'worker file'!$L$2:$L$406,"Not found")</f>
        <v>US Semi-monthly</v>
      </c>
      <c r="C979" s="36" t="str">
        <f t="array" ref="C979">_xlfn.XLOOKUP($A979,TRIM(SUBSTITUTE('worker file'!$A$2:$A$406,_xlfn.UNICHAR(160)," ")),'worker file'!$D$2:$D$406,"Not found")</f>
        <v>CA</v>
      </c>
      <c r="D979" s="36" t="str">
        <f t="array" ref="D979">_xlfn.XLOOKUP($A979,TRIM(SUBSTITUTE('worker file'!$A$2:$A$406,_xlfn.UNICHAR(160)," ")),'worker file'!$Q$2:$Q$406,"Not found")</f>
        <v>Active</v>
      </c>
      <c r="E979" s="35" t="s">
        <v>618</v>
      </c>
      <c r="F979" t="str">
        <f t="shared" si="115"/>
        <v>401(k) Employee Deferral</v>
      </c>
      <c r="G979" t="str">
        <f t="shared" si="116"/>
        <v>Pre-tax (exempt from FIT/SIT; subject to FICA)</v>
      </c>
      <c r="H979" t="str">
        <f t="shared" si="117"/>
        <v>Percent</v>
      </c>
      <c r="I979" s="37">
        <v>0.03</v>
      </c>
      <c r="J979" s="38" t="str">
        <f t="shared" si="118"/>
        <v/>
      </c>
      <c r="K979" t="str">
        <f t="shared" si="119"/>
        <v>Gross pay</v>
      </c>
      <c r="L979" t="str">
        <f t="shared" si="120"/>
        <v>Every pay period (ongoing)</v>
      </c>
      <c r="M979" s="39">
        <f t="array" ref="M979">MAX(_xlfn.XLOOKUP($A979,TRIM(SUBSTITUTE('worker file'!$A$2:$A$406,_xlfn.UNICHAR(160)," ")),'worker file'!$M$2:$M$406,0),_xlfn.XLOOKUP($B979,TRIM('pay group &amp; schedule'!$A$2:$A$6),'pay group &amp; schedule'!$D$2:$D$6,0))</f>
        <v>46311</v>
      </c>
      <c r="N979" s="39" t="str">
        <f t="array" ref="N979">_xlfn.LET(_xlpm.t,_xlfn.XLOOKUP($A979,TRIM(SUBSTITUTE('worker file'!$A$2:$A$406,_xlfn.UNICHAR(160)," ")),'worker file'!$N$2:$N$406,""),IF(N(_xlpm.t)=0,"",_xlpm.t))</f>
        <v/>
      </c>
    </row>
    <row r="980" spans="1:14" x14ac:dyDescent="0.2">
      <c r="A980" s="35" t="s">
        <v>434</v>
      </c>
      <c r="B980" s="36" t="str">
        <f t="array" ref="B980">_xlfn.XLOOKUP($A980,TRIM(SUBSTITUTE('worker file'!$A$2:$A$406,_xlfn.UNICHAR(160)," ")),'worker file'!$L$2:$L$406,"Not found")</f>
        <v>US Semi-monthly</v>
      </c>
      <c r="C980" s="36" t="str">
        <f t="array" ref="C980">_xlfn.XLOOKUP($A980,TRIM(SUBSTITUTE('worker file'!$A$2:$A$406,_xlfn.UNICHAR(160)," ")),'worker file'!$D$2:$D$406,"Not found")</f>
        <v>CA</v>
      </c>
      <c r="D980" s="36" t="str">
        <f t="array" ref="D980">_xlfn.XLOOKUP($A980,TRIM(SUBSTITUTE('worker file'!$A$2:$A$406,_xlfn.UNICHAR(160)," ")),'worker file'!$Q$2:$Q$406,"Not found")</f>
        <v>Active</v>
      </c>
      <c r="E980" s="35" t="s">
        <v>626</v>
      </c>
      <c r="F980" t="str">
        <f t="shared" si="115"/>
        <v>Medical (Health) – Employee</v>
      </c>
      <c r="G980" t="str">
        <f t="shared" si="116"/>
        <v>Pre-tax Section 125 (exempt from FIT/SIT/FICA)</v>
      </c>
      <c r="H980" t="str">
        <f t="shared" si="117"/>
        <v>Flat</v>
      </c>
      <c r="I980" s="40" t="str">
        <f>IF($H980="Percent",_xlfn.XLOOKUP($E980,$A$5:$A$8,$F$5:$F$8,""),"")</f>
        <v/>
      </c>
      <c r="J980" s="38">
        <f t="shared" si="118"/>
        <v>200</v>
      </c>
      <c r="K980" t="str">
        <f t="shared" si="119"/>
        <v>Per pay period</v>
      </c>
      <c r="L980" t="str">
        <f t="shared" si="120"/>
        <v>Every pay period (ongoing)</v>
      </c>
      <c r="M980" s="39">
        <f t="array" ref="M980">MAX(_xlfn.XLOOKUP($A980,TRIM(SUBSTITUTE('worker file'!$A$2:$A$406,_xlfn.UNICHAR(160)," ")),'worker file'!$M$2:$M$406,0),_xlfn.XLOOKUP($B980,TRIM('pay group &amp; schedule'!$A$2:$A$6),'pay group &amp; schedule'!$D$2:$D$6,0))</f>
        <v>46311</v>
      </c>
      <c r="N980" s="39" t="str">
        <f t="array" ref="N980">_xlfn.LET(_xlpm.t,_xlfn.XLOOKUP($A980,TRIM(SUBSTITUTE('worker file'!$A$2:$A$406,_xlfn.UNICHAR(160)," ")),'worker file'!$N$2:$N$406,""),IF(N(_xlpm.t)=0,"",_xlpm.t))</f>
        <v/>
      </c>
    </row>
    <row r="981" spans="1:14" x14ac:dyDescent="0.2">
      <c r="A981" s="35" t="s">
        <v>434</v>
      </c>
      <c r="B981" s="36" t="str">
        <f t="array" ref="B981">_xlfn.XLOOKUP($A981,TRIM(SUBSTITUTE('worker file'!$A$2:$A$406,_xlfn.UNICHAR(160)," ")),'worker file'!$L$2:$L$406,"Not found")</f>
        <v>US Semi-monthly</v>
      </c>
      <c r="C981" s="36" t="str">
        <f t="array" ref="C981">_xlfn.XLOOKUP($A981,TRIM(SUBSTITUTE('worker file'!$A$2:$A$406,_xlfn.UNICHAR(160)," ")),'worker file'!$D$2:$D$406,"Not found")</f>
        <v>CA</v>
      </c>
      <c r="D981" s="36" t="str">
        <f t="array" ref="D981">_xlfn.XLOOKUP($A981,TRIM(SUBSTITUTE('worker file'!$A$2:$A$406,_xlfn.UNICHAR(160)," ")),'worker file'!$Q$2:$Q$406,"Not found")</f>
        <v>Active</v>
      </c>
      <c r="E981" s="35" t="s">
        <v>632</v>
      </c>
      <c r="F981" t="str">
        <f t="shared" si="115"/>
        <v>Dental – Employee</v>
      </c>
      <c r="G981" t="str">
        <f t="shared" si="116"/>
        <v>Pre-tax Section 125 (exempt from FIT/SIT/FICA)</v>
      </c>
      <c r="H981" t="str">
        <f t="shared" si="117"/>
        <v>Flat</v>
      </c>
      <c r="I981" s="40" t="str">
        <f>IF($H981="Percent",_xlfn.XLOOKUP($E981,$A$5:$A$8,$F$5:$F$8,""),"")</f>
        <v/>
      </c>
      <c r="J981" s="38">
        <f t="shared" si="118"/>
        <v>44</v>
      </c>
      <c r="K981" t="str">
        <f t="shared" si="119"/>
        <v>Per pay period</v>
      </c>
      <c r="L981" t="str">
        <f t="shared" si="120"/>
        <v>Every pay period (ongoing)</v>
      </c>
      <c r="M981" s="39">
        <f t="array" ref="M981">MAX(_xlfn.XLOOKUP($A981,TRIM(SUBSTITUTE('worker file'!$A$2:$A$406,_xlfn.UNICHAR(160)," ")),'worker file'!$M$2:$M$406,0),_xlfn.XLOOKUP($B981,TRIM('pay group &amp; schedule'!$A$2:$A$6),'pay group &amp; schedule'!$D$2:$D$6,0))</f>
        <v>46311</v>
      </c>
      <c r="N981" s="39" t="str">
        <f t="array" ref="N981">_xlfn.LET(_xlpm.t,_xlfn.XLOOKUP($A981,TRIM(SUBSTITUTE('worker file'!$A$2:$A$406,_xlfn.UNICHAR(160)," ")),'worker file'!$N$2:$N$406,""),IF(N(_xlpm.t)=0,"",_xlpm.t))</f>
        <v/>
      </c>
    </row>
    <row r="982" spans="1:14" x14ac:dyDescent="0.2">
      <c r="A982" s="35" t="s">
        <v>434</v>
      </c>
      <c r="B982" s="36" t="str">
        <f t="array" ref="B982">_xlfn.XLOOKUP($A982,TRIM(SUBSTITUTE('worker file'!$A$2:$A$406,_xlfn.UNICHAR(160)," ")),'worker file'!$L$2:$L$406,"Not found")</f>
        <v>US Semi-monthly</v>
      </c>
      <c r="C982" s="36" t="str">
        <f t="array" ref="C982">_xlfn.XLOOKUP($A982,TRIM(SUBSTITUTE('worker file'!$A$2:$A$406,_xlfn.UNICHAR(160)," ")),'worker file'!$D$2:$D$406,"Not found")</f>
        <v>CA</v>
      </c>
      <c r="D982" s="36" t="str">
        <f t="array" ref="D982">_xlfn.XLOOKUP($A982,TRIM(SUBSTITUTE('worker file'!$A$2:$A$406,_xlfn.UNICHAR(160)," ")),'worker file'!$Q$2:$Q$406,"Not found")</f>
        <v>Active</v>
      </c>
      <c r="E982" s="35" t="s">
        <v>634</v>
      </c>
      <c r="F982" t="str">
        <f t="shared" si="115"/>
        <v>Vision – Employee</v>
      </c>
      <c r="G982" t="str">
        <f t="shared" si="116"/>
        <v>Pre-tax Section 125 (exempt from FIT/SIT/FICA)</v>
      </c>
      <c r="H982" t="str">
        <f t="shared" si="117"/>
        <v>Flat</v>
      </c>
      <c r="I982" s="40" t="str">
        <f>IF($H982="Percent",_xlfn.XLOOKUP($E982,$A$5:$A$8,$F$5:$F$8,""),"")</f>
        <v/>
      </c>
      <c r="J982" s="38">
        <f t="shared" si="118"/>
        <v>30</v>
      </c>
      <c r="K982" t="str">
        <f t="shared" si="119"/>
        <v>Per pay period</v>
      </c>
      <c r="L982" t="str">
        <f t="shared" si="120"/>
        <v>Every pay period (ongoing)</v>
      </c>
      <c r="M982" s="39">
        <f t="array" ref="M982">MAX(_xlfn.XLOOKUP($A982,TRIM(SUBSTITUTE('worker file'!$A$2:$A$406,_xlfn.UNICHAR(160)," ")),'worker file'!$M$2:$M$406,0),_xlfn.XLOOKUP($B982,TRIM('pay group &amp; schedule'!$A$2:$A$6),'pay group &amp; schedule'!$D$2:$D$6,0))</f>
        <v>46311</v>
      </c>
      <c r="N982" s="39" t="str">
        <f t="array" ref="N982">_xlfn.LET(_xlpm.t,_xlfn.XLOOKUP($A982,TRIM(SUBSTITUTE('worker file'!$A$2:$A$406,_xlfn.UNICHAR(160)," ")),'worker file'!$N$2:$N$406,""),IF(N(_xlpm.t)=0,"",_xlpm.t))</f>
        <v/>
      </c>
    </row>
    <row r="983" spans="1:14" x14ac:dyDescent="0.2">
      <c r="A983" s="35" t="s">
        <v>435</v>
      </c>
      <c r="B983" s="36" t="str">
        <f t="array" ref="B983">_xlfn.XLOOKUP($A983,TRIM(SUBSTITUTE('worker file'!$A$2:$A$406,_xlfn.UNICHAR(160)," ")),'worker file'!$L$2:$L$406,"Not found")</f>
        <v>US Semi-monthly</v>
      </c>
      <c r="C983" s="36" t="str">
        <f t="array" ref="C983">_xlfn.XLOOKUP($A983,TRIM(SUBSTITUTE('worker file'!$A$2:$A$406,_xlfn.UNICHAR(160)," ")),'worker file'!$D$2:$D$406,"Not found")</f>
        <v>CA</v>
      </c>
      <c r="D983" s="36" t="str">
        <f t="array" ref="D983">_xlfn.XLOOKUP($A983,TRIM(SUBSTITUTE('worker file'!$A$2:$A$406,_xlfn.UNICHAR(160)," ")),'worker file'!$Q$2:$Q$406,"Not found")</f>
        <v>Active</v>
      </c>
      <c r="E983" s="35" t="s">
        <v>618</v>
      </c>
      <c r="F983" t="str">
        <f t="shared" si="115"/>
        <v>401(k) Employee Deferral</v>
      </c>
      <c r="G983" t="str">
        <f t="shared" si="116"/>
        <v>Pre-tax (exempt from FIT/SIT; subject to FICA)</v>
      </c>
      <c r="H983" t="str">
        <f t="shared" si="117"/>
        <v>Percent</v>
      </c>
      <c r="I983" s="37">
        <v>0</v>
      </c>
      <c r="J983" s="38" t="str">
        <f t="shared" si="118"/>
        <v/>
      </c>
      <c r="K983" t="str">
        <f t="shared" si="119"/>
        <v>Gross pay</v>
      </c>
      <c r="L983" t="str">
        <f t="shared" si="120"/>
        <v>Every pay period (ongoing)</v>
      </c>
      <c r="M983" s="39">
        <f t="array" ref="M983">MAX(_xlfn.XLOOKUP($A983,TRIM(SUBSTITUTE('worker file'!$A$2:$A$406,_xlfn.UNICHAR(160)," ")),'worker file'!$M$2:$M$406,0),_xlfn.XLOOKUP($B983,TRIM('pay group &amp; schedule'!$A$2:$A$6),'pay group &amp; schedule'!$D$2:$D$6,0))</f>
        <v>46311</v>
      </c>
      <c r="N983" s="39" t="str">
        <f t="array" ref="N983">_xlfn.LET(_xlpm.t,_xlfn.XLOOKUP($A983,TRIM(SUBSTITUTE('worker file'!$A$2:$A$406,_xlfn.UNICHAR(160)," ")),'worker file'!$N$2:$N$406,""),IF(N(_xlpm.t)=0,"",_xlpm.t))</f>
        <v/>
      </c>
    </row>
    <row r="984" spans="1:14" x14ac:dyDescent="0.2">
      <c r="A984" s="35" t="s">
        <v>435</v>
      </c>
      <c r="B984" s="36" t="str">
        <f t="array" ref="B984">_xlfn.XLOOKUP($A984,TRIM(SUBSTITUTE('worker file'!$A$2:$A$406,_xlfn.UNICHAR(160)," ")),'worker file'!$L$2:$L$406,"Not found")</f>
        <v>US Semi-monthly</v>
      </c>
      <c r="C984" s="36" t="str">
        <f t="array" ref="C984">_xlfn.XLOOKUP($A984,TRIM(SUBSTITUTE('worker file'!$A$2:$A$406,_xlfn.UNICHAR(160)," ")),'worker file'!$D$2:$D$406,"Not found")</f>
        <v>CA</v>
      </c>
      <c r="D984" s="36" t="str">
        <f t="array" ref="D984">_xlfn.XLOOKUP($A984,TRIM(SUBSTITUTE('worker file'!$A$2:$A$406,_xlfn.UNICHAR(160)," ")),'worker file'!$Q$2:$Q$406,"Not found")</f>
        <v>Active</v>
      </c>
      <c r="E984" s="35" t="s">
        <v>626</v>
      </c>
      <c r="F984" t="str">
        <f t="shared" si="115"/>
        <v>Medical (Health) – Employee</v>
      </c>
      <c r="G984" t="str">
        <f t="shared" si="116"/>
        <v>Pre-tax Section 125 (exempt from FIT/SIT/FICA)</v>
      </c>
      <c r="H984" t="str">
        <f t="shared" si="117"/>
        <v>Flat</v>
      </c>
      <c r="I984" s="40" t="str">
        <f>IF($H984="Percent",_xlfn.XLOOKUP($E984,$A$5:$A$8,$F$5:$F$8,""),"")</f>
        <v/>
      </c>
      <c r="J984" s="38">
        <f t="shared" si="118"/>
        <v>200</v>
      </c>
      <c r="K984" t="str">
        <f t="shared" si="119"/>
        <v>Per pay period</v>
      </c>
      <c r="L984" t="str">
        <f t="shared" si="120"/>
        <v>Every pay period (ongoing)</v>
      </c>
      <c r="M984" s="39">
        <f t="array" ref="M984">MAX(_xlfn.XLOOKUP($A984,TRIM(SUBSTITUTE('worker file'!$A$2:$A$406,_xlfn.UNICHAR(160)," ")),'worker file'!$M$2:$M$406,0),_xlfn.XLOOKUP($B984,TRIM('pay group &amp; schedule'!$A$2:$A$6),'pay group &amp; schedule'!$D$2:$D$6,0))</f>
        <v>46311</v>
      </c>
      <c r="N984" s="39" t="str">
        <f t="array" ref="N984">_xlfn.LET(_xlpm.t,_xlfn.XLOOKUP($A984,TRIM(SUBSTITUTE('worker file'!$A$2:$A$406,_xlfn.UNICHAR(160)," ")),'worker file'!$N$2:$N$406,""),IF(N(_xlpm.t)=0,"",_xlpm.t))</f>
        <v/>
      </c>
    </row>
    <row r="985" spans="1:14" x14ac:dyDescent="0.2">
      <c r="A985" s="35" t="s">
        <v>435</v>
      </c>
      <c r="B985" s="36" t="str">
        <f t="array" ref="B985">_xlfn.XLOOKUP($A985,TRIM(SUBSTITUTE('worker file'!$A$2:$A$406,_xlfn.UNICHAR(160)," ")),'worker file'!$L$2:$L$406,"Not found")</f>
        <v>US Semi-monthly</v>
      </c>
      <c r="C985" s="36" t="str">
        <f t="array" ref="C985">_xlfn.XLOOKUP($A985,TRIM(SUBSTITUTE('worker file'!$A$2:$A$406,_xlfn.UNICHAR(160)," ")),'worker file'!$D$2:$D$406,"Not found")</f>
        <v>CA</v>
      </c>
      <c r="D985" s="36" t="str">
        <f t="array" ref="D985">_xlfn.XLOOKUP($A985,TRIM(SUBSTITUTE('worker file'!$A$2:$A$406,_xlfn.UNICHAR(160)," ")),'worker file'!$Q$2:$Q$406,"Not found")</f>
        <v>Active</v>
      </c>
      <c r="E985" s="35" t="s">
        <v>632</v>
      </c>
      <c r="F985" t="str">
        <f t="shared" si="115"/>
        <v>Dental – Employee</v>
      </c>
      <c r="G985" t="str">
        <f t="shared" si="116"/>
        <v>Pre-tax Section 125 (exempt from FIT/SIT/FICA)</v>
      </c>
      <c r="H985" t="str">
        <f t="shared" si="117"/>
        <v>Flat</v>
      </c>
      <c r="I985" s="40" t="str">
        <f>IF($H985="Percent",_xlfn.XLOOKUP($E985,$A$5:$A$8,$F$5:$F$8,""),"")</f>
        <v/>
      </c>
      <c r="J985" s="38">
        <f t="shared" si="118"/>
        <v>44</v>
      </c>
      <c r="K985" t="str">
        <f t="shared" si="119"/>
        <v>Per pay period</v>
      </c>
      <c r="L985" t="str">
        <f t="shared" si="120"/>
        <v>Every pay period (ongoing)</v>
      </c>
      <c r="M985" s="39">
        <f t="array" ref="M985">MAX(_xlfn.XLOOKUP($A985,TRIM(SUBSTITUTE('worker file'!$A$2:$A$406,_xlfn.UNICHAR(160)," ")),'worker file'!$M$2:$M$406,0),_xlfn.XLOOKUP($B985,TRIM('pay group &amp; schedule'!$A$2:$A$6),'pay group &amp; schedule'!$D$2:$D$6,0))</f>
        <v>46311</v>
      </c>
      <c r="N985" s="39" t="str">
        <f t="array" ref="N985">_xlfn.LET(_xlpm.t,_xlfn.XLOOKUP($A985,TRIM(SUBSTITUTE('worker file'!$A$2:$A$406,_xlfn.UNICHAR(160)," ")),'worker file'!$N$2:$N$406,""),IF(N(_xlpm.t)=0,"",_xlpm.t))</f>
        <v/>
      </c>
    </row>
    <row r="986" spans="1:14" x14ac:dyDescent="0.2">
      <c r="A986" s="35" t="s">
        <v>435</v>
      </c>
      <c r="B986" s="36" t="str">
        <f t="array" ref="B986">_xlfn.XLOOKUP($A986,TRIM(SUBSTITUTE('worker file'!$A$2:$A$406,_xlfn.UNICHAR(160)," ")),'worker file'!$L$2:$L$406,"Not found")</f>
        <v>US Semi-monthly</v>
      </c>
      <c r="C986" s="36" t="str">
        <f t="array" ref="C986">_xlfn.XLOOKUP($A986,TRIM(SUBSTITUTE('worker file'!$A$2:$A$406,_xlfn.UNICHAR(160)," ")),'worker file'!$D$2:$D$406,"Not found")</f>
        <v>CA</v>
      </c>
      <c r="D986" s="36" t="str">
        <f t="array" ref="D986">_xlfn.XLOOKUP($A986,TRIM(SUBSTITUTE('worker file'!$A$2:$A$406,_xlfn.UNICHAR(160)," ")),'worker file'!$Q$2:$Q$406,"Not found")</f>
        <v>Active</v>
      </c>
      <c r="E986" s="35" t="s">
        <v>634</v>
      </c>
      <c r="F986" t="str">
        <f t="shared" si="115"/>
        <v>Vision – Employee</v>
      </c>
      <c r="G986" t="str">
        <f t="shared" si="116"/>
        <v>Pre-tax Section 125 (exempt from FIT/SIT/FICA)</v>
      </c>
      <c r="H986" t="str">
        <f t="shared" si="117"/>
        <v>Flat</v>
      </c>
      <c r="I986" s="40" t="str">
        <f>IF($H986="Percent",_xlfn.XLOOKUP($E986,$A$5:$A$8,$F$5:$F$8,""),"")</f>
        <v/>
      </c>
      <c r="J986" s="38">
        <f t="shared" si="118"/>
        <v>30</v>
      </c>
      <c r="K986" t="str">
        <f t="shared" si="119"/>
        <v>Per pay period</v>
      </c>
      <c r="L986" t="str">
        <f t="shared" si="120"/>
        <v>Every pay period (ongoing)</v>
      </c>
      <c r="M986" s="39">
        <f t="array" ref="M986">MAX(_xlfn.XLOOKUP($A986,TRIM(SUBSTITUTE('worker file'!$A$2:$A$406,_xlfn.UNICHAR(160)," ")),'worker file'!$M$2:$M$406,0),_xlfn.XLOOKUP($B986,TRIM('pay group &amp; schedule'!$A$2:$A$6),'pay group &amp; schedule'!$D$2:$D$6,0))</f>
        <v>46311</v>
      </c>
      <c r="N986" s="39" t="str">
        <f t="array" ref="N986">_xlfn.LET(_xlpm.t,_xlfn.XLOOKUP($A986,TRIM(SUBSTITUTE('worker file'!$A$2:$A$406,_xlfn.UNICHAR(160)," ")),'worker file'!$N$2:$N$406,""),IF(N(_xlpm.t)=0,"",_xlpm.t))</f>
        <v/>
      </c>
    </row>
    <row r="987" spans="1:14" x14ac:dyDescent="0.2">
      <c r="A987" s="35" t="s">
        <v>436</v>
      </c>
      <c r="B987" s="36" t="str">
        <f t="array" ref="B987">_xlfn.XLOOKUP($A987,TRIM(SUBSTITUTE('worker file'!$A$2:$A$406,_xlfn.UNICHAR(160)," ")),'worker file'!$L$2:$L$406,"Not found")</f>
        <v>US Semi-monthly</v>
      </c>
      <c r="C987" s="36" t="str">
        <f t="array" ref="C987">_xlfn.XLOOKUP($A987,TRIM(SUBSTITUTE('worker file'!$A$2:$A$406,_xlfn.UNICHAR(160)," ")),'worker file'!$D$2:$D$406,"Not found")</f>
        <v>CA</v>
      </c>
      <c r="D987" s="36" t="str">
        <f t="array" ref="D987">_xlfn.XLOOKUP($A987,TRIM(SUBSTITUTE('worker file'!$A$2:$A$406,_xlfn.UNICHAR(160)," ")),'worker file'!$Q$2:$Q$406,"Not found")</f>
        <v>Active</v>
      </c>
      <c r="E987" s="35" t="s">
        <v>618</v>
      </c>
      <c r="F987" t="str">
        <f t="shared" si="115"/>
        <v>401(k) Employee Deferral</v>
      </c>
      <c r="G987" t="str">
        <f t="shared" si="116"/>
        <v>Pre-tax (exempt from FIT/SIT; subject to FICA)</v>
      </c>
      <c r="H987" t="str">
        <f t="shared" si="117"/>
        <v>Percent</v>
      </c>
      <c r="I987" s="37">
        <v>0.05</v>
      </c>
      <c r="J987" s="38" t="str">
        <f t="shared" si="118"/>
        <v/>
      </c>
      <c r="K987" t="str">
        <f t="shared" si="119"/>
        <v>Gross pay</v>
      </c>
      <c r="L987" t="str">
        <f t="shared" si="120"/>
        <v>Every pay period (ongoing)</v>
      </c>
      <c r="M987" s="39">
        <f t="array" ref="M987">MAX(_xlfn.XLOOKUP($A987,TRIM(SUBSTITUTE('worker file'!$A$2:$A$406,_xlfn.UNICHAR(160)," ")),'worker file'!$M$2:$M$406,0),_xlfn.XLOOKUP($B987,TRIM('pay group &amp; schedule'!$A$2:$A$6),'pay group &amp; schedule'!$D$2:$D$6,0))</f>
        <v>46311</v>
      </c>
      <c r="N987" s="39" t="str">
        <f t="array" ref="N987">_xlfn.LET(_xlpm.t,_xlfn.XLOOKUP($A987,TRIM(SUBSTITUTE('worker file'!$A$2:$A$406,_xlfn.UNICHAR(160)," ")),'worker file'!$N$2:$N$406,""),IF(N(_xlpm.t)=0,"",_xlpm.t))</f>
        <v/>
      </c>
    </row>
    <row r="988" spans="1:14" x14ac:dyDescent="0.2">
      <c r="A988" s="35" t="s">
        <v>436</v>
      </c>
      <c r="B988" s="36" t="str">
        <f t="array" ref="B988">_xlfn.XLOOKUP($A988,TRIM(SUBSTITUTE('worker file'!$A$2:$A$406,_xlfn.UNICHAR(160)," ")),'worker file'!$L$2:$L$406,"Not found")</f>
        <v>US Semi-monthly</v>
      </c>
      <c r="C988" s="36" t="str">
        <f t="array" ref="C988">_xlfn.XLOOKUP($A988,TRIM(SUBSTITUTE('worker file'!$A$2:$A$406,_xlfn.UNICHAR(160)," ")),'worker file'!$D$2:$D$406,"Not found")</f>
        <v>CA</v>
      </c>
      <c r="D988" s="36" t="str">
        <f t="array" ref="D988">_xlfn.XLOOKUP($A988,TRIM(SUBSTITUTE('worker file'!$A$2:$A$406,_xlfn.UNICHAR(160)," ")),'worker file'!$Q$2:$Q$406,"Not found")</f>
        <v>Active</v>
      </c>
      <c r="E988" s="35" t="s">
        <v>626</v>
      </c>
      <c r="F988" t="str">
        <f t="shared" si="115"/>
        <v>Medical (Health) – Employee</v>
      </c>
      <c r="G988" t="str">
        <f t="shared" si="116"/>
        <v>Pre-tax Section 125 (exempt from FIT/SIT/FICA)</v>
      </c>
      <c r="H988" t="str">
        <f t="shared" si="117"/>
        <v>Flat</v>
      </c>
      <c r="I988" s="40" t="str">
        <f t="shared" ref="I988:I993" si="121">IF($H988="Percent",_xlfn.XLOOKUP($E988,$A$5:$A$8,$F$5:$F$8,""),"")</f>
        <v/>
      </c>
      <c r="J988" s="38">
        <f t="shared" si="118"/>
        <v>200</v>
      </c>
      <c r="K988" t="str">
        <f t="shared" si="119"/>
        <v>Per pay period</v>
      </c>
      <c r="L988" t="str">
        <f t="shared" si="120"/>
        <v>Every pay period (ongoing)</v>
      </c>
      <c r="M988" s="39">
        <f t="array" ref="M988">MAX(_xlfn.XLOOKUP($A988,TRIM(SUBSTITUTE('worker file'!$A$2:$A$406,_xlfn.UNICHAR(160)," ")),'worker file'!$M$2:$M$406,0),_xlfn.XLOOKUP($B988,TRIM('pay group &amp; schedule'!$A$2:$A$6),'pay group &amp; schedule'!$D$2:$D$6,0))</f>
        <v>46311</v>
      </c>
      <c r="N988" s="39" t="str">
        <f t="array" ref="N988">_xlfn.LET(_xlpm.t,_xlfn.XLOOKUP($A988,TRIM(SUBSTITUTE('worker file'!$A$2:$A$406,_xlfn.UNICHAR(160)," ")),'worker file'!$N$2:$N$406,""),IF(N(_xlpm.t)=0,"",_xlpm.t))</f>
        <v/>
      </c>
    </row>
    <row r="989" spans="1:14" x14ac:dyDescent="0.2">
      <c r="A989" s="35" t="s">
        <v>436</v>
      </c>
      <c r="B989" s="36" t="str">
        <f t="array" ref="B989">_xlfn.XLOOKUP($A989,TRIM(SUBSTITUTE('worker file'!$A$2:$A$406,_xlfn.UNICHAR(160)," ")),'worker file'!$L$2:$L$406,"Not found")</f>
        <v>US Semi-monthly</v>
      </c>
      <c r="C989" s="36" t="str">
        <f t="array" ref="C989">_xlfn.XLOOKUP($A989,TRIM(SUBSTITUTE('worker file'!$A$2:$A$406,_xlfn.UNICHAR(160)," ")),'worker file'!$D$2:$D$406,"Not found")</f>
        <v>CA</v>
      </c>
      <c r="D989" s="36" t="str">
        <f t="array" ref="D989">_xlfn.XLOOKUP($A989,TRIM(SUBSTITUTE('worker file'!$A$2:$A$406,_xlfn.UNICHAR(160)," ")),'worker file'!$Q$2:$Q$406,"Not found")</f>
        <v>Active</v>
      </c>
      <c r="E989" s="35" t="s">
        <v>632</v>
      </c>
      <c r="F989" t="str">
        <f t="shared" si="115"/>
        <v>Dental – Employee</v>
      </c>
      <c r="G989" t="str">
        <f t="shared" si="116"/>
        <v>Pre-tax Section 125 (exempt from FIT/SIT/FICA)</v>
      </c>
      <c r="H989" t="str">
        <f t="shared" si="117"/>
        <v>Flat</v>
      </c>
      <c r="I989" s="40" t="str">
        <f t="shared" si="121"/>
        <v/>
      </c>
      <c r="J989" s="38">
        <f t="shared" si="118"/>
        <v>44</v>
      </c>
      <c r="K989" t="str">
        <f t="shared" si="119"/>
        <v>Per pay period</v>
      </c>
      <c r="L989" t="str">
        <f t="shared" si="120"/>
        <v>Every pay period (ongoing)</v>
      </c>
      <c r="M989" s="39">
        <f t="array" ref="M989">MAX(_xlfn.XLOOKUP($A989,TRIM(SUBSTITUTE('worker file'!$A$2:$A$406,_xlfn.UNICHAR(160)," ")),'worker file'!$M$2:$M$406,0),_xlfn.XLOOKUP($B989,TRIM('pay group &amp; schedule'!$A$2:$A$6),'pay group &amp; schedule'!$D$2:$D$6,0))</f>
        <v>46311</v>
      </c>
      <c r="N989" s="39" t="str">
        <f t="array" ref="N989">_xlfn.LET(_xlpm.t,_xlfn.XLOOKUP($A989,TRIM(SUBSTITUTE('worker file'!$A$2:$A$406,_xlfn.UNICHAR(160)," ")),'worker file'!$N$2:$N$406,""),IF(N(_xlpm.t)=0,"",_xlpm.t))</f>
        <v/>
      </c>
    </row>
    <row r="990" spans="1:14" x14ac:dyDescent="0.2">
      <c r="A990" s="35" t="s">
        <v>436</v>
      </c>
      <c r="B990" s="36" t="str">
        <f t="array" ref="B990">_xlfn.XLOOKUP($A990,TRIM(SUBSTITUTE('worker file'!$A$2:$A$406,_xlfn.UNICHAR(160)," ")),'worker file'!$L$2:$L$406,"Not found")</f>
        <v>US Semi-monthly</v>
      </c>
      <c r="C990" s="36" t="str">
        <f t="array" ref="C990">_xlfn.XLOOKUP($A990,TRIM(SUBSTITUTE('worker file'!$A$2:$A$406,_xlfn.UNICHAR(160)," ")),'worker file'!$D$2:$D$406,"Not found")</f>
        <v>CA</v>
      </c>
      <c r="D990" s="36" t="str">
        <f t="array" ref="D990">_xlfn.XLOOKUP($A990,TRIM(SUBSTITUTE('worker file'!$A$2:$A$406,_xlfn.UNICHAR(160)," ")),'worker file'!$Q$2:$Q$406,"Not found")</f>
        <v>Active</v>
      </c>
      <c r="E990" s="35" t="s">
        <v>634</v>
      </c>
      <c r="F990" t="str">
        <f t="shared" si="115"/>
        <v>Vision – Employee</v>
      </c>
      <c r="G990" t="str">
        <f t="shared" si="116"/>
        <v>Pre-tax Section 125 (exempt from FIT/SIT/FICA)</v>
      </c>
      <c r="H990" t="str">
        <f t="shared" si="117"/>
        <v>Flat</v>
      </c>
      <c r="I990" s="40" t="str">
        <f t="shared" si="121"/>
        <v/>
      </c>
      <c r="J990" s="38">
        <f t="shared" si="118"/>
        <v>30</v>
      </c>
      <c r="K990" t="str">
        <f t="shared" si="119"/>
        <v>Per pay period</v>
      </c>
      <c r="L990" t="str">
        <f t="shared" si="120"/>
        <v>Every pay period (ongoing)</v>
      </c>
      <c r="M990" s="39">
        <f t="array" ref="M990">MAX(_xlfn.XLOOKUP($A990,TRIM(SUBSTITUTE('worker file'!$A$2:$A$406,_xlfn.UNICHAR(160)," ")),'worker file'!$M$2:$M$406,0),_xlfn.XLOOKUP($B990,TRIM('pay group &amp; schedule'!$A$2:$A$6),'pay group &amp; schedule'!$D$2:$D$6,0))</f>
        <v>46311</v>
      </c>
      <c r="N990" s="39" t="str">
        <f t="array" ref="N990">_xlfn.LET(_xlpm.t,_xlfn.XLOOKUP($A990,TRIM(SUBSTITUTE('worker file'!$A$2:$A$406,_xlfn.UNICHAR(160)," ")),'worker file'!$N$2:$N$406,""),IF(N(_xlpm.t)=0,"",_xlpm.t))</f>
        <v/>
      </c>
    </row>
    <row r="991" spans="1:14" x14ac:dyDescent="0.2">
      <c r="A991" s="35" t="s">
        <v>437</v>
      </c>
      <c r="B991" s="36" t="str">
        <f t="array" ref="B991">_xlfn.XLOOKUP($A991,TRIM(SUBSTITUTE('worker file'!$A$2:$A$406,_xlfn.UNICHAR(160)," ")),'worker file'!$L$2:$L$406,"Not found")</f>
        <v>US Biweekly</v>
      </c>
      <c r="C991" s="36" t="str">
        <f t="array" ref="C991">_xlfn.XLOOKUP($A991,TRIM(SUBSTITUTE('worker file'!$A$2:$A$406,_xlfn.UNICHAR(160)," ")),'worker file'!$D$2:$D$406,"Not found")</f>
        <v>TX</v>
      </c>
      <c r="D991" s="36" t="str">
        <f t="array" ref="D991">_xlfn.XLOOKUP($A991,TRIM(SUBSTITUTE('worker file'!$A$2:$A$406,_xlfn.UNICHAR(160)," ")),'worker file'!$Q$2:$Q$406,"Not found")</f>
        <v>Active</v>
      </c>
      <c r="E991" s="35" t="s">
        <v>626</v>
      </c>
      <c r="F991" t="str">
        <f t="shared" si="115"/>
        <v>Medical (Health) – Employee</v>
      </c>
      <c r="G991" t="str">
        <f t="shared" si="116"/>
        <v>Pre-tax Section 125 (exempt from FIT/SIT/FICA)</v>
      </c>
      <c r="H991" t="str">
        <f t="shared" si="117"/>
        <v>Flat</v>
      </c>
      <c r="I991" s="40" t="str">
        <f t="shared" si="121"/>
        <v/>
      </c>
      <c r="J991" s="38">
        <f t="shared" si="118"/>
        <v>200</v>
      </c>
      <c r="K991" t="str">
        <f t="shared" si="119"/>
        <v>Per pay period</v>
      </c>
      <c r="L991" t="str">
        <f t="shared" si="120"/>
        <v>Every pay period (ongoing)</v>
      </c>
      <c r="M991" s="39">
        <f t="array" ref="M991">MAX(_xlfn.XLOOKUP($A991,TRIM(SUBSTITUTE('worker file'!$A$2:$A$406,_xlfn.UNICHAR(160)," ")),'worker file'!$M$2:$M$406,0),_xlfn.XLOOKUP($B991,TRIM('pay group &amp; schedule'!$A$2:$A$6),'pay group &amp; schedule'!$D$2:$D$6,0))</f>
        <v>46299</v>
      </c>
      <c r="N991" s="39" t="str">
        <f t="array" ref="N991">_xlfn.LET(_xlpm.t,_xlfn.XLOOKUP($A991,TRIM(SUBSTITUTE('worker file'!$A$2:$A$406,_xlfn.UNICHAR(160)," ")),'worker file'!$N$2:$N$406,""),IF(N(_xlpm.t)=0,"",_xlpm.t))</f>
        <v/>
      </c>
    </row>
    <row r="992" spans="1:14" x14ac:dyDescent="0.2">
      <c r="A992" s="35" t="s">
        <v>437</v>
      </c>
      <c r="B992" s="36" t="str">
        <f t="array" ref="B992">_xlfn.XLOOKUP($A992,TRIM(SUBSTITUTE('worker file'!$A$2:$A$406,_xlfn.UNICHAR(160)," ")),'worker file'!$L$2:$L$406,"Not found")</f>
        <v>US Biweekly</v>
      </c>
      <c r="C992" s="36" t="str">
        <f t="array" ref="C992">_xlfn.XLOOKUP($A992,TRIM(SUBSTITUTE('worker file'!$A$2:$A$406,_xlfn.UNICHAR(160)," ")),'worker file'!$D$2:$D$406,"Not found")</f>
        <v>TX</v>
      </c>
      <c r="D992" s="36" t="str">
        <f t="array" ref="D992">_xlfn.XLOOKUP($A992,TRIM(SUBSTITUTE('worker file'!$A$2:$A$406,_xlfn.UNICHAR(160)," ")),'worker file'!$Q$2:$Q$406,"Not found")</f>
        <v>Active</v>
      </c>
      <c r="E992" s="35" t="s">
        <v>632</v>
      </c>
      <c r="F992" t="str">
        <f t="shared" si="115"/>
        <v>Dental – Employee</v>
      </c>
      <c r="G992" t="str">
        <f t="shared" si="116"/>
        <v>Pre-tax Section 125 (exempt from FIT/SIT/FICA)</v>
      </c>
      <c r="H992" t="str">
        <f t="shared" si="117"/>
        <v>Flat</v>
      </c>
      <c r="I992" s="40" t="str">
        <f t="shared" si="121"/>
        <v/>
      </c>
      <c r="J992" s="38">
        <f t="shared" si="118"/>
        <v>44</v>
      </c>
      <c r="K992" t="str">
        <f t="shared" si="119"/>
        <v>Per pay period</v>
      </c>
      <c r="L992" t="str">
        <f t="shared" si="120"/>
        <v>Every pay period (ongoing)</v>
      </c>
      <c r="M992" s="39">
        <f t="array" ref="M992">MAX(_xlfn.XLOOKUP($A992,TRIM(SUBSTITUTE('worker file'!$A$2:$A$406,_xlfn.UNICHAR(160)," ")),'worker file'!$M$2:$M$406,0),_xlfn.XLOOKUP($B992,TRIM('pay group &amp; schedule'!$A$2:$A$6),'pay group &amp; schedule'!$D$2:$D$6,0))</f>
        <v>46299</v>
      </c>
      <c r="N992" s="39" t="str">
        <f t="array" ref="N992">_xlfn.LET(_xlpm.t,_xlfn.XLOOKUP($A992,TRIM(SUBSTITUTE('worker file'!$A$2:$A$406,_xlfn.UNICHAR(160)," ")),'worker file'!$N$2:$N$406,""),IF(N(_xlpm.t)=0,"",_xlpm.t))</f>
        <v/>
      </c>
    </row>
    <row r="993" spans="1:14" x14ac:dyDescent="0.2">
      <c r="A993" s="35" t="s">
        <v>437</v>
      </c>
      <c r="B993" s="36" t="str">
        <f t="array" ref="B993">_xlfn.XLOOKUP($A993,TRIM(SUBSTITUTE('worker file'!$A$2:$A$406,_xlfn.UNICHAR(160)," ")),'worker file'!$L$2:$L$406,"Not found")</f>
        <v>US Biweekly</v>
      </c>
      <c r="C993" s="36" t="str">
        <f t="array" ref="C993">_xlfn.XLOOKUP($A993,TRIM(SUBSTITUTE('worker file'!$A$2:$A$406,_xlfn.UNICHAR(160)," ")),'worker file'!$D$2:$D$406,"Not found")</f>
        <v>TX</v>
      </c>
      <c r="D993" s="36" t="str">
        <f t="array" ref="D993">_xlfn.XLOOKUP($A993,TRIM(SUBSTITUTE('worker file'!$A$2:$A$406,_xlfn.UNICHAR(160)," ")),'worker file'!$Q$2:$Q$406,"Not found")</f>
        <v>Active</v>
      </c>
      <c r="E993" s="35" t="s">
        <v>634</v>
      </c>
      <c r="F993" t="str">
        <f t="shared" si="115"/>
        <v>Vision – Employee</v>
      </c>
      <c r="G993" t="str">
        <f t="shared" si="116"/>
        <v>Pre-tax Section 125 (exempt from FIT/SIT/FICA)</v>
      </c>
      <c r="H993" t="str">
        <f t="shared" si="117"/>
        <v>Flat</v>
      </c>
      <c r="I993" s="40" t="str">
        <f t="shared" si="121"/>
        <v/>
      </c>
      <c r="J993" s="38">
        <f t="shared" si="118"/>
        <v>30</v>
      </c>
      <c r="K993" t="str">
        <f t="shared" si="119"/>
        <v>Per pay period</v>
      </c>
      <c r="L993" t="str">
        <f t="shared" si="120"/>
        <v>Every pay period (ongoing)</v>
      </c>
      <c r="M993" s="39">
        <f t="array" ref="M993">MAX(_xlfn.XLOOKUP($A993,TRIM(SUBSTITUTE('worker file'!$A$2:$A$406,_xlfn.UNICHAR(160)," ")),'worker file'!$M$2:$M$406,0),_xlfn.XLOOKUP($B993,TRIM('pay group &amp; schedule'!$A$2:$A$6),'pay group &amp; schedule'!$D$2:$D$6,0))</f>
        <v>46299</v>
      </c>
      <c r="N993" s="39" t="str">
        <f t="array" ref="N993">_xlfn.LET(_xlpm.t,_xlfn.XLOOKUP($A993,TRIM(SUBSTITUTE('worker file'!$A$2:$A$406,_xlfn.UNICHAR(160)," ")),'worker file'!$N$2:$N$406,""),IF(N(_xlpm.t)=0,"",_xlpm.t))</f>
        <v/>
      </c>
    </row>
    <row r="994" spans="1:14" x14ac:dyDescent="0.2">
      <c r="A994" s="35" t="s">
        <v>438</v>
      </c>
      <c r="B994" s="36" t="str">
        <f t="array" ref="B994">_xlfn.XLOOKUP($A994,TRIM(SUBSTITUTE('worker file'!$A$2:$A$406,_xlfn.UNICHAR(160)," ")),'worker file'!$L$2:$L$406,"Not found")</f>
        <v>US Semi-monthly</v>
      </c>
      <c r="C994" s="36" t="str">
        <f t="array" ref="C994">_xlfn.XLOOKUP($A994,TRIM(SUBSTITUTE('worker file'!$A$2:$A$406,_xlfn.UNICHAR(160)," ")),'worker file'!$D$2:$D$406,"Not found")</f>
        <v>CA</v>
      </c>
      <c r="D994" s="36" t="str">
        <f t="array" ref="D994">_xlfn.XLOOKUP($A994,TRIM(SUBSTITUTE('worker file'!$A$2:$A$406,_xlfn.UNICHAR(160)," ")),'worker file'!$Q$2:$Q$406,"Not found")</f>
        <v>Active</v>
      </c>
      <c r="E994" s="35" t="s">
        <v>618</v>
      </c>
      <c r="F994" t="str">
        <f t="shared" si="115"/>
        <v>401(k) Employee Deferral</v>
      </c>
      <c r="G994" t="str">
        <f t="shared" si="116"/>
        <v>Pre-tax (exempt from FIT/SIT; subject to FICA)</v>
      </c>
      <c r="H994" t="str">
        <f t="shared" si="117"/>
        <v>Percent</v>
      </c>
      <c r="I994" s="37">
        <v>7.0000000000000007E-2</v>
      </c>
      <c r="J994" s="38" t="str">
        <f t="shared" si="118"/>
        <v/>
      </c>
      <c r="K994" t="str">
        <f t="shared" si="119"/>
        <v>Gross pay</v>
      </c>
      <c r="L994" t="str">
        <f t="shared" si="120"/>
        <v>Every pay period (ongoing)</v>
      </c>
      <c r="M994" s="39">
        <f t="array" ref="M994">MAX(_xlfn.XLOOKUP($A994,TRIM(SUBSTITUTE('worker file'!$A$2:$A$406,_xlfn.UNICHAR(160)," ")),'worker file'!$M$2:$M$406,0),_xlfn.XLOOKUP($B994,TRIM('pay group &amp; schedule'!$A$2:$A$6),'pay group &amp; schedule'!$D$2:$D$6,0))</f>
        <v>46311</v>
      </c>
      <c r="N994" s="39" t="str">
        <f t="array" ref="N994">_xlfn.LET(_xlpm.t,_xlfn.XLOOKUP($A994,TRIM(SUBSTITUTE('worker file'!$A$2:$A$406,_xlfn.UNICHAR(160)," ")),'worker file'!$N$2:$N$406,""),IF(N(_xlpm.t)=0,"",_xlpm.t))</f>
        <v/>
      </c>
    </row>
    <row r="995" spans="1:14" x14ac:dyDescent="0.2">
      <c r="A995" s="35" t="s">
        <v>438</v>
      </c>
      <c r="B995" s="36" t="str">
        <f t="array" ref="B995">_xlfn.XLOOKUP($A995,TRIM(SUBSTITUTE('worker file'!$A$2:$A$406,_xlfn.UNICHAR(160)," ")),'worker file'!$L$2:$L$406,"Not found")</f>
        <v>US Semi-monthly</v>
      </c>
      <c r="C995" s="36" t="str">
        <f t="array" ref="C995">_xlfn.XLOOKUP($A995,TRIM(SUBSTITUTE('worker file'!$A$2:$A$406,_xlfn.UNICHAR(160)," ")),'worker file'!$D$2:$D$406,"Not found")</f>
        <v>CA</v>
      </c>
      <c r="D995" s="36" t="str">
        <f t="array" ref="D995">_xlfn.XLOOKUP($A995,TRIM(SUBSTITUTE('worker file'!$A$2:$A$406,_xlfn.UNICHAR(160)," ")),'worker file'!$Q$2:$Q$406,"Not found")</f>
        <v>Active</v>
      </c>
      <c r="E995" s="35" t="s">
        <v>626</v>
      </c>
      <c r="F995" t="str">
        <f t="shared" si="115"/>
        <v>Medical (Health) – Employee</v>
      </c>
      <c r="G995" t="str">
        <f t="shared" si="116"/>
        <v>Pre-tax Section 125 (exempt from FIT/SIT/FICA)</v>
      </c>
      <c r="H995" t="str">
        <f t="shared" si="117"/>
        <v>Flat</v>
      </c>
      <c r="I995" s="40" t="str">
        <f>IF($H995="Percent",_xlfn.XLOOKUP($E995,$A$5:$A$8,$F$5:$F$8,""),"")</f>
        <v/>
      </c>
      <c r="J995" s="38">
        <f t="shared" si="118"/>
        <v>200</v>
      </c>
      <c r="K995" t="str">
        <f t="shared" si="119"/>
        <v>Per pay period</v>
      </c>
      <c r="L995" t="str">
        <f t="shared" si="120"/>
        <v>Every pay period (ongoing)</v>
      </c>
      <c r="M995" s="39">
        <f t="array" ref="M995">MAX(_xlfn.XLOOKUP($A995,TRIM(SUBSTITUTE('worker file'!$A$2:$A$406,_xlfn.UNICHAR(160)," ")),'worker file'!$M$2:$M$406,0),_xlfn.XLOOKUP($B995,TRIM('pay group &amp; schedule'!$A$2:$A$6),'pay group &amp; schedule'!$D$2:$D$6,0))</f>
        <v>46311</v>
      </c>
      <c r="N995" s="39" t="str">
        <f t="array" ref="N995">_xlfn.LET(_xlpm.t,_xlfn.XLOOKUP($A995,TRIM(SUBSTITUTE('worker file'!$A$2:$A$406,_xlfn.UNICHAR(160)," ")),'worker file'!$N$2:$N$406,""),IF(N(_xlpm.t)=0,"",_xlpm.t))</f>
        <v/>
      </c>
    </row>
    <row r="996" spans="1:14" x14ac:dyDescent="0.2">
      <c r="A996" s="35" t="s">
        <v>438</v>
      </c>
      <c r="B996" s="36" t="str">
        <f t="array" ref="B996">_xlfn.XLOOKUP($A996,TRIM(SUBSTITUTE('worker file'!$A$2:$A$406,_xlfn.UNICHAR(160)," ")),'worker file'!$L$2:$L$406,"Not found")</f>
        <v>US Semi-monthly</v>
      </c>
      <c r="C996" s="36" t="str">
        <f t="array" ref="C996">_xlfn.XLOOKUP($A996,TRIM(SUBSTITUTE('worker file'!$A$2:$A$406,_xlfn.UNICHAR(160)," ")),'worker file'!$D$2:$D$406,"Not found")</f>
        <v>CA</v>
      </c>
      <c r="D996" s="36" t="str">
        <f t="array" ref="D996">_xlfn.XLOOKUP($A996,TRIM(SUBSTITUTE('worker file'!$A$2:$A$406,_xlfn.UNICHAR(160)," ")),'worker file'!$Q$2:$Q$406,"Not found")</f>
        <v>Active</v>
      </c>
      <c r="E996" s="35" t="s">
        <v>632</v>
      </c>
      <c r="F996" t="str">
        <f t="shared" si="115"/>
        <v>Dental – Employee</v>
      </c>
      <c r="G996" t="str">
        <f t="shared" si="116"/>
        <v>Pre-tax Section 125 (exempt from FIT/SIT/FICA)</v>
      </c>
      <c r="H996" t="str">
        <f t="shared" si="117"/>
        <v>Flat</v>
      </c>
      <c r="I996" s="40" t="str">
        <f>IF($H996="Percent",_xlfn.XLOOKUP($E996,$A$5:$A$8,$F$5:$F$8,""),"")</f>
        <v/>
      </c>
      <c r="J996" s="38">
        <f t="shared" si="118"/>
        <v>44</v>
      </c>
      <c r="K996" t="str">
        <f t="shared" si="119"/>
        <v>Per pay period</v>
      </c>
      <c r="L996" t="str">
        <f t="shared" si="120"/>
        <v>Every pay period (ongoing)</v>
      </c>
      <c r="M996" s="39">
        <f t="array" ref="M996">MAX(_xlfn.XLOOKUP($A996,TRIM(SUBSTITUTE('worker file'!$A$2:$A$406,_xlfn.UNICHAR(160)," ")),'worker file'!$M$2:$M$406,0),_xlfn.XLOOKUP($B996,TRIM('pay group &amp; schedule'!$A$2:$A$6),'pay group &amp; schedule'!$D$2:$D$6,0))</f>
        <v>46311</v>
      </c>
      <c r="N996" s="39" t="str">
        <f t="array" ref="N996">_xlfn.LET(_xlpm.t,_xlfn.XLOOKUP($A996,TRIM(SUBSTITUTE('worker file'!$A$2:$A$406,_xlfn.UNICHAR(160)," ")),'worker file'!$N$2:$N$406,""),IF(N(_xlpm.t)=0,"",_xlpm.t))</f>
        <v/>
      </c>
    </row>
    <row r="997" spans="1:14" x14ac:dyDescent="0.2">
      <c r="A997" s="35" t="s">
        <v>438</v>
      </c>
      <c r="B997" s="36" t="str">
        <f t="array" ref="B997">_xlfn.XLOOKUP($A997,TRIM(SUBSTITUTE('worker file'!$A$2:$A$406,_xlfn.UNICHAR(160)," ")),'worker file'!$L$2:$L$406,"Not found")</f>
        <v>US Semi-monthly</v>
      </c>
      <c r="C997" s="36" t="str">
        <f t="array" ref="C997">_xlfn.XLOOKUP($A997,TRIM(SUBSTITUTE('worker file'!$A$2:$A$406,_xlfn.UNICHAR(160)," ")),'worker file'!$D$2:$D$406,"Not found")</f>
        <v>CA</v>
      </c>
      <c r="D997" s="36" t="str">
        <f t="array" ref="D997">_xlfn.XLOOKUP($A997,TRIM(SUBSTITUTE('worker file'!$A$2:$A$406,_xlfn.UNICHAR(160)," ")),'worker file'!$Q$2:$Q$406,"Not found")</f>
        <v>Active</v>
      </c>
      <c r="E997" s="35" t="s">
        <v>634</v>
      </c>
      <c r="F997" t="str">
        <f t="shared" si="115"/>
        <v>Vision – Employee</v>
      </c>
      <c r="G997" t="str">
        <f t="shared" si="116"/>
        <v>Pre-tax Section 125 (exempt from FIT/SIT/FICA)</v>
      </c>
      <c r="H997" t="str">
        <f t="shared" si="117"/>
        <v>Flat</v>
      </c>
      <c r="I997" s="40" t="str">
        <f>IF($H997="Percent",_xlfn.XLOOKUP($E997,$A$5:$A$8,$F$5:$F$8,""),"")</f>
        <v/>
      </c>
      <c r="J997" s="38">
        <f t="shared" si="118"/>
        <v>30</v>
      </c>
      <c r="K997" t="str">
        <f t="shared" si="119"/>
        <v>Per pay period</v>
      </c>
      <c r="L997" t="str">
        <f t="shared" si="120"/>
        <v>Every pay period (ongoing)</v>
      </c>
      <c r="M997" s="39">
        <f t="array" ref="M997">MAX(_xlfn.XLOOKUP($A997,TRIM(SUBSTITUTE('worker file'!$A$2:$A$406,_xlfn.UNICHAR(160)," ")),'worker file'!$M$2:$M$406,0),_xlfn.XLOOKUP($B997,TRIM('pay group &amp; schedule'!$A$2:$A$6),'pay group &amp; schedule'!$D$2:$D$6,0))</f>
        <v>46311</v>
      </c>
      <c r="N997" s="39" t="str">
        <f t="array" ref="N997">_xlfn.LET(_xlpm.t,_xlfn.XLOOKUP($A997,TRIM(SUBSTITUTE('worker file'!$A$2:$A$406,_xlfn.UNICHAR(160)," ")),'worker file'!$N$2:$N$406,""),IF(N(_xlpm.t)=0,"",_xlpm.t))</f>
        <v/>
      </c>
    </row>
    <row r="998" spans="1:14" x14ac:dyDescent="0.2">
      <c r="A998" s="35" t="s">
        <v>440</v>
      </c>
      <c r="B998" s="36" t="str">
        <f t="array" ref="B998">_xlfn.XLOOKUP($A998,TRIM(SUBSTITUTE('worker file'!$A$2:$A$406,_xlfn.UNICHAR(160)," ")),'worker file'!$L$2:$L$406,"Not found")</f>
        <v>US Semi-monthly</v>
      </c>
      <c r="C998" s="36" t="str">
        <f t="array" ref="C998">_xlfn.XLOOKUP($A998,TRIM(SUBSTITUTE('worker file'!$A$2:$A$406,_xlfn.UNICHAR(160)," ")),'worker file'!$D$2:$D$406,"Not found")</f>
        <v>WA</v>
      </c>
      <c r="D998" s="36" t="str">
        <f t="array" ref="D998">_xlfn.XLOOKUP($A998,TRIM(SUBSTITUTE('worker file'!$A$2:$A$406,_xlfn.UNICHAR(160)," ")),'worker file'!$Q$2:$Q$406,"Not found")</f>
        <v>Active</v>
      </c>
      <c r="E998" s="35" t="s">
        <v>618</v>
      </c>
      <c r="F998" t="str">
        <f t="shared" si="115"/>
        <v>401(k) Employee Deferral</v>
      </c>
      <c r="G998" t="str">
        <f t="shared" si="116"/>
        <v>Pre-tax (exempt from FIT/SIT; subject to FICA)</v>
      </c>
      <c r="H998" t="str">
        <f t="shared" si="117"/>
        <v>Percent</v>
      </c>
      <c r="I998" s="37">
        <v>0.04</v>
      </c>
      <c r="J998" s="38" t="str">
        <f t="shared" si="118"/>
        <v/>
      </c>
      <c r="K998" t="str">
        <f t="shared" si="119"/>
        <v>Gross pay</v>
      </c>
      <c r="L998" t="str">
        <f t="shared" si="120"/>
        <v>Every pay period (ongoing)</v>
      </c>
      <c r="M998" s="39">
        <f t="array" ref="M998">MAX(_xlfn.XLOOKUP($A998,TRIM(SUBSTITUTE('worker file'!$A$2:$A$406,_xlfn.UNICHAR(160)," ")),'worker file'!$M$2:$M$406,0),_xlfn.XLOOKUP($B998,TRIM('pay group &amp; schedule'!$A$2:$A$6),'pay group &amp; schedule'!$D$2:$D$6,0))</f>
        <v>46311</v>
      </c>
      <c r="N998" s="39" t="str">
        <f t="array" ref="N998">_xlfn.LET(_xlpm.t,_xlfn.XLOOKUP($A998,TRIM(SUBSTITUTE('worker file'!$A$2:$A$406,_xlfn.UNICHAR(160)," ")),'worker file'!$N$2:$N$406,""),IF(N(_xlpm.t)=0,"",_xlpm.t))</f>
        <v/>
      </c>
    </row>
    <row r="999" spans="1:14" x14ac:dyDescent="0.2">
      <c r="A999" s="35" t="s">
        <v>440</v>
      </c>
      <c r="B999" s="36" t="str">
        <f t="array" ref="B999">_xlfn.XLOOKUP($A999,TRIM(SUBSTITUTE('worker file'!$A$2:$A$406,_xlfn.UNICHAR(160)," ")),'worker file'!$L$2:$L$406,"Not found")</f>
        <v>US Semi-monthly</v>
      </c>
      <c r="C999" s="36" t="str">
        <f t="array" ref="C999">_xlfn.XLOOKUP($A999,TRIM(SUBSTITUTE('worker file'!$A$2:$A$406,_xlfn.UNICHAR(160)," ")),'worker file'!$D$2:$D$406,"Not found")</f>
        <v>WA</v>
      </c>
      <c r="D999" s="36" t="str">
        <f t="array" ref="D999">_xlfn.XLOOKUP($A999,TRIM(SUBSTITUTE('worker file'!$A$2:$A$406,_xlfn.UNICHAR(160)," ")),'worker file'!$Q$2:$Q$406,"Not found")</f>
        <v>Active</v>
      </c>
      <c r="E999" s="35" t="s">
        <v>626</v>
      </c>
      <c r="F999" t="str">
        <f t="shared" si="115"/>
        <v>Medical (Health) – Employee</v>
      </c>
      <c r="G999" t="str">
        <f t="shared" si="116"/>
        <v>Pre-tax Section 125 (exempt from FIT/SIT/FICA)</v>
      </c>
      <c r="H999" t="str">
        <f t="shared" si="117"/>
        <v>Flat</v>
      </c>
      <c r="I999" s="40" t="str">
        <f>IF($H999="Percent",_xlfn.XLOOKUP($E999,$A$5:$A$8,$F$5:$F$8,""),"")</f>
        <v/>
      </c>
      <c r="J999" s="38">
        <f t="shared" si="118"/>
        <v>200</v>
      </c>
      <c r="K999" t="str">
        <f t="shared" si="119"/>
        <v>Per pay period</v>
      </c>
      <c r="L999" t="str">
        <f t="shared" si="120"/>
        <v>Every pay period (ongoing)</v>
      </c>
      <c r="M999" s="39">
        <f t="array" ref="M999">MAX(_xlfn.XLOOKUP($A999,TRIM(SUBSTITUTE('worker file'!$A$2:$A$406,_xlfn.UNICHAR(160)," ")),'worker file'!$M$2:$M$406,0),_xlfn.XLOOKUP($B999,TRIM('pay group &amp; schedule'!$A$2:$A$6),'pay group &amp; schedule'!$D$2:$D$6,0))</f>
        <v>46311</v>
      </c>
      <c r="N999" s="39" t="str">
        <f t="array" ref="N999">_xlfn.LET(_xlpm.t,_xlfn.XLOOKUP($A999,TRIM(SUBSTITUTE('worker file'!$A$2:$A$406,_xlfn.UNICHAR(160)," ")),'worker file'!$N$2:$N$406,""),IF(N(_xlpm.t)=0,"",_xlpm.t))</f>
        <v/>
      </c>
    </row>
    <row r="1000" spans="1:14" x14ac:dyDescent="0.2">
      <c r="A1000" s="35" t="s">
        <v>440</v>
      </c>
      <c r="B1000" s="36" t="str">
        <f t="array" ref="B1000">_xlfn.XLOOKUP($A1000,TRIM(SUBSTITUTE('worker file'!$A$2:$A$406,_xlfn.UNICHAR(160)," ")),'worker file'!$L$2:$L$406,"Not found")</f>
        <v>US Semi-monthly</v>
      </c>
      <c r="C1000" s="36" t="str">
        <f t="array" ref="C1000">_xlfn.XLOOKUP($A1000,TRIM(SUBSTITUTE('worker file'!$A$2:$A$406,_xlfn.UNICHAR(160)," ")),'worker file'!$D$2:$D$406,"Not found")</f>
        <v>WA</v>
      </c>
      <c r="D1000" s="36" t="str">
        <f t="array" ref="D1000">_xlfn.XLOOKUP($A1000,TRIM(SUBSTITUTE('worker file'!$A$2:$A$406,_xlfn.UNICHAR(160)," ")),'worker file'!$Q$2:$Q$406,"Not found")</f>
        <v>Active</v>
      </c>
      <c r="E1000" s="35" t="s">
        <v>632</v>
      </c>
      <c r="F1000" t="str">
        <f t="shared" si="115"/>
        <v>Dental – Employee</v>
      </c>
      <c r="G1000" t="str">
        <f t="shared" si="116"/>
        <v>Pre-tax Section 125 (exempt from FIT/SIT/FICA)</v>
      </c>
      <c r="H1000" t="str">
        <f t="shared" si="117"/>
        <v>Flat</v>
      </c>
      <c r="I1000" s="40" t="str">
        <f>IF($H1000="Percent",_xlfn.XLOOKUP($E1000,$A$5:$A$8,$F$5:$F$8,""),"")</f>
        <v/>
      </c>
      <c r="J1000" s="38">
        <f t="shared" si="118"/>
        <v>44</v>
      </c>
      <c r="K1000" t="str">
        <f t="shared" si="119"/>
        <v>Per pay period</v>
      </c>
      <c r="L1000" t="str">
        <f t="shared" si="120"/>
        <v>Every pay period (ongoing)</v>
      </c>
      <c r="M1000" s="39">
        <f t="array" ref="M1000">MAX(_xlfn.XLOOKUP($A1000,TRIM(SUBSTITUTE('worker file'!$A$2:$A$406,_xlfn.UNICHAR(160)," ")),'worker file'!$M$2:$M$406,0),_xlfn.XLOOKUP($B1000,TRIM('pay group &amp; schedule'!$A$2:$A$6),'pay group &amp; schedule'!$D$2:$D$6,0))</f>
        <v>46311</v>
      </c>
      <c r="N1000" s="39" t="str">
        <f t="array" ref="N1000">_xlfn.LET(_xlpm.t,_xlfn.XLOOKUP($A1000,TRIM(SUBSTITUTE('worker file'!$A$2:$A$406,_xlfn.UNICHAR(160)," ")),'worker file'!$N$2:$N$406,""),IF(N(_xlpm.t)=0,"",_xlpm.t))</f>
        <v/>
      </c>
    </row>
    <row r="1001" spans="1:14" x14ac:dyDescent="0.2">
      <c r="A1001" s="35" t="s">
        <v>440</v>
      </c>
      <c r="B1001" s="36" t="str">
        <f t="array" ref="B1001">_xlfn.XLOOKUP($A1001,TRIM(SUBSTITUTE('worker file'!$A$2:$A$406,_xlfn.UNICHAR(160)," ")),'worker file'!$L$2:$L$406,"Not found")</f>
        <v>US Semi-monthly</v>
      </c>
      <c r="C1001" s="36" t="str">
        <f t="array" ref="C1001">_xlfn.XLOOKUP($A1001,TRIM(SUBSTITUTE('worker file'!$A$2:$A$406,_xlfn.UNICHAR(160)," ")),'worker file'!$D$2:$D$406,"Not found")</f>
        <v>WA</v>
      </c>
      <c r="D1001" s="36" t="str">
        <f t="array" ref="D1001">_xlfn.XLOOKUP($A1001,TRIM(SUBSTITUTE('worker file'!$A$2:$A$406,_xlfn.UNICHAR(160)," ")),'worker file'!$Q$2:$Q$406,"Not found")</f>
        <v>Active</v>
      </c>
      <c r="E1001" s="35" t="s">
        <v>634</v>
      </c>
      <c r="F1001" t="str">
        <f t="shared" si="115"/>
        <v>Vision – Employee</v>
      </c>
      <c r="G1001" t="str">
        <f t="shared" si="116"/>
        <v>Pre-tax Section 125 (exempt from FIT/SIT/FICA)</v>
      </c>
      <c r="H1001" t="str">
        <f t="shared" si="117"/>
        <v>Flat</v>
      </c>
      <c r="I1001" s="40" t="str">
        <f>IF($H1001="Percent",_xlfn.XLOOKUP($E1001,$A$5:$A$8,$F$5:$F$8,""),"")</f>
        <v/>
      </c>
      <c r="J1001" s="38">
        <f t="shared" si="118"/>
        <v>30</v>
      </c>
      <c r="K1001" t="str">
        <f t="shared" si="119"/>
        <v>Per pay period</v>
      </c>
      <c r="L1001" t="str">
        <f t="shared" si="120"/>
        <v>Every pay period (ongoing)</v>
      </c>
      <c r="M1001" s="39">
        <f t="array" ref="M1001">MAX(_xlfn.XLOOKUP($A1001,TRIM(SUBSTITUTE('worker file'!$A$2:$A$406,_xlfn.UNICHAR(160)," ")),'worker file'!$M$2:$M$406,0),_xlfn.XLOOKUP($B1001,TRIM('pay group &amp; schedule'!$A$2:$A$6),'pay group &amp; schedule'!$D$2:$D$6,0))</f>
        <v>46311</v>
      </c>
      <c r="N1001" s="39" t="str">
        <f t="array" ref="N1001">_xlfn.LET(_xlpm.t,_xlfn.XLOOKUP($A1001,TRIM(SUBSTITUTE('worker file'!$A$2:$A$406,_xlfn.UNICHAR(160)," ")),'worker file'!$N$2:$N$406,""),IF(N(_xlpm.t)=0,"",_xlpm.t))</f>
        <v/>
      </c>
    </row>
    <row r="1002" spans="1:14" x14ac:dyDescent="0.2">
      <c r="A1002" s="35" t="s">
        <v>441</v>
      </c>
      <c r="B1002" s="36" t="str">
        <f t="array" ref="B1002">_xlfn.XLOOKUP($A1002,TRIM(SUBSTITUTE('worker file'!$A$2:$A$406,_xlfn.UNICHAR(160)," ")),'worker file'!$L$2:$L$406,"Not found")</f>
        <v>US Semi-monthly</v>
      </c>
      <c r="C1002" s="36" t="str">
        <f t="array" ref="C1002">_xlfn.XLOOKUP($A1002,TRIM(SUBSTITUTE('worker file'!$A$2:$A$406,_xlfn.UNICHAR(160)," ")),'worker file'!$D$2:$D$406,"Not found")</f>
        <v>WA</v>
      </c>
      <c r="D1002" s="36" t="str">
        <f t="array" ref="D1002">_xlfn.XLOOKUP($A1002,TRIM(SUBSTITUTE('worker file'!$A$2:$A$406,_xlfn.UNICHAR(160)," ")),'worker file'!$Q$2:$Q$406,"Not found")</f>
        <v>Active</v>
      </c>
      <c r="E1002" s="35" t="s">
        <v>618</v>
      </c>
      <c r="F1002" t="str">
        <f t="shared" si="115"/>
        <v>401(k) Employee Deferral</v>
      </c>
      <c r="G1002" t="str">
        <f t="shared" si="116"/>
        <v>Pre-tax (exempt from FIT/SIT; subject to FICA)</v>
      </c>
      <c r="H1002" t="str">
        <f t="shared" si="117"/>
        <v>Percent</v>
      </c>
      <c r="I1002" s="37">
        <v>0.01</v>
      </c>
      <c r="J1002" s="38" t="str">
        <f t="shared" si="118"/>
        <v/>
      </c>
      <c r="K1002" t="str">
        <f t="shared" si="119"/>
        <v>Gross pay</v>
      </c>
      <c r="L1002" t="str">
        <f t="shared" si="120"/>
        <v>Every pay period (ongoing)</v>
      </c>
      <c r="M1002" s="39">
        <f t="array" ref="M1002">MAX(_xlfn.XLOOKUP($A1002,TRIM(SUBSTITUTE('worker file'!$A$2:$A$406,_xlfn.UNICHAR(160)," ")),'worker file'!$M$2:$M$406,0),_xlfn.XLOOKUP($B1002,TRIM('pay group &amp; schedule'!$A$2:$A$6),'pay group &amp; schedule'!$D$2:$D$6,0))</f>
        <v>46311</v>
      </c>
      <c r="N1002" s="39" t="str">
        <f t="array" ref="N1002">_xlfn.LET(_xlpm.t,_xlfn.XLOOKUP($A1002,TRIM(SUBSTITUTE('worker file'!$A$2:$A$406,_xlfn.UNICHAR(160)," ")),'worker file'!$N$2:$N$406,""),IF(N(_xlpm.t)=0,"",_xlpm.t))</f>
        <v/>
      </c>
    </row>
    <row r="1003" spans="1:14" x14ac:dyDescent="0.2">
      <c r="A1003" s="35" t="s">
        <v>441</v>
      </c>
      <c r="B1003" s="36" t="str">
        <f t="array" ref="B1003">_xlfn.XLOOKUP($A1003,TRIM(SUBSTITUTE('worker file'!$A$2:$A$406,_xlfn.UNICHAR(160)," ")),'worker file'!$L$2:$L$406,"Not found")</f>
        <v>US Semi-monthly</v>
      </c>
      <c r="C1003" s="36" t="str">
        <f t="array" ref="C1003">_xlfn.XLOOKUP($A1003,TRIM(SUBSTITUTE('worker file'!$A$2:$A$406,_xlfn.UNICHAR(160)," ")),'worker file'!$D$2:$D$406,"Not found")</f>
        <v>WA</v>
      </c>
      <c r="D1003" s="36" t="str">
        <f t="array" ref="D1003">_xlfn.XLOOKUP($A1003,TRIM(SUBSTITUTE('worker file'!$A$2:$A$406,_xlfn.UNICHAR(160)," ")),'worker file'!$Q$2:$Q$406,"Not found")</f>
        <v>Active</v>
      </c>
      <c r="E1003" s="35" t="s">
        <v>626</v>
      </c>
      <c r="F1003" t="str">
        <f t="shared" si="115"/>
        <v>Medical (Health) – Employee</v>
      </c>
      <c r="G1003" t="str">
        <f t="shared" si="116"/>
        <v>Pre-tax Section 125 (exempt from FIT/SIT/FICA)</v>
      </c>
      <c r="H1003" t="str">
        <f t="shared" si="117"/>
        <v>Flat</v>
      </c>
      <c r="I1003" s="40" t="str">
        <f>IF($H1003="Percent",_xlfn.XLOOKUP($E1003,$A$5:$A$8,$F$5:$F$8,""),"")</f>
        <v/>
      </c>
      <c r="J1003" s="38">
        <f t="shared" si="118"/>
        <v>200</v>
      </c>
      <c r="K1003" t="str">
        <f t="shared" si="119"/>
        <v>Per pay period</v>
      </c>
      <c r="L1003" t="str">
        <f t="shared" si="120"/>
        <v>Every pay period (ongoing)</v>
      </c>
      <c r="M1003" s="39">
        <f t="array" ref="M1003">MAX(_xlfn.XLOOKUP($A1003,TRIM(SUBSTITUTE('worker file'!$A$2:$A$406,_xlfn.UNICHAR(160)," ")),'worker file'!$M$2:$M$406,0),_xlfn.XLOOKUP($B1003,TRIM('pay group &amp; schedule'!$A$2:$A$6),'pay group &amp; schedule'!$D$2:$D$6,0))</f>
        <v>46311</v>
      </c>
      <c r="N1003" s="39" t="str">
        <f t="array" ref="N1003">_xlfn.LET(_xlpm.t,_xlfn.XLOOKUP($A1003,TRIM(SUBSTITUTE('worker file'!$A$2:$A$406,_xlfn.UNICHAR(160)," ")),'worker file'!$N$2:$N$406,""),IF(N(_xlpm.t)=0,"",_xlpm.t))</f>
        <v/>
      </c>
    </row>
    <row r="1004" spans="1:14" x14ac:dyDescent="0.2">
      <c r="A1004" s="35" t="s">
        <v>441</v>
      </c>
      <c r="B1004" s="36" t="str">
        <f t="array" ref="B1004">_xlfn.XLOOKUP($A1004,TRIM(SUBSTITUTE('worker file'!$A$2:$A$406,_xlfn.UNICHAR(160)," ")),'worker file'!$L$2:$L$406,"Not found")</f>
        <v>US Semi-monthly</v>
      </c>
      <c r="C1004" s="36" t="str">
        <f t="array" ref="C1004">_xlfn.XLOOKUP($A1004,TRIM(SUBSTITUTE('worker file'!$A$2:$A$406,_xlfn.UNICHAR(160)," ")),'worker file'!$D$2:$D$406,"Not found")</f>
        <v>WA</v>
      </c>
      <c r="D1004" s="36" t="str">
        <f t="array" ref="D1004">_xlfn.XLOOKUP($A1004,TRIM(SUBSTITUTE('worker file'!$A$2:$A$406,_xlfn.UNICHAR(160)," ")),'worker file'!$Q$2:$Q$406,"Not found")</f>
        <v>Active</v>
      </c>
      <c r="E1004" s="35" t="s">
        <v>632</v>
      </c>
      <c r="F1004" t="str">
        <f t="shared" si="115"/>
        <v>Dental – Employee</v>
      </c>
      <c r="G1004" t="str">
        <f t="shared" si="116"/>
        <v>Pre-tax Section 125 (exempt from FIT/SIT/FICA)</v>
      </c>
      <c r="H1004" t="str">
        <f t="shared" si="117"/>
        <v>Flat</v>
      </c>
      <c r="I1004" s="40" t="str">
        <f>IF($H1004="Percent",_xlfn.XLOOKUP($E1004,$A$5:$A$8,$F$5:$F$8,""),"")</f>
        <v/>
      </c>
      <c r="J1004" s="38">
        <f t="shared" si="118"/>
        <v>44</v>
      </c>
      <c r="K1004" t="str">
        <f t="shared" si="119"/>
        <v>Per pay period</v>
      </c>
      <c r="L1004" t="str">
        <f t="shared" si="120"/>
        <v>Every pay period (ongoing)</v>
      </c>
      <c r="M1004" s="39">
        <f t="array" ref="M1004">MAX(_xlfn.XLOOKUP($A1004,TRIM(SUBSTITUTE('worker file'!$A$2:$A$406,_xlfn.UNICHAR(160)," ")),'worker file'!$M$2:$M$406,0),_xlfn.XLOOKUP($B1004,TRIM('pay group &amp; schedule'!$A$2:$A$6),'pay group &amp; schedule'!$D$2:$D$6,0))</f>
        <v>46311</v>
      </c>
      <c r="N1004" s="39" t="str">
        <f t="array" ref="N1004">_xlfn.LET(_xlpm.t,_xlfn.XLOOKUP($A1004,TRIM(SUBSTITUTE('worker file'!$A$2:$A$406,_xlfn.UNICHAR(160)," ")),'worker file'!$N$2:$N$406,""),IF(N(_xlpm.t)=0,"",_xlpm.t))</f>
        <v/>
      </c>
    </row>
    <row r="1005" spans="1:14" x14ac:dyDescent="0.2">
      <c r="A1005" s="35" t="s">
        <v>441</v>
      </c>
      <c r="B1005" s="36" t="str">
        <f t="array" ref="B1005">_xlfn.XLOOKUP($A1005,TRIM(SUBSTITUTE('worker file'!$A$2:$A$406,_xlfn.UNICHAR(160)," ")),'worker file'!$L$2:$L$406,"Not found")</f>
        <v>US Semi-monthly</v>
      </c>
      <c r="C1005" s="36" t="str">
        <f t="array" ref="C1005">_xlfn.XLOOKUP($A1005,TRIM(SUBSTITUTE('worker file'!$A$2:$A$406,_xlfn.UNICHAR(160)," ")),'worker file'!$D$2:$D$406,"Not found")</f>
        <v>WA</v>
      </c>
      <c r="D1005" s="36" t="str">
        <f t="array" ref="D1005">_xlfn.XLOOKUP($A1005,TRIM(SUBSTITUTE('worker file'!$A$2:$A$406,_xlfn.UNICHAR(160)," ")),'worker file'!$Q$2:$Q$406,"Not found")</f>
        <v>Active</v>
      </c>
      <c r="E1005" s="35" t="s">
        <v>634</v>
      </c>
      <c r="F1005" t="str">
        <f t="shared" si="115"/>
        <v>Vision – Employee</v>
      </c>
      <c r="G1005" t="str">
        <f t="shared" si="116"/>
        <v>Pre-tax Section 125 (exempt from FIT/SIT/FICA)</v>
      </c>
      <c r="H1005" t="str">
        <f t="shared" si="117"/>
        <v>Flat</v>
      </c>
      <c r="I1005" s="40" t="str">
        <f>IF($H1005="Percent",_xlfn.XLOOKUP($E1005,$A$5:$A$8,$F$5:$F$8,""),"")</f>
        <v/>
      </c>
      <c r="J1005" s="38">
        <f t="shared" si="118"/>
        <v>30</v>
      </c>
      <c r="K1005" t="str">
        <f t="shared" si="119"/>
        <v>Per pay period</v>
      </c>
      <c r="L1005" t="str">
        <f t="shared" si="120"/>
        <v>Every pay period (ongoing)</v>
      </c>
      <c r="M1005" s="39">
        <f t="array" ref="M1005">MAX(_xlfn.XLOOKUP($A1005,TRIM(SUBSTITUTE('worker file'!$A$2:$A$406,_xlfn.UNICHAR(160)," ")),'worker file'!$M$2:$M$406,0),_xlfn.XLOOKUP($B1005,TRIM('pay group &amp; schedule'!$A$2:$A$6),'pay group &amp; schedule'!$D$2:$D$6,0))</f>
        <v>46311</v>
      </c>
      <c r="N1005" s="39" t="str">
        <f t="array" ref="N1005">_xlfn.LET(_xlpm.t,_xlfn.XLOOKUP($A1005,TRIM(SUBSTITUTE('worker file'!$A$2:$A$406,_xlfn.UNICHAR(160)," ")),'worker file'!$N$2:$N$406,""),IF(N(_xlpm.t)=0,"",_xlpm.t))</f>
        <v/>
      </c>
    </row>
    <row r="1006" spans="1:14" x14ac:dyDescent="0.2">
      <c r="A1006" s="35" t="s">
        <v>442</v>
      </c>
      <c r="B1006" s="36" t="str">
        <f t="array" ref="B1006">_xlfn.XLOOKUP($A1006,TRIM(SUBSTITUTE('worker file'!$A$2:$A$406,_xlfn.UNICHAR(160)," ")),'worker file'!$L$2:$L$406,"Not found")</f>
        <v>US Semi-monthly</v>
      </c>
      <c r="C1006" s="36" t="str">
        <f t="array" ref="C1006">_xlfn.XLOOKUP($A1006,TRIM(SUBSTITUTE('worker file'!$A$2:$A$406,_xlfn.UNICHAR(160)," ")),'worker file'!$D$2:$D$406,"Not found")</f>
        <v>CA</v>
      </c>
      <c r="D1006" s="36" t="str">
        <f t="array" ref="D1006">_xlfn.XLOOKUP($A1006,TRIM(SUBSTITUTE('worker file'!$A$2:$A$406,_xlfn.UNICHAR(160)," ")),'worker file'!$Q$2:$Q$406,"Not found")</f>
        <v>Active</v>
      </c>
      <c r="E1006" s="35" t="s">
        <v>618</v>
      </c>
      <c r="F1006" t="str">
        <f t="shared" si="115"/>
        <v>401(k) Employee Deferral</v>
      </c>
      <c r="G1006" t="str">
        <f t="shared" si="116"/>
        <v>Pre-tax (exempt from FIT/SIT; subject to FICA)</v>
      </c>
      <c r="H1006" t="str">
        <f t="shared" si="117"/>
        <v>Percent</v>
      </c>
      <c r="I1006" s="37">
        <v>0.06</v>
      </c>
      <c r="J1006" s="38" t="str">
        <f t="shared" si="118"/>
        <v/>
      </c>
      <c r="K1006" t="str">
        <f t="shared" si="119"/>
        <v>Gross pay</v>
      </c>
      <c r="L1006" t="str">
        <f t="shared" si="120"/>
        <v>Every pay period (ongoing)</v>
      </c>
      <c r="M1006" s="39">
        <f t="array" ref="M1006">MAX(_xlfn.XLOOKUP($A1006,TRIM(SUBSTITUTE('worker file'!$A$2:$A$406,_xlfn.UNICHAR(160)," ")),'worker file'!$M$2:$M$406,0),_xlfn.XLOOKUP($B1006,TRIM('pay group &amp; schedule'!$A$2:$A$6),'pay group &amp; schedule'!$D$2:$D$6,0))</f>
        <v>46311</v>
      </c>
      <c r="N1006" s="39" t="str">
        <f t="array" ref="N1006">_xlfn.LET(_xlpm.t,_xlfn.XLOOKUP($A1006,TRIM(SUBSTITUTE('worker file'!$A$2:$A$406,_xlfn.UNICHAR(160)," ")),'worker file'!$N$2:$N$406,""),IF(N(_xlpm.t)=0,"",_xlpm.t))</f>
        <v/>
      </c>
    </row>
    <row r="1007" spans="1:14" x14ac:dyDescent="0.2">
      <c r="A1007" s="35" t="s">
        <v>442</v>
      </c>
      <c r="B1007" s="36" t="str">
        <f t="array" ref="B1007">_xlfn.XLOOKUP($A1007,TRIM(SUBSTITUTE('worker file'!$A$2:$A$406,_xlfn.UNICHAR(160)," ")),'worker file'!$L$2:$L$406,"Not found")</f>
        <v>US Semi-monthly</v>
      </c>
      <c r="C1007" s="36" t="str">
        <f t="array" ref="C1007">_xlfn.XLOOKUP($A1007,TRIM(SUBSTITUTE('worker file'!$A$2:$A$406,_xlfn.UNICHAR(160)," ")),'worker file'!$D$2:$D$406,"Not found")</f>
        <v>CA</v>
      </c>
      <c r="D1007" s="36" t="str">
        <f t="array" ref="D1007">_xlfn.XLOOKUP($A1007,TRIM(SUBSTITUTE('worker file'!$A$2:$A$406,_xlfn.UNICHAR(160)," ")),'worker file'!$Q$2:$Q$406,"Not found")</f>
        <v>Active</v>
      </c>
      <c r="E1007" s="35" t="s">
        <v>626</v>
      </c>
      <c r="F1007" t="str">
        <f t="shared" si="115"/>
        <v>Medical (Health) – Employee</v>
      </c>
      <c r="G1007" t="str">
        <f t="shared" si="116"/>
        <v>Pre-tax Section 125 (exempt from FIT/SIT/FICA)</v>
      </c>
      <c r="H1007" t="str">
        <f t="shared" si="117"/>
        <v>Flat</v>
      </c>
      <c r="I1007" s="40" t="str">
        <f>IF($H1007="Percent",_xlfn.XLOOKUP($E1007,$A$5:$A$8,$F$5:$F$8,""),"")</f>
        <v/>
      </c>
      <c r="J1007" s="38">
        <f t="shared" si="118"/>
        <v>200</v>
      </c>
      <c r="K1007" t="str">
        <f t="shared" si="119"/>
        <v>Per pay period</v>
      </c>
      <c r="L1007" t="str">
        <f t="shared" si="120"/>
        <v>Every pay period (ongoing)</v>
      </c>
      <c r="M1007" s="39">
        <f t="array" ref="M1007">MAX(_xlfn.XLOOKUP($A1007,TRIM(SUBSTITUTE('worker file'!$A$2:$A$406,_xlfn.UNICHAR(160)," ")),'worker file'!$M$2:$M$406,0),_xlfn.XLOOKUP($B1007,TRIM('pay group &amp; schedule'!$A$2:$A$6),'pay group &amp; schedule'!$D$2:$D$6,0))</f>
        <v>46311</v>
      </c>
      <c r="N1007" s="39" t="str">
        <f t="array" ref="N1007">_xlfn.LET(_xlpm.t,_xlfn.XLOOKUP($A1007,TRIM(SUBSTITUTE('worker file'!$A$2:$A$406,_xlfn.UNICHAR(160)," ")),'worker file'!$N$2:$N$406,""),IF(N(_xlpm.t)=0,"",_xlpm.t))</f>
        <v/>
      </c>
    </row>
    <row r="1008" spans="1:14" x14ac:dyDescent="0.2">
      <c r="A1008" s="35" t="s">
        <v>442</v>
      </c>
      <c r="B1008" s="36" t="str">
        <f t="array" ref="B1008">_xlfn.XLOOKUP($A1008,TRIM(SUBSTITUTE('worker file'!$A$2:$A$406,_xlfn.UNICHAR(160)," ")),'worker file'!$L$2:$L$406,"Not found")</f>
        <v>US Semi-monthly</v>
      </c>
      <c r="C1008" s="36" t="str">
        <f t="array" ref="C1008">_xlfn.XLOOKUP($A1008,TRIM(SUBSTITUTE('worker file'!$A$2:$A$406,_xlfn.UNICHAR(160)," ")),'worker file'!$D$2:$D$406,"Not found")</f>
        <v>CA</v>
      </c>
      <c r="D1008" s="36" t="str">
        <f t="array" ref="D1008">_xlfn.XLOOKUP($A1008,TRIM(SUBSTITUTE('worker file'!$A$2:$A$406,_xlfn.UNICHAR(160)," ")),'worker file'!$Q$2:$Q$406,"Not found")</f>
        <v>Active</v>
      </c>
      <c r="E1008" s="35" t="s">
        <v>632</v>
      </c>
      <c r="F1008" t="str">
        <f t="shared" si="115"/>
        <v>Dental – Employee</v>
      </c>
      <c r="G1008" t="str">
        <f t="shared" si="116"/>
        <v>Pre-tax Section 125 (exempt from FIT/SIT/FICA)</v>
      </c>
      <c r="H1008" t="str">
        <f t="shared" si="117"/>
        <v>Flat</v>
      </c>
      <c r="I1008" s="40" t="str">
        <f>IF($H1008="Percent",_xlfn.XLOOKUP($E1008,$A$5:$A$8,$F$5:$F$8,""),"")</f>
        <v/>
      </c>
      <c r="J1008" s="38">
        <f t="shared" si="118"/>
        <v>44</v>
      </c>
      <c r="K1008" t="str">
        <f t="shared" si="119"/>
        <v>Per pay period</v>
      </c>
      <c r="L1008" t="str">
        <f t="shared" si="120"/>
        <v>Every pay period (ongoing)</v>
      </c>
      <c r="M1008" s="39">
        <f t="array" ref="M1008">MAX(_xlfn.XLOOKUP($A1008,TRIM(SUBSTITUTE('worker file'!$A$2:$A$406,_xlfn.UNICHAR(160)," ")),'worker file'!$M$2:$M$406,0),_xlfn.XLOOKUP($B1008,TRIM('pay group &amp; schedule'!$A$2:$A$6),'pay group &amp; schedule'!$D$2:$D$6,0))</f>
        <v>46311</v>
      </c>
      <c r="N1008" s="39" t="str">
        <f t="array" ref="N1008">_xlfn.LET(_xlpm.t,_xlfn.XLOOKUP($A1008,TRIM(SUBSTITUTE('worker file'!$A$2:$A$406,_xlfn.UNICHAR(160)," ")),'worker file'!$N$2:$N$406,""),IF(N(_xlpm.t)=0,"",_xlpm.t))</f>
        <v/>
      </c>
    </row>
    <row r="1009" spans="1:14" x14ac:dyDescent="0.2">
      <c r="A1009" s="35" t="s">
        <v>442</v>
      </c>
      <c r="B1009" s="36" t="str">
        <f t="array" ref="B1009">_xlfn.XLOOKUP($A1009,TRIM(SUBSTITUTE('worker file'!$A$2:$A$406,_xlfn.UNICHAR(160)," ")),'worker file'!$L$2:$L$406,"Not found")</f>
        <v>US Semi-monthly</v>
      </c>
      <c r="C1009" s="36" t="str">
        <f t="array" ref="C1009">_xlfn.XLOOKUP($A1009,TRIM(SUBSTITUTE('worker file'!$A$2:$A$406,_xlfn.UNICHAR(160)," ")),'worker file'!$D$2:$D$406,"Not found")</f>
        <v>CA</v>
      </c>
      <c r="D1009" s="36" t="str">
        <f t="array" ref="D1009">_xlfn.XLOOKUP($A1009,TRIM(SUBSTITUTE('worker file'!$A$2:$A$406,_xlfn.UNICHAR(160)," ")),'worker file'!$Q$2:$Q$406,"Not found")</f>
        <v>Active</v>
      </c>
      <c r="E1009" s="35" t="s">
        <v>634</v>
      </c>
      <c r="F1009" t="str">
        <f t="shared" si="115"/>
        <v>Vision – Employee</v>
      </c>
      <c r="G1009" t="str">
        <f t="shared" si="116"/>
        <v>Pre-tax Section 125 (exempt from FIT/SIT/FICA)</v>
      </c>
      <c r="H1009" t="str">
        <f t="shared" si="117"/>
        <v>Flat</v>
      </c>
      <c r="I1009" s="40" t="str">
        <f>IF($H1009="Percent",_xlfn.XLOOKUP($E1009,$A$5:$A$8,$F$5:$F$8,""),"")</f>
        <v/>
      </c>
      <c r="J1009" s="38">
        <f t="shared" si="118"/>
        <v>30</v>
      </c>
      <c r="K1009" t="str">
        <f t="shared" si="119"/>
        <v>Per pay period</v>
      </c>
      <c r="L1009" t="str">
        <f t="shared" si="120"/>
        <v>Every pay period (ongoing)</v>
      </c>
      <c r="M1009" s="39">
        <f t="array" ref="M1009">MAX(_xlfn.XLOOKUP($A1009,TRIM(SUBSTITUTE('worker file'!$A$2:$A$406,_xlfn.UNICHAR(160)," ")),'worker file'!$M$2:$M$406,0),_xlfn.XLOOKUP($B1009,TRIM('pay group &amp; schedule'!$A$2:$A$6),'pay group &amp; schedule'!$D$2:$D$6,0))</f>
        <v>46311</v>
      </c>
      <c r="N1009" s="39" t="str">
        <f t="array" ref="N1009">_xlfn.LET(_xlpm.t,_xlfn.XLOOKUP($A1009,TRIM(SUBSTITUTE('worker file'!$A$2:$A$406,_xlfn.UNICHAR(160)," ")),'worker file'!$N$2:$N$406,""),IF(N(_xlpm.t)=0,"",_xlpm.t))</f>
        <v/>
      </c>
    </row>
    <row r="1010" spans="1:14" x14ac:dyDescent="0.2">
      <c r="A1010" s="35" t="s">
        <v>443</v>
      </c>
      <c r="B1010" s="36" t="str">
        <f t="array" ref="B1010">_xlfn.XLOOKUP($A1010,TRIM(SUBSTITUTE('worker file'!$A$2:$A$406,_xlfn.UNICHAR(160)," ")),'worker file'!$L$2:$L$406,"Not found")</f>
        <v>US Semi-monthly</v>
      </c>
      <c r="C1010" s="36" t="str">
        <f t="array" ref="C1010">_xlfn.XLOOKUP($A1010,TRIM(SUBSTITUTE('worker file'!$A$2:$A$406,_xlfn.UNICHAR(160)," ")),'worker file'!$D$2:$D$406,"Not found")</f>
        <v>WA</v>
      </c>
      <c r="D1010" s="36" t="str">
        <f t="array" ref="D1010">_xlfn.XLOOKUP($A1010,TRIM(SUBSTITUTE('worker file'!$A$2:$A$406,_xlfn.UNICHAR(160)," ")),'worker file'!$Q$2:$Q$406,"Not found")</f>
        <v>Active</v>
      </c>
      <c r="E1010" s="35" t="s">
        <v>618</v>
      </c>
      <c r="F1010" t="str">
        <f t="shared" si="115"/>
        <v>401(k) Employee Deferral</v>
      </c>
      <c r="G1010" t="str">
        <f t="shared" si="116"/>
        <v>Pre-tax (exempt from FIT/SIT; subject to FICA)</v>
      </c>
      <c r="H1010" t="str">
        <f t="shared" si="117"/>
        <v>Percent</v>
      </c>
      <c r="I1010" s="37">
        <v>0.03</v>
      </c>
      <c r="J1010" s="38" t="str">
        <f t="shared" si="118"/>
        <v/>
      </c>
      <c r="K1010" t="str">
        <f t="shared" si="119"/>
        <v>Gross pay</v>
      </c>
      <c r="L1010" t="str">
        <f t="shared" si="120"/>
        <v>Every pay period (ongoing)</v>
      </c>
      <c r="M1010" s="39">
        <f t="array" ref="M1010">MAX(_xlfn.XLOOKUP($A1010,TRIM(SUBSTITUTE('worker file'!$A$2:$A$406,_xlfn.UNICHAR(160)," ")),'worker file'!$M$2:$M$406,0),_xlfn.XLOOKUP($B1010,TRIM('pay group &amp; schedule'!$A$2:$A$6),'pay group &amp; schedule'!$D$2:$D$6,0))</f>
        <v>46311</v>
      </c>
      <c r="N1010" s="39" t="str">
        <f t="array" ref="N1010">_xlfn.LET(_xlpm.t,_xlfn.XLOOKUP($A1010,TRIM(SUBSTITUTE('worker file'!$A$2:$A$406,_xlfn.UNICHAR(160)," ")),'worker file'!$N$2:$N$406,""),IF(N(_xlpm.t)=0,"",_xlpm.t))</f>
        <v/>
      </c>
    </row>
    <row r="1011" spans="1:14" x14ac:dyDescent="0.2">
      <c r="A1011" s="35" t="s">
        <v>443</v>
      </c>
      <c r="B1011" s="36" t="str">
        <f t="array" ref="B1011">_xlfn.XLOOKUP($A1011,TRIM(SUBSTITUTE('worker file'!$A$2:$A$406,_xlfn.UNICHAR(160)," ")),'worker file'!$L$2:$L$406,"Not found")</f>
        <v>US Semi-monthly</v>
      </c>
      <c r="C1011" s="36" t="str">
        <f t="array" ref="C1011">_xlfn.XLOOKUP($A1011,TRIM(SUBSTITUTE('worker file'!$A$2:$A$406,_xlfn.UNICHAR(160)," ")),'worker file'!$D$2:$D$406,"Not found")</f>
        <v>WA</v>
      </c>
      <c r="D1011" s="36" t="str">
        <f t="array" ref="D1011">_xlfn.XLOOKUP($A1011,TRIM(SUBSTITUTE('worker file'!$A$2:$A$406,_xlfn.UNICHAR(160)," ")),'worker file'!$Q$2:$Q$406,"Not found")</f>
        <v>Active</v>
      </c>
      <c r="E1011" s="35" t="s">
        <v>626</v>
      </c>
      <c r="F1011" t="str">
        <f t="shared" si="115"/>
        <v>Medical (Health) – Employee</v>
      </c>
      <c r="G1011" t="str">
        <f t="shared" si="116"/>
        <v>Pre-tax Section 125 (exempt from FIT/SIT/FICA)</v>
      </c>
      <c r="H1011" t="str">
        <f t="shared" si="117"/>
        <v>Flat</v>
      </c>
      <c r="I1011" s="40" t="str">
        <f>IF($H1011="Percent",_xlfn.XLOOKUP($E1011,$A$5:$A$8,$F$5:$F$8,""),"")</f>
        <v/>
      </c>
      <c r="J1011" s="38">
        <f t="shared" si="118"/>
        <v>200</v>
      </c>
      <c r="K1011" t="str">
        <f t="shared" si="119"/>
        <v>Per pay period</v>
      </c>
      <c r="L1011" t="str">
        <f t="shared" si="120"/>
        <v>Every pay period (ongoing)</v>
      </c>
      <c r="M1011" s="39">
        <f t="array" ref="M1011">MAX(_xlfn.XLOOKUP($A1011,TRIM(SUBSTITUTE('worker file'!$A$2:$A$406,_xlfn.UNICHAR(160)," ")),'worker file'!$M$2:$M$406,0),_xlfn.XLOOKUP($B1011,TRIM('pay group &amp; schedule'!$A$2:$A$6),'pay group &amp; schedule'!$D$2:$D$6,0))</f>
        <v>46311</v>
      </c>
      <c r="N1011" s="39" t="str">
        <f t="array" ref="N1011">_xlfn.LET(_xlpm.t,_xlfn.XLOOKUP($A1011,TRIM(SUBSTITUTE('worker file'!$A$2:$A$406,_xlfn.UNICHAR(160)," ")),'worker file'!$N$2:$N$406,""),IF(N(_xlpm.t)=0,"",_xlpm.t))</f>
        <v/>
      </c>
    </row>
    <row r="1012" spans="1:14" x14ac:dyDescent="0.2">
      <c r="A1012" s="35" t="s">
        <v>443</v>
      </c>
      <c r="B1012" s="36" t="str">
        <f t="array" ref="B1012">_xlfn.XLOOKUP($A1012,TRIM(SUBSTITUTE('worker file'!$A$2:$A$406,_xlfn.UNICHAR(160)," ")),'worker file'!$L$2:$L$406,"Not found")</f>
        <v>US Semi-monthly</v>
      </c>
      <c r="C1012" s="36" t="str">
        <f t="array" ref="C1012">_xlfn.XLOOKUP($A1012,TRIM(SUBSTITUTE('worker file'!$A$2:$A$406,_xlfn.UNICHAR(160)," ")),'worker file'!$D$2:$D$406,"Not found")</f>
        <v>WA</v>
      </c>
      <c r="D1012" s="36" t="str">
        <f t="array" ref="D1012">_xlfn.XLOOKUP($A1012,TRIM(SUBSTITUTE('worker file'!$A$2:$A$406,_xlfn.UNICHAR(160)," ")),'worker file'!$Q$2:$Q$406,"Not found")</f>
        <v>Active</v>
      </c>
      <c r="E1012" s="35" t="s">
        <v>632</v>
      </c>
      <c r="F1012" t="str">
        <f t="shared" si="115"/>
        <v>Dental – Employee</v>
      </c>
      <c r="G1012" t="str">
        <f t="shared" si="116"/>
        <v>Pre-tax Section 125 (exempt from FIT/SIT/FICA)</v>
      </c>
      <c r="H1012" t="str">
        <f t="shared" si="117"/>
        <v>Flat</v>
      </c>
      <c r="I1012" s="40" t="str">
        <f>IF($H1012="Percent",_xlfn.XLOOKUP($E1012,$A$5:$A$8,$F$5:$F$8,""),"")</f>
        <v/>
      </c>
      <c r="J1012" s="38">
        <f t="shared" si="118"/>
        <v>44</v>
      </c>
      <c r="K1012" t="str">
        <f t="shared" si="119"/>
        <v>Per pay period</v>
      </c>
      <c r="L1012" t="str">
        <f t="shared" si="120"/>
        <v>Every pay period (ongoing)</v>
      </c>
      <c r="M1012" s="39">
        <f t="array" ref="M1012">MAX(_xlfn.XLOOKUP($A1012,TRIM(SUBSTITUTE('worker file'!$A$2:$A$406,_xlfn.UNICHAR(160)," ")),'worker file'!$M$2:$M$406,0),_xlfn.XLOOKUP($B1012,TRIM('pay group &amp; schedule'!$A$2:$A$6),'pay group &amp; schedule'!$D$2:$D$6,0))</f>
        <v>46311</v>
      </c>
      <c r="N1012" s="39" t="str">
        <f t="array" ref="N1012">_xlfn.LET(_xlpm.t,_xlfn.XLOOKUP($A1012,TRIM(SUBSTITUTE('worker file'!$A$2:$A$406,_xlfn.UNICHAR(160)," ")),'worker file'!$N$2:$N$406,""),IF(N(_xlpm.t)=0,"",_xlpm.t))</f>
        <v/>
      </c>
    </row>
    <row r="1013" spans="1:14" x14ac:dyDescent="0.2">
      <c r="A1013" s="35" t="s">
        <v>443</v>
      </c>
      <c r="B1013" s="36" t="str">
        <f t="array" ref="B1013">_xlfn.XLOOKUP($A1013,TRIM(SUBSTITUTE('worker file'!$A$2:$A$406,_xlfn.UNICHAR(160)," ")),'worker file'!$L$2:$L$406,"Not found")</f>
        <v>US Semi-monthly</v>
      </c>
      <c r="C1013" s="36" t="str">
        <f t="array" ref="C1013">_xlfn.XLOOKUP($A1013,TRIM(SUBSTITUTE('worker file'!$A$2:$A$406,_xlfn.UNICHAR(160)," ")),'worker file'!$D$2:$D$406,"Not found")</f>
        <v>WA</v>
      </c>
      <c r="D1013" s="36" t="str">
        <f t="array" ref="D1013">_xlfn.XLOOKUP($A1013,TRIM(SUBSTITUTE('worker file'!$A$2:$A$406,_xlfn.UNICHAR(160)," ")),'worker file'!$Q$2:$Q$406,"Not found")</f>
        <v>Active</v>
      </c>
      <c r="E1013" s="35" t="s">
        <v>634</v>
      </c>
      <c r="F1013" t="str">
        <f t="shared" si="115"/>
        <v>Vision – Employee</v>
      </c>
      <c r="G1013" t="str">
        <f t="shared" si="116"/>
        <v>Pre-tax Section 125 (exempt from FIT/SIT/FICA)</v>
      </c>
      <c r="H1013" t="str">
        <f t="shared" si="117"/>
        <v>Flat</v>
      </c>
      <c r="I1013" s="40" t="str">
        <f>IF($H1013="Percent",_xlfn.XLOOKUP($E1013,$A$5:$A$8,$F$5:$F$8,""),"")</f>
        <v/>
      </c>
      <c r="J1013" s="38">
        <f t="shared" si="118"/>
        <v>30</v>
      </c>
      <c r="K1013" t="str">
        <f t="shared" si="119"/>
        <v>Per pay period</v>
      </c>
      <c r="L1013" t="str">
        <f t="shared" si="120"/>
        <v>Every pay period (ongoing)</v>
      </c>
      <c r="M1013" s="39">
        <f t="array" ref="M1013">MAX(_xlfn.XLOOKUP($A1013,TRIM(SUBSTITUTE('worker file'!$A$2:$A$406,_xlfn.UNICHAR(160)," ")),'worker file'!$M$2:$M$406,0),_xlfn.XLOOKUP($B1013,TRIM('pay group &amp; schedule'!$A$2:$A$6),'pay group &amp; schedule'!$D$2:$D$6,0))</f>
        <v>46311</v>
      </c>
      <c r="N1013" s="39" t="str">
        <f t="array" ref="N1013">_xlfn.LET(_xlpm.t,_xlfn.XLOOKUP($A1013,TRIM(SUBSTITUTE('worker file'!$A$2:$A$406,_xlfn.UNICHAR(160)," ")),'worker file'!$N$2:$N$406,""),IF(N(_xlpm.t)=0,"",_xlpm.t))</f>
        <v/>
      </c>
    </row>
    <row r="1014" spans="1:14" x14ac:dyDescent="0.2">
      <c r="A1014" s="35" t="s">
        <v>444</v>
      </c>
      <c r="B1014" s="36" t="str">
        <f t="array" ref="B1014">_xlfn.XLOOKUP($A1014,TRIM(SUBSTITUTE('worker file'!$A$2:$A$406,_xlfn.UNICHAR(160)," ")),'worker file'!$L$2:$L$406,"Not found")</f>
        <v>US Semi-monthly</v>
      </c>
      <c r="C1014" s="36" t="str">
        <f t="array" ref="C1014">_xlfn.XLOOKUP($A1014,TRIM(SUBSTITUTE('worker file'!$A$2:$A$406,_xlfn.UNICHAR(160)," ")),'worker file'!$D$2:$D$406,"Not found")</f>
        <v>CA</v>
      </c>
      <c r="D1014" s="36" t="str">
        <f t="array" ref="D1014">_xlfn.XLOOKUP($A1014,TRIM(SUBSTITUTE('worker file'!$A$2:$A$406,_xlfn.UNICHAR(160)," ")),'worker file'!$Q$2:$Q$406,"Not found")</f>
        <v>Active</v>
      </c>
      <c r="E1014" s="35" t="s">
        <v>618</v>
      </c>
      <c r="F1014" t="str">
        <f t="shared" si="115"/>
        <v>401(k) Employee Deferral</v>
      </c>
      <c r="G1014" t="str">
        <f t="shared" si="116"/>
        <v>Pre-tax (exempt from FIT/SIT; subject to FICA)</v>
      </c>
      <c r="H1014" t="str">
        <f t="shared" si="117"/>
        <v>Percent</v>
      </c>
      <c r="I1014" s="37">
        <v>0</v>
      </c>
      <c r="J1014" s="38" t="str">
        <f t="shared" si="118"/>
        <v/>
      </c>
      <c r="K1014" t="str">
        <f t="shared" si="119"/>
        <v>Gross pay</v>
      </c>
      <c r="L1014" t="str">
        <f t="shared" si="120"/>
        <v>Every pay period (ongoing)</v>
      </c>
      <c r="M1014" s="39">
        <f t="array" ref="M1014">MAX(_xlfn.XLOOKUP($A1014,TRIM(SUBSTITUTE('worker file'!$A$2:$A$406,_xlfn.UNICHAR(160)," ")),'worker file'!$M$2:$M$406,0),_xlfn.XLOOKUP($B1014,TRIM('pay group &amp; schedule'!$A$2:$A$6),'pay group &amp; schedule'!$D$2:$D$6,0))</f>
        <v>46311</v>
      </c>
      <c r="N1014" s="39" t="str">
        <f t="array" ref="N1014">_xlfn.LET(_xlpm.t,_xlfn.XLOOKUP($A1014,TRIM(SUBSTITUTE('worker file'!$A$2:$A$406,_xlfn.UNICHAR(160)," ")),'worker file'!$N$2:$N$406,""),IF(N(_xlpm.t)=0,"",_xlpm.t))</f>
        <v/>
      </c>
    </row>
    <row r="1015" spans="1:14" x14ac:dyDescent="0.2">
      <c r="A1015" s="35" t="s">
        <v>444</v>
      </c>
      <c r="B1015" s="36" t="str">
        <f t="array" ref="B1015">_xlfn.XLOOKUP($A1015,TRIM(SUBSTITUTE('worker file'!$A$2:$A$406,_xlfn.UNICHAR(160)," ")),'worker file'!$L$2:$L$406,"Not found")</f>
        <v>US Semi-monthly</v>
      </c>
      <c r="C1015" s="36" t="str">
        <f t="array" ref="C1015">_xlfn.XLOOKUP($A1015,TRIM(SUBSTITUTE('worker file'!$A$2:$A$406,_xlfn.UNICHAR(160)," ")),'worker file'!$D$2:$D$406,"Not found")</f>
        <v>CA</v>
      </c>
      <c r="D1015" s="36" t="str">
        <f t="array" ref="D1015">_xlfn.XLOOKUP($A1015,TRIM(SUBSTITUTE('worker file'!$A$2:$A$406,_xlfn.UNICHAR(160)," ")),'worker file'!$Q$2:$Q$406,"Not found")</f>
        <v>Active</v>
      </c>
      <c r="E1015" s="35" t="s">
        <v>626</v>
      </c>
      <c r="F1015" t="str">
        <f t="shared" si="115"/>
        <v>Medical (Health) – Employee</v>
      </c>
      <c r="G1015" t="str">
        <f t="shared" si="116"/>
        <v>Pre-tax Section 125 (exempt from FIT/SIT/FICA)</v>
      </c>
      <c r="H1015" t="str">
        <f t="shared" si="117"/>
        <v>Flat</v>
      </c>
      <c r="I1015" s="40" t="str">
        <f>IF($H1015="Percent",_xlfn.XLOOKUP($E1015,$A$5:$A$8,$F$5:$F$8,""),"")</f>
        <v/>
      </c>
      <c r="J1015" s="38">
        <f t="shared" si="118"/>
        <v>200</v>
      </c>
      <c r="K1015" t="str">
        <f t="shared" si="119"/>
        <v>Per pay period</v>
      </c>
      <c r="L1015" t="str">
        <f t="shared" si="120"/>
        <v>Every pay period (ongoing)</v>
      </c>
      <c r="M1015" s="39">
        <f t="array" ref="M1015">MAX(_xlfn.XLOOKUP($A1015,TRIM(SUBSTITUTE('worker file'!$A$2:$A$406,_xlfn.UNICHAR(160)," ")),'worker file'!$M$2:$M$406,0),_xlfn.XLOOKUP($B1015,TRIM('pay group &amp; schedule'!$A$2:$A$6),'pay group &amp; schedule'!$D$2:$D$6,0))</f>
        <v>46311</v>
      </c>
      <c r="N1015" s="39" t="str">
        <f t="array" ref="N1015">_xlfn.LET(_xlpm.t,_xlfn.XLOOKUP($A1015,TRIM(SUBSTITUTE('worker file'!$A$2:$A$406,_xlfn.UNICHAR(160)," ")),'worker file'!$N$2:$N$406,""),IF(N(_xlpm.t)=0,"",_xlpm.t))</f>
        <v/>
      </c>
    </row>
    <row r="1016" spans="1:14" x14ac:dyDescent="0.2">
      <c r="A1016" s="35" t="s">
        <v>444</v>
      </c>
      <c r="B1016" s="36" t="str">
        <f t="array" ref="B1016">_xlfn.XLOOKUP($A1016,TRIM(SUBSTITUTE('worker file'!$A$2:$A$406,_xlfn.UNICHAR(160)," ")),'worker file'!$L$2:$L$406,"Not found")</f>
        <v>US Semi-monthly</v>
      </c>
      <c r="C1016" s="36" t="str">
        <f t="array" ref="C1016">_xlfn.XLOOKUP($A1016,TRIM(SUBSTITUTE('worker file'!$A$2:$A$406,_xlfn.UNICHAR(160)," ")),'worker file'!$D$2:$D$406,"Not found")</f>
        <v>CA</v>
      </c>
      <c r="D1016" s="36" t="str">
        <f t="array" ref="D1016">_xlfn.XLOOKUP($A1016,TRIM(SUBSTITUTE('worker file'!$A$2:$A$406,_xlfn.UNICHAR(160)," ")),'worker file'!$Q$2:$Q$406,"Not found")</f>
        <v>Active</v>
      </c>
      <c r="E1016" s="35" t="s">
        <v>632</v>
      </c>
      <c r="F1016" t="str">
        <f t="shared" si="115"/>
        <v>Dental – Employee</v>
      </c>
      <c r="G1016" t="str">
        <f t="shared" si="116"/>
        <v>Pre-tax Section 125 (exempt from FIT/SIT/FICA)</v>
      </c>
      <c r="H1016" t="str">
        <f t="shared" si="117"/>
        <v>Flat</v>
      </c>
      <c r="I1016" s="40" t="str">
        <f>IF($H1016="Percent",_xlfn.XLOOKUP($E1016,$A$5:$A$8,$F$5:$F$8,""),"")</f>
        <v/>
      </c>
      <c r="J1016" s="38">
        <f t="shared" si="118"/>
        <v>44</v>
      </c>
      <c r="K1016" t="str">
        <f t="shared" si="119"/>
        <v>Per pay period</v>
      </c>
      <c r="L1016" t="str">
        <f t="shared" si="120"/>
        <v>Every pay period (ongoing)</v>
      </c>
      <c r="M1016" s="39">
        <f t="array" ref="M1016">MAX(_xlfn.XLOOKUP($A1016,TRIM(SUBSTITUTE('worker file'!$A$2:$A$406,_xlfn.UNICHAR(160)," ")),'worker file'!$M$2:$M$406,0),_xlfn.XLOOKUP($B1016,TRIM('pay group &amp; schedule'!$A$2:$A$6),'pay group &amp; schedule'!$D$2:$D$6,0))</f>
        <v>46311</v>
      </c>
      <c r="N1016" s="39" t="str">
        <f t="array" ref="N1016">_xlfn.LET(_xlpm.t,_xlfn.XLOOKUP($A1016,TRIM(SUBSTITUTE('worker file'!$A$2:$A$406,_xlfn.UNICHAR(160)," ")),'worker file'!$N$2:$N$406,""),IF(N(_xlpm.t)=0,"",_xlpm.t))</f>
        <v/>
      </c>
    </row>
    <row r="1017" spans="1:14" x14ac:dyDescent="0.2">
      <c r="A1017" s="35" t="s">
        <v>444</v>
      </c>
      <c r="B1017" s="36" t="str">
        <f t="array" ref="B1017">_xlfn.XLOOKUP($A1017,TRIM(SUBSTITUTE('worker file'!$A$2:$A$406,_xlfn.UNICHAR(160)," ")),'worker file'!$L$2:$L$406,"Not found")</f>
        <v>US Semi-monthly</v>
      </c>
      <c r="C1017" s="36" t="str">
        <f t="array" ref="C1017">_xlfn.XLOOKUP($A1017,TRIM(SUBSTITUTE('worker file'!$A$2:$A$406,_xlfn.UNICHAR(160)," ")),'worker file'!$D$2:$D$406,"Not found")</f>
        <v>CA</v>
      </c>
      <c r="D1017" s="36" t="str">
        <f t="array" ref="D1017">_xlfn.XLOOKUP($A1017,TRIM(SUBSTITUTE('worker file'!$A$2:$A$406,_xlfn.UNICHAR(160)," ")),'worker file'!$Q$2:$Q$406,"Not found")</f>
        <v>Active</v>
      </c>
      <c r="E1017" s="35" t="s">
        <v>634</v>
      </c>
      <c r="F1017" t="str">
        <f t="shared" si="115"/>
        <v>Vision – Employee</v>
      </c>
      <c r="G1017" t="str">
        <f t="shared" si="116"/>
        <v>Pre-tax Section 125 (exempt from FIT/SIT/FICA)</v>
      </c>
      <c r="H1017" t="str">
        <f t="shared" si="117"/>
        <v>Flat</v>
      </c>
      <c r="I1017" s="40" t="str">
        <f>IF($H1017="Percent",_xlfn.XLOOKUP($E1017,$A$5:$A$8,$F$5:$F$8,""),"")</f>
        <v/>
      </c>
      <c r="J1017" s="38">
        <f t="shared" si="118"/>
        <v>30</v>
      </c>
      <c r="K1017" t="str">
        <f t="shared" si="119"/>
        <v>Per pay period</v>
      </c>
      <c r="L1017" t="str">
        <f t="shared" si="120"/>
        <v>Every pay period (ongoing)</v>
      </c>
      <c r="M1017" s="39">
        <f t="array" ref="M1017">MAX(_xlfn.XLOOKUP($A1017,TRIM(SUBSTITUTE('worker file'!$A$2:$A$406,_xlfn.UNICHAR(160)," ")),'worker file'!$M$2:$M$406,0),_xlfn.XLOOKUP($B1017,TRIM('pay group &amp; schedule'!$A$2:$A$6),'pay group &amp; schedule'!$D$2:$D$6,0))</f>
        <v>46311</v>
      </c>
      <c r="N1017" s="39" t="str">
        <f t="array" ref="N1017">_xlfn.LET(_xlpm.t,_xlfn.XLOOKUP($A1017,TRIM(SUBSTITUTE('worker file'!$A$2:$A$406,_xlfn.UNICHAR(160)," ")),'worker file'!$N$2:$N$406,""),IF(N(_xlpm.t)=0,"",_xlpm.t))</f>
        <v/>
      </c>
    </row>
    <row r="1018" spans="1:14" x14ac:dyDescent="0.2">
      <c r="A1018" s="35" t="s">
        <v>445</v>
      </c>
      <c r="B1018" s="36" t="str">
        <f t="array" ref="B1018">_xlfn.XLOOKUP($A1018,TRIM(SUBSTITUTE('worker file'!$A$2:$A$406,_xlfn.UNICHAR(160)," ")),'worker file'!$L$2:$L$406,"Not found")</f>
        <v>US Semi-monthly</v>
      </c>
      <c r="C1018" s="36" t="str">
        <f t="array" ref="C1018">_xlfn.XLOOKUP($A1018,TRIM(SUBSTITUTE('worker file'!$A$2:$A$406,_xlfn.UNICHAR(160)," ")),'worker file'!$D$2:$D$406,"Not found")</f>
        <v>CA</v>
      </c>
      <c r="D1018" s="36" t="str">
        <f t="array" ref="D1018">_xlfn.XLOOKUP($A1018,TRIM(SUBSTITUTE('worker file'!$A$2:$A$406,_xlfn.UNICHAR(160)," ")),'worker file'!$Q$2:$Q$406,"Not found")</f>
        <v>Active</v>
      </c>
      <c r="E1018" s="35" t="s">
        <v>618</v>
      </c>
      <c r="F1018" t="str">
        <f t="shared" si="115"/>
        <v>401(k) Employee Deferral</v>
      </c>
      <c r="G1018" t="str">
        <f t="shared" si="116"/>
        <v>Pre-tax (exempt from FIT/SIT; subject to FICA)</v>
      </c>
      <c r="H1018" t="str">
        <f t="shared" si="117"/>
        <v>Percent</v>
      </c>
      <c r="I1018" s="37">
        <v>0.05</v>
      </c>
      <c r="J1018" s="38" t="str">
        <f t="shared" si="118"/>
        <v/>
      </c>
      <c r="K1018" t="str">
        <f t="shared" si="119"/>
        <v>Gross pay</v>
      </c>
      <c r="L1018" t="str">
        <f t="shared" si="120"/>
        <v>Every pay period (ongoing)</v>
      </c>
      <c r="M1018" s="39">
        <f t="array" ref="M1018">MAX(_xlfn.XLOOKUP($A1018,TRIM(SUBSTITUTE('worker file'!$A$2:$A$406,_xlfn.UNICHAR(160)," ")),'worker file'!$M$2:$M$406,0),_xlfn.XLOOKUP($B1018,TRIM('pay group &amp; schedule'!$A$2:$A$6),'pay group &amp; schedule'!$D$2:$D$6,0))</f>
        <v>46311</v>
      </c>
      <c r="N1018" s="39" t="str">
        <f t="array" ref="N1018">_xlfn.LET(_xlpm.t,_xlfn.XLOOKUP($A1018,TRIM(SUBSTITUTE('worker file'!$A$2:$A$406,_xlfn.UNICHAR(160)," ")),'worker file'!$N$2:$N$406,""),IF(N(_xlpm.t)=0,"",_xlpm.t))</f>
        <v/>
      </c>
    </row>
    <row r="1019" spans="1:14" x14ac:dyDescent="0.2">
      <c r="A1019" s="35" t="s">
        <v>445</v>
      </c>
      <c r="B1019" s="36" t="str">
        <f t="array" ref="B1019">_xlfn.XLOOKUP($A1019,TRIM(SUBSTITUTE('worker file'!$A$2:$A$406,_xlfn.UNICHAR(160)," ")),'worker file'!$L$2:$L$406,"Not found")</f>
        <v>US Semi-monthly</v>
      </c>
      <c r="C1019" s="36" t="str">
        <f t="array" ref="C1019">_xlfn.XLOOKUP($A1019,TRIM(SUBSTITUTE('worker file'!$A$2:$A$406,_xlfn.UNICHAR(160)," ")),'worker file'!$D$2:$D$406,"Not found")</f>
        <v>CA</v>
      </c>
      <c r="D1019" s="36" t="str">
        <f t="array" ref="D1019">_xlfn.XLOOKUP($A1019,TRIM(SUBSTITUTE('worker file'!$A$2:$A$406,_xlfn.UNICHAR(160)," ")),'worker file'!$Q$2:$Q$406,"Not found")</f>
        <v>Active</v>
      </c>
      <c r="E1019" s="35" t="s">
        <v>626</v>
      </c>
      <c r="F1019" t="str">
        <f t="shared" si="115"/>
        <v>Medical (Health) – Employee</v>
      </c>
      <c r="G1019" t="str">
        <f t="shared" si="116"/>
        <v>Pre-tax Section 125 (exempt from FIT/SIT/FICA)</v>
      </c>
      <c r="H1019" t="str">
        <f t="shared" si="117"/>
        <v>Flat</v>
      </c>
      <c r="I1019" s="40" t="str">
        <f>IF($H1019="Percent",_xlfn.XLOOKUP($E1019,$A$5:$A$8,$F$5:$F$8,""),"")</f>
        <v/>
      </c>
      <c r="J1019" s="38">
        <f t="shared" si="118"/>
        <v>200</v>
      </c>
      <c r="K1019" t="str">
        <f t="shared" si="119"/>
        <v>Per pay period</v>
      </c>
      <c r="L1019" t="str">
        <f t="shared" si="120"/>
        <v>Every pay period (ongoing)</v>
      </c>
      <c r="M1019" s="39">
        <f t="array" ref="M1019">MAX(_xlfn.XLOOKUP($A1019,TRIM(SUBSTITUTE('worker file'!$A$2:$A$406,_xlfn.UNICHAR(160)," ")),'worker file'!$M$2:$M$406,0),_xlfn.XLOOKUP($B1019,TRIM('pay group &amp; schedule'!$A$2:$A$6),'pay group &amp; schedule'!$D$2:$D$6,0))</f>
        <v>46311</v>
      </c>
      <c r="N1019" s="39" t="str">
        <f t="array" ref="N1019">_xlfn.LET(_xlpm.t,_xlfn.XLOOKUP($A1019,TRIM(SUBSTITUTE('worker file'!$A$2:$A$406,_xlfn.UNICHAR(160)," ")),'worker file'!$N$2:$N$406,""),IF(N(_xlpm.t)=0,"",_xlpm.t))</f>
        <v/>
      </c>
    </row>
    <row r="1020" spans="1:14" x14ac:dyDescent="0.2">
      <c r="A1020" s="35" t="s">
        <v>445</v>
      </c>
      <c r="B1020" s="36" t="str">
        <f t="array" ref="B1020">_xlfn.XLOOKUP($A1020,TRIM(SUBSTITUTE('worker file'!$A$2:$A$406,_xlfn.UNICHAR(160)," ")),'worker file'!$L$2:$L$406,"Not found")</f>
        <v>US Semi-monthly</v>
      </c>
      <c r="C1020" s="36" t="str">
        <f t="array" ref="C1020">_xlfn.XLOOKUP($A1020,TRIM(SUBSTITUTE('worker file'!$A$2:$A$406,_xlfn.UNICHAR(160)," ")),'worker file'!$D$2:$D$406,"Not found")</f>
        <v>CA</v>
      </c>
      <c r="D1020" s="36" t="str">
        <f t="array" ref="D1020">_xlfn.XLOOKUP($A1020,TRIM(SUBSTITUTE('worker file'!$A$2:$A$406,_xlfn.UNICHAR(160)," ")),'worker file'!$Q$2:$Q$406,"Not found")</f>
        <v>Active</v>
      </c>
      <c r="E1020" s="35" t="s">
        <v>632</v>
      </c>
      <c r="F1020" t="str">
        <f t="shared" si="115"/>
        <v>Dental – Employee</v>
      </c>
      <c r="G1020" t="str">
        <f t="shared" si="116"/>
        <v>Pre-tax Section 125 (exempt from FIT/SIT/FICA)</v>
      </c>
      <c r="H1020" t="str">
        <f t="shared" si="117"/>
        <v>Flat</v>
      </c>
      <c r="I1020" s="40" t="str">
        <f>IF($H1020="Percent",_xlfn.XLOOKUP($E1020,$A$5:$A$8,$F$5:$F$8,""),"")</f>
        <v/>
      </c>
      <c r="J1020" s="38">
        <f t="shared" si="118"/>
        <v>44</v>
      </c>
      <c r="K1020" t="str">
        <f t="shared" si="119"/>
        <v>Per pay period</v>
      </c>
      <c r="L1020" t="str">
        <f t="shared" si="120"/>
        <v>Every pay period (ongoing)</v>
      </c>
      <c r="M1020" s="39">
        <f t="array" ref="M1020">MAX(_xlfn.XLOOKUP($A1020,TRIM(SUBSTITUTE('worker file'!$A$2:$A$406,_xlfn.UNICHAR(160)," ")),'worker file'!$M$2:$M$406,0),_xlfn.XLOOKUP($B1020,TRIM('pay group &amp; schedule'!$A$2:$A$6),'pay group &amp; schedule'!$D$2:$D$6,0))</f>
        <v>46311</v>
      </c>
      <c r="N1020" s="39" t="str">
        <f t="array" ref="N1020">_xlfn.LET(_xlpm.t,_xlfn.XLOOKUP($A1020,TRIM(SUBSTITUTE('worker file'!$A$2:$A$406,_xlfn.UNICHAR(160)," ")),'worker file'!$N$2:$N$406,""),IF(N(_xlpm.t)=0,"",_xlpm.t))</f>
        <v/>
      </c>
    </row>
    <row r="1021" spans="1:14" x14ac:dyDescent="0.2">
      <c r="A1021" s="35" t="s">
        <v>445</v>
      </c>
      <c r="B1021" s="36" t="str">
        <f t="array" ref="B1021">_xlfn.XLOOKUP($A1021,TRIM(SUBSTITUTE('worker file'!$A$2:$A$406,_xlfn.UNICHAR(160)," ")),'worker file'!$L$2:$L$406,"Not found")</f>
        <v>US Semi-monthly</v>
      </c>
      <c r="C1021" s="36" t="str">
        <f t="array" ref="C1021">_xlfn.XLOOKUP($A1021,TRIM(SUBSTITUTE('worker file'!$A$2:$A$406,_xlfn.UNICHAR(160)," ")),'worker file'!$D$2:$D$406,"Not found")</f>
        <v>CA</v>
      </c>
      <c r="D1021" s="36" t="str">
        <f t="array" ref="D1021">_xlfn.XLOOKUP($A1021,TRIM(SUBSTITUTE('worker file'!$A$2:$A$406,_xlfn.UNICHAR(160)," ")),'worker file'!$Q$2:$Q$406,"Not found")</f>
        <v>Active</v>
      </c>
      <c r="E1021" s="35" t="s">
        <v>634</v>
      </c>
      <c r="F1021" t="str">
        <f t="shared" si="115"/>
        <v>Vision – Employee</v>
      </c>
      <c r="G1021" t="str">
        <f t="shared" si="116"/>
        <v>Pre-tax Section 125 (exempt from FIT/SIT/FICA)</v>
      </c>
      <c r="H1021" t="str">
        <f t="shared" si="117"/>
        <v>Flat</v>
      </c>
      <c r="I1021" s="40" t="str">
        <f>IF($H1021="Percent",_xlfn.XLOOKUP($E1021,$A$5:$A$8,$F$5:$F$8,""),"")</f>
        <v/>
      </c>
      <c r="J1021" s="38">
        <f t="shared" si="118"/>
        <v>30</v>
      </c>
      <c r="K1021" t="str">
        <f t="shared" si="119"/>
        <v>Per pay period</v>
      </c>
      <c r="L1021" t="str">
        <f t="shared" si="120"/>
        <v>Every pay period (ongoing)</v>
      </c>
      <c r="M1021" s="39">
        <f t="array" ref="M1021">MAX(_xlfn.XLOOKUP($A1021,TRIM(SUBSTITUTE('worker file'!$A$2:$A$406,_xlfn.UNICHAR(160)," ")),'worker file'!$M$2:$M$406,0),_xlfn.XLOOKUP($B1021,TRIM('pay group &amp; schedule'!$A$2:$A$6),'pay group &amp; schedule'!$D$2:$D$6,0))</f>
        <v>46311</v>
      </c>
      <c r="N1021" s="39" t="str">
        <f t="array" ref="N1021">_xlfn.LET(_xlpm.t,_xlfn.XLOOKUP($A1021,TRIM(SUBSTITUTE('worker file'!$A$2:$A$406,_xlfn.UNICHAR(160)," ")),'worker file'!$N$2:$N$406,""),IF(N(_xlpm.t)=0,"",_xlpm.t))</f>
        <v/>
      </c>
    </row>
    <row r="1022" spans="1:14" x14ac:dyDescent="0.2">
      <c r="A1022" s="35" t="s">
        <v>446</v>
      </c>
      <c r="B1022" s="36" t="str">
        <f t="array" ref="B1022">_xlfn.XLOOKUP($A1022,TRIM(SUBSTITUTE('worker file'!$A$2:$A$406,_xlfn.UNICHAR(160)," ")),'worker file'!$L$2:$L$406,"Not found")</f>
        <v>US Semi-monthly</v>
      </c>
      <c r="C1022" s="36" t="str">
        <f t="array" ref="C1022">_xlfn.XLOOKUP($A1022,TRIM(SUBSTITUTE('worker file'!$A$2:$A$406,_xlfn.UNICHAR(160)," ")),'worker file'!$D$2:$D$406,"Not found")</f>
        <v>TX</v>
      </c>
      <c r="D1022" s="36" t="str">
        <f t="array" ref="D1022">_xlfn.XLOOKUP($A1022,TRIM(SUBSTITUTE('worker file'!$A$2:$A$406,_xlfn.UNICHAR(160)," ")),'worker file'!$Q$2:$Q$406,"Not found")</f>
        <v>Active</v>
      </c>
      <c r="E1022" s="35" t="s">
        <v>618</v>
      </c>
      <c r="F1022" t="str">
        <f t="shared" si="115"/>
        <v>401(k) Employee Deferral</v>
      </c>
      <c r="G1022" t="str">
        <f t="shared" si="116"/>
        <v>Pre-tax (exempt from FIT/SIT; subject to FICA)</v>
      </c>
      <c r="H1022" t="str">
        <f t="shared" si="117"/>
        <v>Percent</v>
      </c>
      <c r="I1022" s="37">
        <v>0.02</v>
      </c>
      <c r="J1022" s="38" t="str">
        <f t="shared" si="118"/>
        <v/>
      </c>
      <c r="K1022" t="str">
        <f t="shared" si="119"/>
        <v>Gross pay</v>
      </c>
      <c r="L1022" t="str">
        <f t="shared" si="120"/>
        <v>Every pay period (ongoing)</v>
      </c>
      <c r="M1022" s="39">
        <f t="array" ref="M1022">MAX(_xlfn.XLOOKUP($A1022,TRIM(SUBSTITUTE('worker file'!$A$2:$A$406,_xlfn.UNICHAR(160)," ")),'worker file'!$M$2:$M$406,0),_xlfn.XLOOKUP($B1022,TRIM('pay group &amp; schedule'!$A$2:$A$6),'pay group &amp; schedule'!$D$2:$D$6,0))</f>
        <v>46311</v>
      </c>
      <c r="N1022" s="39" t="str">
        <f t="array" ref="N1022">_xlfn.LET(_xlpm.t,_xlfn.XLOOKUP($A1022,TRIM(SUBSTITUTE('worker file'!$A$2:$A$406,_xlfn.UNICHAR(160)," ")),'worker file'!$N$2:$N$406,""),IF(N(_xlpm.t)=0,"",_xlpm.t))</f>
        <v/>
      </c>
    </row>
    <row r="1023" spans="1:14" x14ac:dyDescent="0.2">
      <c r="A1023" s="35" t="s">
        <v>446</v>
      </c>
      <c r="B1023" s="36" t="str">
        <f t="array" ref="B1023">_xlfn.XLOOKUP($A1023,TRIM(SUBSTITUTE('worker file'!$A$2:$A$406,_xlfn.UNICHAR(160)," ")),'worker file'!$L$2:$L$406,"Not found")</f>
        <v>US Semi-monthly</v>
      </c>
      <c r="C1023" s="36" t="str">
        <f t="array" ref="C1023">_xlfn.XLOOKUP($A1023,TRIM(SUBSTITUTE('worker file'!$A$2:$A$406,_xlfn.UNICHAR(160)," ")),'worker file'!$D$2:$D$406,"Not found")</f>
        <v>TX</v>
      </c>
      <c r="D1023" s="36" t="str">
        <f t="array" ref="D1023">_xlfn.XLOOKUP($A1023,TRIM(SUBSTITUTE('worker file'!$A$2:$A$406,_xlfn.UNICHAR(160)," ")),'worker file'!$Q$2:$Q$406,"Not found")</f>
        <v>Active</v>
      </c>
      <c r="E1023" s="35" t="s">
        <v>626</v>
      </c>
      <c r="F1023" t="str">
        <f t="shared" si="115"/>
        <v>Medical (Health) – Employee</v>
      </c>
      <c r="G1023" t="str">
        <f t="shared" si="116"/>
        <v>Pre-tax Section 125 (exempt from FIT/SIT/FICA)</v>
      </c>
      <c r="H1023" t="str">
        <f t="shared" si="117"/>
        <v>Flat</v>
      </c>
      <c r="I1023" s="40" t="str">
        <f>IF($H1023="Percent",_xlfn.XLOOKUP($E1023,$A$5:$A$8,$F$5:$F$8,""),"")</f>
        <v/>
      </c>
      <c r="J1023" s="38">
        <f t="shared" si="118"/>
        <v>200</v>
      </c>
      <c r="K1023" t="str">
        <f t="shared" si="119"/>
        <v>Per pay period</v>
      </c>
      <c r="L1023" t="str">
        <f t="shared" si="120"/>
        <v>Every pay period (ongoing)</v>
      </c>
      <c r="M1023" s="39">
        <f t="array" ref="M1023">MAX(_xlfn.XLOOKUP($A1023,TRIM(SUBSTITUTE('worker file'!$A$2:$A$406,_xlfn.UNICHAR(160)," ")),'worker file'!$M$2:$M$406,0),_xlfn.XLOOKUP($B1023,TRIM('pay group &amp; schedule'!$A$2:$A$6),'pay group &amp; schedule'!$D$2:$D$6,0))</f>
        <v>46311</v>
      </c>
      <c r="N1023" s="39" t="str">
        <f t="array" ref="N1023">_xlfn.LET(_xlpm.t,_xlfn.XLOOKUP($A1023,TRIM(SUBSTITUTE('worker file'!$A$2:$A$406,_xlfn.UNICHAR(160)," ")),'worker file'!$N$2:$N$406,""),IF(N(_xlpm.t)=0,"",_xlpm.t))</f>
        <v/>
      </c>
    </row>
    <row r="1024" spans="1:14" x14ac:dyDescent="0.2">
      <c r="A1024" s="35" t="s">
        <v>446</v>
      </c>
      <c r="B1024" s="36" t="str">
        <f t="array" ref="B1024">_xlfn.XLOOKUP($A1024,TRIM(SUBSTITUTE('worker file'!$A$2:$A$406,_xlfn.UNICHAR(160)," ")),'worker file'!$L$2:$L$406,"Not found")</f>
        <v>US Semi-monthly</v>
      </c>
      <c r="C1024" s="36" t="str">
        <f t="array" ref="C1024">_xlfn.XLOOKUP($A1024,TRIM(SUBSTITUTE('worker file'!$A$2:$A$406,_xlfn.UNICHAR(160)," ")),'worker file'!$D$2:$D$406,"Not found")</f>
        <v>TX</v>
      </c>
      <c r="D1024" s="36" t="str">
        <f t="array" ref="D1024">_xlfn.XLOOKUP($A1024,TRIM(SUBSTITUTE('worker file'!$A$2:$A$406,_xlfn.UNICHAR(160)," ")),'worker file'!$Q$2:$Q$406,"Not found")</f>
        <v>Active</v>
      </c>
      <c r="E1024" s="35" t="s">
        <v>632</v>
      </c>
      <c r="F1024" t="str">
        <f t="shared" si="115"/>
        <v>Dental – Employee</v>
      </c>
      <c r="G1024" t="str">
        <f t="shared" si="116"/>
        <v>Pre-tax Section 125 (exempt from FIT/SIT/FICA)</v>
      </c>
      <c r="H1024" t="str">
        <f t="shared" si="117"/>
        <v>Flat</v>
      </c>
      <c r="I1024" s="40" t="str">
        <f>IF($H1024="Percent",_xlfn.XLOOKUP($E1024,$A$5:$A$8,$F$5:$F$8,""),"")</f>
        <v/>
      </c>
      <c r="J1024" s="38">
        <f t="shared" si="118"/>
        <v>44</v>
      </c>
      <c r="K1024" t="str">
        <f t="shared" si="119"/>
        <v>Per pay period</v>
      </c>
      <c r="L1024" t="str">
        <f t="shared" si="120"/>
        <v>Every pay period (ongoing)</v>
      </c>
      <c r="M1024" s="39">
        <f t="array" ref="M1024">MAX(_xlfn.XLOOKUP($A1024,TRIM(SUBSTITUTE('worker file'!$A$2:$A$406,_xlfn.UNICHAR(160)," ")),'worker file'!$M$2:$M$406,0),_xlfn.XLOOKUP($B1024,TRIM('pay group &amp; schedule'!$A$2:$A$6),'pay group &amp; schedule'!$D$2:$D$6,0))</f>
        <v>46311</v>
      </c>
      <c r="N1024" s="39" t="str">
        <f t="array" ref="N1024">_xlfn.LET(_xlpm.t,_xlfn.XLOOKUP($A1024,TRIM(SUBSTITUTE('worker file'!$A$2:$A$406,_xlfn.UNICHAR(160)," ")),'worker file'!$N$2:$N$406,""),IF(N(_xlpm.t)=0,"",_xlpm.t))</f>
        <v/>
      </c>
    </row>
    <row r="1025" spans="1:14" x14ac:dyDescent="0.2">
      <c r="A1025" s="35" t="s">
        <v>446</v>
      </c>
      <c r="B1025" s="36" t="str">
        <f t="array" ref="B1025">_xlfn.XLOOKUP($A1025,TRIM(SUBSTITUTE('worker file'!$A$2:$A$406,_xlfn.UNICHAR(160)," ")),'worker file'!$L$2:$L$406,"Not found")</f>
        <v>US Semi-monthly</v>
      </c>
      <c r="C1025" s="36" t="str">
        <f t="array" ref="C1025">_xlfn.XLOOKUP($A1025,TRIM(SUBSTITUTE('worker file'!$A$2:$A$406,_xlfn.UNICHAR(160)," ")),'worker file'!$D$2:$D$406,"Not found")</f>
        <v>TX</v>
      </c>
      <c r="D1025" s="36" t="str">
        <f t="array" ref="D1025">_xlfn.XLOOKUP($A1025,TRIM(SUBSTITUTE('worker file'!$A$2:$A$406,_xlfn.UNICHAR(160)," ")),'worker file'!$Q$2:$Q$406,"Not found")</f>
        <v>Active</v>
      </c>
      <c r="E1025" s="35" t="s">
        <v>634</v>
      </c>
      <c r="F1025" t="str">
        <f t="shared" si="115"/>
        <v>Vision – Employee</v>
      </c>
      <c r="G1025" t="str">
        <f t="shared" si="116"/>
        <v>Pre-tax Section 125 (exempt from FIT/SIT/FICA)</v>
      </c>
      <c r="H1025" t="str">
        <f t="shared" si="117"/>
        <v>Flat</v>
      </c>
      <c r="I1025" s="40" t="str">
        <f>IF($H1025="Percent",_xlfn.XLOOKUP($E1025,$A$5:$A$8,$F$5:$F$8,""),"")</f>
        <v/>
      </c>
      <c r="J1025" s="38">
        <f t="shared" si="118"/>
        <v>30</v>
      </c>
      <c r="K1025" t="str">
        <f t="shared" si="119"/>
        <v>Per pay period</v>
      </c>
      <c r="L1025" t="str">
        <f t="shared" si="120"/>
        <v>Every pay period (ongoing)</v>
      </c>
      <c r="M1025" s="39">
        <f t="array" ref="M1025">MAX(_xlfn.XLOOKUP($A1025,TRIM(SUBSTITUTE('worker file'!$A$2:$A$406,_xlfn.UNICHAR(160)," ")),'worker file'!$M$2:$M$406,0),_xlfn.XLOOKUP($B1025,TRIM('pay group &amp; schedule'!$A$2:$A$6),'pay group &amp; schedule'!$D$2:$D$6,0))</f>
        <v>46311</v>
      </c>
      <c r="N1025" s="39" t="str">
        <f t="array" ref="N1025">_xlfn.LET(_xlpm.t,_xlfn.XLOOKUP($A1025,TRIM(SUBSTITUTE('worker file'!$A$2:$A$406,_xlfn.UNICHAR(160)," ")),'worker file'!$N$2:$N$406,""),IF(N(_xlpm.t)=0,"",_xlpm.t))</f>
        <v/>
      </c>
    </row>
    <row r="1026" spans="1:14" x14ac:dyDescent="0.2">
      <c r="A1026" s="35" t="s">
        <v>447</v>
      </c>
      <c r="B1026" s="36" t="str">
        <f t="array" ref="B1026">_xlfn.XLOOKUP($A1026,TRIM(SUBSTITUTE('worker file'!$A$2:$A$406,_xlfn.UNICHAR(160)," ")),'worker file'!$L$2:$L$406,"Not found")</f>
        <v>US Semi-monthly</v>
      </c>
      <c r="C1026" s="36" t="str">
        <f t="array" ref="C1026">_xlfn.XLOOKUP($A1026,TRIM(SUBSTITUTE('worker file'!$A$2:$A$406,_xlfn.UNICHAR(160)," ")),'worker file'!$D$2:$D$406,"Not found")</f>
        <v>NY</v>
      </c>
      <c r="D1026" s="36" t="str">
        <f t="array" ref="D1026">_xlfn.XLOOKUP($A1026,TRIM(SUBSTITUTE('worker file'!$A$2:$A$406,_xlfn.UNICHAR(160)," ")),'worker file'!$Q$2:$Q$406,"Not found")</f>
        <v>Active</v>
      </c>
      <c r="E1026" s="35" t="s">
        <v>618</v>
      </c>
      <c r="F1026" t="str">
        <f t="shared" si="115"/>
        <v>401(k) Employee Deferral</v>
      </c>
      <c r="G1026" t="str">
        <f t="shared" si="116"/>
        <v>Pre-tax (exempt from FIT/SIT; subject to FICA)</v>
      </c>
      <c r="H1026" t="str">
        <f t="shared" si="117"/>
        <v>Percent</v>
      </c>
      <c r="I1026" s="37">
        <v>7.0000000000000007E-2</v>
      </c>
      <c r="J1026" s="38" t="str">
        <f t="shared" si="118"/>
        <v/>
      </c>
      <c r="K1026" t="str">
        <f t="shared" si="119"/>
        <v>Gross pay</v>
      </c>
      <c r="L1026" t="str">
        <f t="shared" si="120"/>
        <v>Every pay period (ongoing)</v>
      </c>
      <c r="M1026" s="39">
        <f t="array" ref="M1026">MAX(_xlfn.XLOOKUP($A1026,TRIM(SUBSTITUTE('worker file'!$A$2:$A$406,_xlfn.UNICHAR(160)," ")),'worker file'!$M$2:$M$406,0),_xlfn.XLOOKUP($B1026,TRIM('pay group &amp; schedule'!$A$2:$A$6),'pay group &amp; schedule'!$D$2:$D$6,0))</f>
        <v>46311</v>
      </c>
      <c r="N1026" s="39" t="str">
        <f t="array" ref="N1026">_xlfn.LET(_xlpm.t,_xlfn.XLOOKUP($A1026,TRIM(SUBSTITUTE('worker file'!$A$2:$A$406,_xlfn.UNICHAR(160)," ")),'worker file'!$N$2:$N$406,""),IF(N(_xlpm.t)=0,"",_xlpm.t))</f>
        <v/>
      </c>
    </row>
    <row r="1027" spans="1:14" x14ac:dyDescent="0.2">
      <c r="A1027" s="35" t="s">
        <v>447</v>
      </c>
      <c r="B1027" s="36" t="str">
        <f t="array" ref="B1027">_xlfn.XLOOKUP($A1027,TRIM(SUBSTITUTE('worker file'!$A$2:$A$406,_xlfn.UNICHAR(160)," ")),'worker file'!$L$2:$L$406,"Not found")</f>
        <v>US Semi-monthly</v>
      </c>
      <c r="C1027" s="36" t="str">
        <f t="array" ref="C1027">_xlfn.XLOOKUP($A1027,TRIM(SUBSTITUTE('worker file'!$A$2:$A$406,_xlfn.UNICHAR(160)," ")),'worker file'!$D$2:$D$406,"Not found")</f>
        <v>NY</v>
      </c>
      <c r="D1027" s="36" t="str">
        <f t="array" ref="D1027">_xlfn.XLOOKUP($A1027,TRIM(SUBSTITUTE('worker file'!$A$2:$A$406,_xlfn.UNICHAR(160)," ")),'worker file'!$Q$2:$Q$406,"Not found")</f>
        <v>Active</v>
      </c>
      <c r="E1027" s="35" t="s">
        <v>626</v>
      </c>
      <c r="F1027" t="str">
        <f t="shared" si="115"/>
        <v>Medical (Health) – Employee</v>
      </c>
      <c r="G1027" t="str">
        <f t="shared" si="116"/>
        <v>Pre-tax Section 125 (exempt from FIT/SIT/FICA)</v>
      </c>
      <c r="H1027" t="str">
        <f t="shared" si="117"/>
        <v>Flat</v>
      </c>
      <c r="I1027" s="40" t="str">
        <f t="shared" ref="I1027:I1032" si="122">IF($H1027="Percent",_xlfn.XLOOKUP($E1027,$A$5:$A$8,$F$5:$F$8,""),"")</f>
        <v/>
      </c>
      <c r="J1027" s="38">
        <f t="shared" si="118"/>
        <v>200</v>
      </c>
      <c r="K1027" t="str">
        <f t="shared" si="119"/>
        <v>Per pay period</v>
      </c>
      <c r="L1027" t="str">
        <f t="shared" si="120"/>
        <v>Every pay period (ongoing)</v>
      </c>
      <c r="M1027" s="39">
        <f t="array" ref="M1027">MAX(_xlfn.XLOOKUP($A1027,TRIM(SUBSTITUTE('worker file'!$A$2:$A$406,_xlfn.UNICHAR(160)," ")),'worker file'!$M$2:$M$406,0),_xlfn.XLOOKUP($B1027,TRIM('pay group &amp; schedule'!$A$2:$A$6),'pay group &amp; schedule'!$D$2:$D$6,0))</f>
        <v>46311</v>
      </c>
      <c r="N1027" s="39" t="str">
        <f t="array" ref="N1027">_xlfn.LET(_xlpm.t,_xlfn.XLOOKUP($A1027,TRIM(SUBSTITUTE('worker file'!$A$2:$A$406,_xlfn.UNICHAR(160)," ")),'worker file'!$N$2:$N$406,""),IF(N(_xlpm.t)=0,"",_xlpm.t))</f>
        <v/>
      </c>
    </row>
    <row r="1028" spans="1:14" x14ac:dyDescent="0.2">
      <c r="A1028" s="35" t="s">
        <v>447</v>
      </c>
      <c r="B1028" s="36" t="str">
        <f t="array" ref="B1028">_xlfn.XLOOKUP($A1028,TRIM(SUBSTITUTE('worker file'!$A$2:$A$406,_xlfn.UNICHAR(160)," ")),'worker file'!$L$2:$L$406,"Not found")</f>
        <v>US Semi-monthly</v>
      </c>
      <c r="C1028" s="36" t="str">
        <f t="array" ref="C1028">_xlfn.XLOOKUP($A1028,TRIM(SUBSTITUTE('worker file'!$A$2:$A$406,_xlfn.UNICHAR(160)," ")),'worker file'!$D$2:$D$406,"Not found")</f>
        <v>NY</v>
      </c>
      <c r="D1028" s="36" t="str">
        <f t="array" ref="D1028">_xlfn.XLOOKUP($A1028,TRIM(SUBSTITUTE('worker file'!$A$2:$A$406,_xlfn.UNICHAR(160)," ")),'worker file'!$Q$2:$Q$406,"Not found")</f>
        <v>Active</v>
      </c>
      <c r="E1028" s="35" t="s">
        <v>632</v>
      </c>
      <c r="F1028" t="str">
        <f t="shared" si="115"/>
        <v>Dental – Employee</v>
      </c>
      <c r="G1028" t="str">
        <f t="shared" si="116"/>
        <v>Pre-tax Section 125 (exempt from FIT/SIT/FICA)</v>
      </c>
      <c r="H1028" t="str">
        <f t="shared" si="117"/>
        <v>Flat</v>
      </c>
      <c r="I1028" s="40" t="str">
        <f t="shared" si="122"/>
        <v/>
      </c>
      <c r="J1028" s="38">
        <f t="shared" si="118"/>
        <v>44</v>
      </c>
      <c r="K1028" t="str">
        <f t="shared" si="119"/>
        <v>Per pay period</v>
      </c>
      <c r="L1028" t="str">
        <f t="shared" si="120"/>
        <v>Every pay period (ongoing)</v>
      </c>
      <c r="M1028" s="39">
        <f t="array" ref="M1028">MAX(_xlfn.XLOOKUP($A1028,TRIM(SUBSTITUTE('worker file'!$A$2:$A$406,_xlfn.UNICHAR(160)," ")),'worker file'!$M$2:$M$406,0),_xlfn.XLOOKUP($B1028,TRIM('pay group &amp; schedule'!$A$2:$A$6),'pay group &amp; schedule'!$D$2:$D$6,0))</f>
        <v>46311</v>
      </c>
      <c r="N1028" s="39" t="str">
        <f t="array" ref="N1028">_xlfn.LET(_xlpm.t,_xlfn.XLOOKUP($A1028,TRIM(SUBSTITUTE('worker file'!$A$2:$A$406,_xlfn.UNICHAR(160)," ")),'worker file'!$N$2:$N$406,""),IF(N(_xlpm.t)=0,"",_xlpm.t))</f>
        <v/>
      </c>
    </row>
    <row r="1029" spans="1:14" x14ac:dyDescent="0.2">
      <c r="A1029" s="35" t="s">
        <v>447</v>
      </c>
      <c r="B1029" s="36" t="str">
        <f t="array" ref="B1029">_xlfn.XLOOKUP($A1029,TRIM(SUBSTITUTE('worker file'!$A$2:$A$406,_xlfn.UNICHAR(160)," ")),'worker file'!$L$2:$L$406,"Not found")</f>
        <v>US Semi-monthly</v>
      </c>
      <c r="C1029" s="36" t="str">
        <f t="array" ref="C1029">_xlfn.XLOOKUP($A1029,TRIM(SUBSTITUTE('worker file'!$A$2:$A$406,_xlfn.UNICHAR(160)," ")),'worker file'!$D$2:$D$406,"Not found")</f>
        <v>NY</v>
      </c>
      <c r="D1029" s="36" t="str">
        <f t="array" ref="D1029">_xlfn.XLOOKUP($A1029,TRIM(SUBSTITUTE('worker file'!$A$2:$A$406,_xlfn.UNICHAR(160)," ")),'worker file'!$Q$2:$Q$406,"Not found")</f>
        <v>Active</v>
      </c>
      <c r="E1029" s="35" t="s">
        <v>634</v>
      </c>
      <c r="F1029" t="str">
        <f t="shared" si="115"/>
        <v>Vision – Employee</v>
      </c>
      <c r="G1029" t="str">
        <f t="shared" si="116"/>
        <v>Pre-tax Section 125 (exempt from FIT/SIT/FICA)</v>
      </c>
      <c r="H1029" t="str">
        <f t="shared" si="117"/>
        <v>Flat</v>
      </c>
      <c r="I1029" s="40" t="str">
        <f t="shared" si="122"/>
        <v/>
      </c>
      <c r="J1029" s="38">
        <f t="shared" si="118"/>
        <v>30</v>
      </c>
      <c r="K1029" t="str">
        <f t="shared" si="119"/>
        <v>Per pay period</v>
      </c>
      <c r="L1029" t="str">
        <f t="shared" si="120"/>
        <v>Every pay period (ongoing)</v>
      </c>
      <c r="M1029" s="39">
        <f t="array" ref="M1029">MAX(_xlfn.XLOOKUP($A1029,TRIM(SUBSTITUTE('worker file'!$A$2:$A$406,_xlfn.UNICHAR(160)," ")),'worker file'!$M$2:$M$406,0),_xlfn.XLOOKUP($B1029,TRIM('pay group &amp; schedule'!$A$2:$A$6),'pay group &amp; schedule'!$D$2:$D$6,0))</f>
        <v>46311</v>
      </c>
      <c r="N1029" s="39" t="str">
        <f t="array" ref="N1029">_xlfn.LET(_xlpm.t,_xlfn.XLOOKUP($A1029,TRIM(SUBSTITUTE('worker file'!$A$2:$A$406,_xlfn.UNICHAR(160)," ")),'worker file'!$N$2:$N$406,""),IF(N(_xlpm.t)=0,"",_xlpm.t))</f>
        <v/>
      </c>
    </row>
    <row r="1030" spans="1:14" x14ac:dyDescent="0.2">
      <c r="A1030" s="35" t="s">
        <v>448</v>
      </c>
      <c r="B1030" s="36" t="str">
        <f t="array" ref="B1030">_xlfn.XLOOKUP($A1030,TRIM(SUBSTITUTE('worker file'!$A$2:$A$406,_xlfn.UNICHAR(160)," ")),'worker file'!$L$2:$L$406,"Not found")</f>
        <v>US Semi-monthly</v>
      </c>
      <c r="C1030" s="36" t="str">
        <f t="array" ref="C1030">_xlfn.XLOOKUP($A1030,TRIM(SUBSTITUTE('worker file'!$A$2:$A$406,_xlfn.UNICHAR(160)," ")),'worker file'!$D$2:$D$406,"Not found")</f>
        <v>GA</v>
      </c>
      <c r="D1030" s="36" t="str">
        <f t="array" ref="D1030">_xlfn.XLOOKUP($A1030,TRIM(SUBSTITUTE('worker file'!$A$2:$A$406,_xlfn.UNICHAR(160)," ")),'worker file'!$Q$2:$Q$406,"Not found")</f>
        <v>Active</v>
      </c>
      <c r="E1030" s="35" t="s">
        <v>626</v>
      </c>
      <c r="F1030" t="str">
        <f t="shared" si="115"/>
        <v>Medical (Health) – Employee</v>
      </c>
      <c r="G1030" t="str">
        <f t="shared" si="116"/>
        <v>Pre-tax Section 125 (exempt from FIT/SIT/FICA)</v>
      </c>
      <c r="H1030" t="str">
        <f t="shared" si="117"/>
        <v>Flat</v>
      </c>
      <c r="I1030" s="40" t="str">
        <f t="shared" si="122"/>
        <v/>
      </c>
      <c r="J1030" s="38">
        <f t="shared" si="118"/>
        <v>200</v>
      </c>
      <c r="K1030" t="str">
        <f t="shared" si="119"/>
        <v>Per pay period</v>
      </c>
      <c r="L1030" t="str">
        <f t="shared" si="120"/>
        <v>Every pay period (ongoing)</v>
      </c>
      <c r="M1030" s="39">
        <f t="array" ref="M1030">MAX(_xlfn.XLOOKUP($A1030,TRIM(SUBSTITUTE('worker file'!$A$2:$A$406,_xlfn.UNICHAR(160)," ")),'worker file'!$M$2:$M$406,0),_xlfn.XLOOKUP($B1030,TRIM('pay group &amp; schedule'!$A$2:$A$6),'pay group &amp; schedule'!$D$2:$D$6,0))</f>
        <v>46311</v>
      </c>
      <c r="N1030" s="39" t="str">
        <f t="array" ref="N1030">_xlfn.LET(_xlpm.t,_xlfn.XLOOKUP($A1030,TRIM(SUBSTITUTE('worker file'!$A$2:$A$406,_xlfn.UNICHAR(160)," ")),'worker file'!$N$2:$N$406,""),IF(N(_xlpm.t)=0,"",_xlpm.t))</f>
        <v/>
      </c>
    </row>
    <row r="1031" spans="1:14" x14ac:dyDescent="0.2">
      <c r="A1031" s="35" t="s">
        <v>448</v>
      </c>
      <c r="B1031" s="36" t="str">
        <f t="array" ref="B1031">_xlfn.XLOOKUP($A1031,TRIM(SUBSTITUTE('worker file'!$A$2:$A$406,_xlfn.UNICHAR(160)," ")),'worker file'!$L$2:$L$406,"Not found")</f>
        <v>US Semi-monthly</v>
      </c>
      <c r="C1031" s="36" t="str">
        <f t="array" ref="C1031">_xlfn.XLOOKUP($A1031,TRIM(SUBSTITUTE('worker file'!$A$2:$A$406,_xlfn.UNICHAR(160)," ")),'worker file'!$D$2:$D$406,"Not found")</f>
        <v>GA</v>
      </c>
      <c r="D1031" s="36" t="str">
        <f t="array" ref="D1031">_xlfn.XLOOKUP($A1031,TRIM(SUBSTITUTE('worker file'!$A$2:$A$406,_xlfn.UNICHAR(160)," ")),'worker file'!$Q$2:$Q$406,"Not found")</f>
        <v>Active</v>
      </c>
      <c r="E1031" s="35" t="s">
        <v>632</v>
      </c>
      <c r="F1031" t="str">
        <f t="shared" si="115"/>
        <v>Dental – Employee</v>
      </c>
      <c r="G1031" t="str">
        <f t="shared" si="116"/>
        <v>Pre-tax Section 125 (exempt from FIT/SIT/FICA)</v>
      </c>
      <c r="H1031" t="str">
        <f t="shared" si="117"/>
        <v>Flat</v>
      </c>
      <c r="I1031" s="40" t="str">
        <f t="shared" si="122"/>
        <v/>
      </c>
      <c r="J1031" s="38">
        <f t="shared" si="118"/>
        <v>44</v>
      </c>
      <c r="K1031" t="str">
        <f t="shared" si="119"/>
        <v>Per pay period</v>
      </c>
      <c r="L1031" t="str">
        <f t="shared" si="120"/>
        <v>Every pay period (ongoing)</v>
      </c>
      <c r="M1031" s="39">
        <f t="array" ref="M1031">MAX(_xlfn.XLOOKUP($A1031,TRIM(SUBSTITUTE('worker file'!$A$2:$A$406,_xlfn.UNICHAR(160)," ")),'worker file'!$M$2:$M$406,0),_xlfn.XLOOKUP($B1031,TRIM('pay group &amp; schedule'!$A$2:$A$6),'pay group &amp; schedule'!$D$2:$D$6,0))</f>
        <v>46311</v>
      </c>
      <c r="N1031" s="39" t="str">
        <f t="array" ref="N1031">_xlfn.LET(_xlpm.t,_xlfn.XLOOKUP($A1031,TRIM(SUBSTITUTE('worker file'!$A$2:$A$406,_xlfn.UNICHAR(160)," ")),'worker file'!$N$2:$N$406,""),IF(N(_xlpm.t)=0,"",_xlpm.t))</f>
        <v/>
      </c>
    </row>
    <row r="1032" spans="1:14" x14ac:dyDescent="0.2">
      <c r="A1032" s="35" t="s">
        <v>448</v>
      </c>
      <c r="B1032" s="36" t="str">
        <f t="array" ref="B1032">_xlfn.XLOOKUP($A1032,TRIM(SUBSTITUTE('worker file'!$A$2:$A$406,_xlfn.UNICHAR(160)," ")),'worker file'!$L$2:$L$406,"Not found")</f>
        <v>US Semi-monthly</v>
      </c>
      <c r="C1032" s="36" t="str">
        <f t="array" ref="C1032">_xlfn.XLOOKUP($A1032,TRIM(SUBSTITUTE('worker file'!$A$2:$A$406,_xlfn.UNICHAR(160)," ")),'worker file'!$D$2:$D$406,"Not found")</f>
        <v>GA</v>
      </c>
      <c r="D1032" s="36" t="str">
        <f t="array" ref="D1032">_xlfn.XLOOKUP($A1032,TRIM(SUBSTITUTE('worker file'!$A$2:$A$406,_xlfn.UNICHAR(160)," ")),'worker file'!$Q$2:$Q$406,"Not found")</f>
        <v>Active</v>
      </c>
      <c r="E1032" s="35" t="s">
        <v>634</v>
      </c>
      <c r="F1032" t="str">
        <f t="shared" si="115"/>
        <v>Vision – Employee</v>
      </c>
      <c r="G1032" t="str">
        <f t="shared" si="116"/>
        <v>Pre-tax Section 125 (exempt from FIT/SIT/FICA)</v>
      </c>
      <c r="H1032" t="str">
        <f t="shared" si="117"/>
        <v>Flat</v>
      </c>
      <c r="I1032" s="40" t="str">
        <f t="shared" si="122"/>
        <v/>
      </c>
      <c r="J1032" s="38">
        <f t="shared" si="118"/>
        <v>30</v>
      </c>
      <c r="K1032" t="str">
        <f t="shared" si="119"/>
        <v>Per pay period</v>
      </c>
      <c r="L1032" t="str">
        <f t="shared" si="120"/>
        <v>Every pay period (ongoing)</v>
      </c>
      <c r="M1032" s="39">
        <f t="array" ref="M1032">MAX(_xlfn.XLOOKUP($A1032,TRIM(SUBSTITUTE('worker file'!$A$2:$A$406,_xlfn.UNICHAR(160)," ")),'worker file'!$M$2:$M$406,0),_xlfn.XLOOKUP($B1032,TRIM('pay group &amp; schedule'!$A$2:$A$6),'pay group &amp; schedule'!$D$2:$D$6,0))</f>
        <v>46311</v>
      </c>
      <c r="N1032" s="39" t="str">
        <f t="array" ref="N1032">_xlfn.LET(_xlpm.t,_xlfn.XLOOKUP($A1032,TRIM(SUBSTITUTE('worker file'!$A$2:$A$406,_xlfn.UNICHAR(160)," ")),'worker file'!$N$2:$N$406,""),IF(N(_xlpm.t)=0,"",_xlpm.t))</f>
        <v/>
      </c>
    </row>
    <row r="1033" spans="1:14" x14ac:dyDescent="0.2">
      <c r="A1033" s="35" t="s">
        <v>449</v>
      </c>
      <c r="B1033" s="36" t="str">
        <f t="array" ref="B1033">_xlfn.XLOOKUP($A1033,TRIM(SUBSTITUTE('worker file'!$A$2:$A$406,_xlfn.UNICHAR(160)," ")),'worker file'!$L$2:$L$406,"Not found")</f>
        <v>US Biweekly</v>
      </c>
      <c r="C1033" s="36" t="str">
        <f t="array" ref="C1033">_xlfn.XLOOKUP($A1033,TRIM(SUBSTITUTE('worker file'!$A$2:$A$406,_xlfn.UNICHAR(160)," ")),'worker file'!$D$2:$D$406,"Not found")</f>
        <v>TX</v>
      </c>
      <c r="D1033" s="36" t="str">
        <f t="array" ref="D1033">_xlfn.XLOOKUP($A1033,TRIM(SUBSTITUTE('worker file'!$A$2:$A$406,_xlfn.UNICHAR(160)," ")),'worker file'!$Q$2:$Q$406,"Not found")</f>
        <v>Active</v>
      </c>
      <c r="E1033" s="35" t="s">
        <v>618</v>
      </c>
      <c r="F1033" t="str">
        <f t="shared" si="115"/>
        <v>401(k) Employee Deferral</v>
      </c>
      <c r="G1033" t="str">
        <f t="shared" si="116"/>
        <v>Pre-tax (exempt from FIT/SIT; subject to FICA)</v>
      </c>
      <c r="H1033" t="str">
        <f t="shared" si="117"/>
        <v>Percent</v>
      </c>
      <c r="I1033" s="37">
        <v>0.01</v>
      </c>
      <c r="J1033" s="38" t="str">
        <f t="shared" si="118"/>
        <v/>
      </c>
      <c r="K1033" t="str">
        <f t="shared" si="119"/>
        <v>Gross pay</v>
      </c>
      <c r="L1033" t="str">
        <f t="shared" si="120"/>
        <v>Every pay period (ongoing)</v>
      </c>
      <c r="M1033" s="39">
        <f t="array" ref="M1033">MAX(_xlfn.XLOOKUP($A1033,TRIM(SUBSTITUTE('worker file'!$A$2:$A$406,_xlfn.UNICHAR(160)," ")),'worker file'!$M$2:$M$406,0),_xlfn.XLOOKUP($B1033,TRIM('pay group &amp; schedule'!$A$2:$A$6),'pay group &amp; schedule'!$D$2:$D$6,0))</f>
        <v>46299</v>
      </c>
      <c r="N1033" s="39" t="str">
        <f t="array" ref="N1033">_xlfn.LET(_xlpm.t,_xlfn.XLOOKUP($A1033,TRIM(SUBSTITUTE('worker file'!$A$2:$A$406,_xlfn.UNICHAR(160)," ")),'worker file'!$N$2:$N$406,""),IF(N(_xlpm.t)=0,"",_xlpm.t))</f>
        <v/>
      </c>
    </row>
    <row r="1034" spans="1:14" x14ac:dyDescent="0.2">
      <c r="A1034" s="35" t="s">
        <v>449</v>
      </c>
      <c r="B1034" s="36" t="str">
        <f t="array" ref="B1034">_xlfn.XLOOKUP($A1034,TRIM(SUBSTITUTE('worker file'!$A$2:$A$406,_xlfn.UNICHAR(160)," ")),'worker file'!$L$2:$L$406,"Not found")</f>
        <v>US Biweekly</v>
      </c>
      <c r="C1034" s="36" t="str">
        <f t="array" ref="C1034">_xlfn.XLOOKUP($A1034,TRIM(SUBSTITUTE('worker file'!$A$2:$A$406,_xlfn.UNICHAR(160)," ")),'worker file'!$D$2:$D$406,"Not found")</f>
        <v>TX</v>
      </c>
      <c r="D1034" s="36" t="str">
        <f t="array" ref="D1034">_xlfn.XLOOKUP($A1034,TRIM(SUBSTITUTE('worker file'!$A$2:$A$406,_xlfn.UNICHAR(160)," ")),'worker file'!$Q$2:$Q$406,"Not found")</f>
        <v>Active</v>
      </c>
      <c r="E1034" s="35" t="s">
        <v>626</v>
      </c>
      <c r="F1034" t="str">
        <f t="shared" si="115"/>
        <v>Medical (Health) – Employee</v>
      </c>
      <c r="G1034" t="str">
        <f t="shared" si="116"/>
        <v>Pre-tax Section 125 (exempt from FIT/SIT/FICA)</v>
      </c>
      <c r="H1034" t="str">
        <f t="shared" si="117"/>
        <v>Flat</v>
      </c>
      <c r="I1034" s="40" t="str">
        <f>IF($H1034="Percent",_xlfn.XLOOKUP($E1034,$A$5:$A$8,$F$5:$F$8,""),"")</f>
        <v/>
      </c>
      <c r="J1034" s="38">
        <f t="shared" si="118"/>
        <v>200</v>
      </c>
      <c r="K1034" t="str">
        <f t="shared" si="119"/>
        <v>Per pay period</v>
      </c>
      <c r="L1034" t="str">
        <f t="shared" si="120"/>
        <v>Every pay period (ongoing)</v>
      </c>
      <c r="M1034" s="39">
        <f t="array" ref="M1034">MAX(_xlfn.XLOOKUP($A1034,TRIM(SUBSTITUTE('worker file'!$A$2:$A$406,_xlfn.UNICHAR(160)," ")),'worker file'!$M$2:$M$406,0),_xlfn.XLOOKUP($B1034,TRIM('pay group &amp; schedule'!$A$2:$A$6),'pay group &amp; schedule'!$D$2:$D$6,0))</f>
        <v>46299</v>
      </c>
      <c r="N1034" s="39" t="str">
        <f t="array" ref="N1034">_xlfn.LET(_xlpm.t,_xlfn.XLOOKUP($A1034,TRIM(SUBSTITUTE('worker file'!$A$2:$A$406,_xlfn.UNICHAR(160)," ")),'worker file'!$N$2:$N$406,""),IF(N(_xlpm.t)=0,"",_xlpm.t))</f>
        <v/>
      </c>
    </row>
    <row r="1035" spans="1:14" x14ac:dyDescent="0.2">
      <c r="A1035" s="35" t="s">
        <v>449</v>
      </c>
      <c r="B1035" s="36" t="str">
        <f t="array" ref="B1035">_xlfn.XLOOKUP($A1035,TRIM(SUBSTITUTE('worker file'!$A$2:$A$406,_xlfn.UNICHAR(160)," ")),'worker file'!$L$2:$L$406,"Not found")</f>
        <v>US Biweekly</v>
      </c>
      <c r="C1035" s="36" t="str">
        <f t="array" ref="C1035">_xlfn.XLOOKUP($A1035,TRIM(SUBSTITUTE('worker file'!$A$2:$A$406,_xlfn.UNICHAR(160)," ")),'worker file'!$D$2:$D$406,"Not found")</f>
        <v>TX</v>
      </c>
      <c r="D1035" s="36" t="str">
        <f t="array" ref="D1035">_xlfn.XLOOKUP($A1035,TRIM(SUBSTITUTE('worker file'!$A$2:$A$406,_xlfn.UNICHAR(160)," ")),'worker file'!$Q$2:$Q$406,"Not found")</f>
        <v>Active</v>
      </c>
      <c r="E1035" s="35" t="s">
        <v>632</v>
      </c>
      <c r="F1035" t="str">
        <f t="shared" si="115"/>
        <v>Dental – Employee</v>
      </c>
      <c r="G1035" t="str">
        <f t="shared" si="116"/>
        <v>Pre-tax Section 125 (exempt from FIT/SIT/FICA)</v>
      </c>
      <c r="H1035" t="str">
        <f t="shared" si="117"/>
        <v>Flat</v>
      </c>
      <c r="I1035" s="40" t="str">
        <f>IF($H1035="Percent",_xlfn.XLOOKUP($E1035,$A$5:$A$8,$F$5:$F$8,""),"")</f>
        <v/>
      </c>
      <c r="J1035" s="38">
        <f t="shared" si="118"/>
        <v>44</v>
      </c>
      <c r="K1035" t="str">
        <f t="shared" si="119"/>
        <v>Per pay period</v>
      </c>
      <c r="L1035" t="str">
        <f t="shared" si="120"/>
        <v>Every pay period (ongoing)</v>
      </c>
      <c r="M1035" s="39">
        <f t="array" ref="M1035">MAX(_xlfn.XLOOKUP($A1035,TRIM(SUBSTITUTE('worker file'!$A$2:$A$406,_xlfn.UNICHAR(160)," ")),'worker file'!$M$2:$M$406,0),_xlfn.XLOOKUP($B1035,TRIM('pay group &amp; schedule'!$A$2:$A$6),'pay group &amp; schedule'!$D$2:$D$6,0))</f>
        <v>46299</v>
      </c>
      <c r="N1035" s="39" t="str">
        <f t="array" ref="N1035">_xlfn.LET(_xlpm.t,_xlfn.XLOOKUP($A1035,TRIM(SUBSTITUTE('worker file'!$A$2:$A$406,_xlfn.UNICHAR(160)," ")),'worker file'!$N$2:$N$406,""),IF(N(_xlpm.t)=0,"",_xlpm.t))</f>
        <v/>
      </c>
    </row>
    <row r="1036" spans="1:14" x14ac:dyDescent="0.2">
      <c r="A1036" s="35" t="s">
        <v>449</v>
      </c>
      <c r="B1036" s="36" t="str">
        <f t="array" ref="B1036">_xlfn.XLOOKUP($A1036,TRIM(SUBSTITUTE('worker file'!$A$2:$A$406,_xlfn.UNICHAR(160)," ")),'worker file'!$L$2:$L$406,"Not found")</f>
        <v>US Biweekly</v>
      </c>
      <c r="C1036" s="36" t="str">
        <f t="array" ref="C1036">_xlfn.XLOOKUP($A1036,TRIM(SUBSTITUTE('worker file'!$A$2:$A$406,_xlfn.UNICHAR(160)," ")),'worker file'!$D$2:$D$406,"Not found")</f>
        <v>TX</v>
      </c>
      <c r="D1036" s="36" t="str">
        <f t="array" ref="D1036">_xlfn.XLOOKUP($A1036,TRIM(SUBSTITUTE('worker file'!$A$2:$A$406,_xlfn.UNICHAR(160)," ")),'worker file'!$Q$2:$Q$406,"Not found")</f>
        <v>Active</v>
      </c>
      <c r="E1036" s="35" t="s">
        <v>634</v>
      </c>
      <c r="F1036" t="str">
        <f t="shared" ref="F1036:F1099" si="123">_xlfn.XLOOKUP($E1036,$A$5:$A$8,$B$5:$B$8,"")</f>
        <v>Vision – Employee</v>
      </c>
      <c r="G1036" t="str">
        <f t="shared" ref="G1036:G1099" si="124">_xlfn.XLOOKUP($E1036,$A$5:$A$8,$D$5:$D$8,"")</f>
        <v>Pre-tax Section 125 (exempt from FIT/SIT/FICA)</v>
      </c>
      <c r="H1036" t="str">
        <f t="shared" ref="H1036:H1099" si="125">_xlfn.XLOOKUP($E1036,$A$5:$A$8,$E$5:$E$8,"")</f>
        <v>Flat</v>
      </c>
      <c r="I1036" s="40" t="str">
        <f>IF($H1036="Percent",_xlfn.XLOOKUP($E1036,$A$5:$A$8,$F$5:$F$8,""),"")</f>
        <v/>
      </c>
      <c r="J1036" s="38">
        <f t="shared" ref="J1036:J1099" si="126">IF($H1036="Flat",_xlfn.XLOOKUP($E1036,$A$5:$A$8,$F$5:$F$8,""),"")</f>
        <v>30</v>
      </c>
      <c r="K1036" t="str">
        <f t="shared" ref="K1036:K1099" si="127">_xlfn.XLOOKUP($E1036,$A$5:$A$8,$G$5:$G$8,"")</f>
        <v>Per pay period</v>
      </c>
      <c r="L1036" t="str">
        <f t="shared" ref="L1036:L1099" si="128">_xlfn.XLOOKUP($E1036,$A$5:$A$8,$H$5:$H$8,"")</f>
        <v>Every pay period (ongoing)</v>
      </c>
      <c r="M1036" s="39">
        <f t="array" ref="M1036">MAX(_xlfn.XLOOKUP($A1036,TRIM(SUBSTITUTE('worker file'!$A$2:$A$406,_xlfn.UNICHAR(160)," ")),'worker file'!$M$2:$M$406,0),_xlfn.XLOOKUP($B1036,TRIM('pay group &amp; schedule'!$A$2:$A$6),'pay group &amp; schedule'!$D$2:$D$6,0))</f>
        <v>46299</v>
      </c>
      <c r="N1036" s="39" t="str">
        <f t="array" ref="N1036">_xlfn.LET(_xlpm.t,_xlfn.XLOOKUP($A1036,TRIM(SUBSTITUTE('worker file'!$A$2:$A$406,_xlfn.UNICHAR(160)," ")),'worker file'!$N$2:$N$406,""),IF(N(_xlpm.t)=0,"",_xlpm.t))</f>
        <v/>
      </c>
    </row>
    <row r="1037" spans="1:14" x14ac:dyDescent="0.2">
      <c r="A1037" s="35" t="s">
        <v>451</v>
      </c>
      <c r="B1037" s="36" t="str">
        <f t="array" ref="B1037">_xlfn.XLOOKUP($A1037,TRIM(SUBSTITUTE('worker file'!$A$2:$A$406,_xlfn.UNICHAR(160)," ")),'worker file'!$L$2:$L$406,"Not found")</f>
        <v>US Semi-monthly</v>
      </c>
      <c r="C1037" s="36" t="str">
        <f t="array" ref="C1037">_xlfn.XLOOKUP($A1037,TRIM(SUBSTITUTE('worker file'!$A$2:$A$406,_xlfn.UNICHAR(160)," ")),'worker file'!$D$2:$D$406,"Not found")</f>
        <v>IL</v>
      </c>
      <c r="D1037" s="36" t="str">
        <f t="array" ref="D1037">_xlfn.XLOOKUP($A1037,TRIM(SUBSTITUTE('worker file'!$A$2:$A$406,_xlfn.UNICHAR(160)," ")),'worker file'!$Q$2:$Q$406,"Not found")</f>
        <v>Active</v>
      </c>
      <c r="E1037" s="35" t="s">
        <v>618</v>
      </c>
      <c r="F1037" t="str">
        <f t="shared" si="123"/>
        <v>401(k) Employee Deferral</v>
      </c>
      <c r="G1037" t="str">
        <f t="shared" si="124"/>
        <v>Pre-tax (exempt from FIT/SIT; subject to FICA)</v>
      </c>
      <c r="H1037" t="str">
        <f t="shared" si="125"/>
        <v>Percent</v>
      </c>
      <c r="I1037" s="37">
        <v>0.06</v>
      </c>
      <c r="J1037" s="38" t="str">
        <f t="shared" si="126"/>
        <v/>
      </c>
      <c r="K1037" t="str">
        <f t="shared" si="127"/>
        <v>Gross pay</v>
      </c>
      <c r="L1037" t="str">
        <f t="shared" si="128"/>
        <v>Every pay period (ongoing)</v>
      </c>
      <c r="M1037" s="39">
        <f t="array" ref="M1037">MAX(_xlfn.XLOOKUP($A1037,TRIM(SUBSTITUTE('worker file'!$A$2:$A$406,_xlfn.UNICHAR(160)," ")),'worker file'!$M$2:$M$406,0),_xlfn.XLOOKUP($B1037,TRIM('pay group &amp; schedule'!$A$2:$A$6),'pay group &amp; schedule'!$D$2:$D$6,0))</f>
        <v>46311</v>
      </c>
      <c r="N1037" s="39" t="str">
        <f t="array" ref="N1037">_xlfn.LET(_xlpm.t,_xlfn.XLOOKUP($A1037,TRIM(SUBSTITUTE('worker file'!$A$2:$A$406,_xlfn.UNICHAR(160)," ")),'worker file'!$N$2:$N$406,""),IF(N(_xlpm.t)=0,"",_xlpm.t))</f>
        <v/>
      </c>
    </row>
    <row r="1038" spans="1:14" x14ac:dyDescent="0.2">
      <c r="A1038" s="35" t="s">
        <v>451</v>
      </c>
      <c r="B1038" s="36" t="str">
        <f t="array" ref="B1038">_xlfn.XLOOKUP($A1038,TRIM(SUBSTITUTE('worker file'!$A$2:$A$406,_xlfn.UNICHAR(160)," ")),'worker file'!$L$2:$L$406,"Not found")</f>
        <v>US Semi-monthly</v>
      </c>
      <c r="C1038" s="36" t="str">
        <f t="array" ref="C1038">_xlfn.XLOOKUP($A1038,TRIM(SUBSTITUTE('worker file'!$A$2:$A$406,_xlfn.UNICHAR(160)," ")),'worker file'!$D$2:$D$406,"Not found")</f>
        <v>IL</v>
      </c>
      <c r="D1038" s="36" t="str">
        <f t="array" ref="D1038">_xlfn.XLOOKUP($A1038,TRIM(SUBSTITUTE('worker file'!$A$2:$A$406,_xlfn.UNICHAR(160)," ")),'worker file'!$Q$2:$Q$406,"Not found")</f>
        <v>Active</v>
      </c>
      <c r="E1038" s="35" t="s">
        <v>626</v>
      </c>
      <c r="F1038" t="str">
        <f t="shared" si="123"/>
        <v>Medical (Health) – Employee</v>
      </c>
      <c r="G1038" t="str">
        <f t="shared" si="124"/>
        <v>Pre-tax Section 125 (exempt from FIT/SIT/FICA)</v>
      </c>
      <c r="H1038" t="str">
        <f t="shared" si="125"/>
        <v>Flat</v>
      </c>
      <c r="I1038" s="40" t="str">
        <f>IF($H1038="Percent",_xlfn.XLOOKUP($E1038,$A$5:$A$8,$F$5:$F$8,""),"")</f>
        <v/>
      </c>
      <c r="J1038" s="38">
        <f t="shared" si="126"/>
        <v>200</v>
      </c>
      <c r="K1038" t="str">
        <f t="shared" si="127"/>
        <v>Per pay period</v>
      </c>
      <c r="L1038" t="str">
        <f t="shared" si="128"/>
        <v>Every pay period (ongoing)</v>
      </c>
      <c r="M1038" s="39">
        <f t="array" ref="M1038">MAX(_xlfn.XLOOKUP($A1038,TRIM(SUBSTITUTE('worker file'!$A$2:$A$406,_xlfn.UNICHAR(160)," ")),'worker file'!$M$2:$M$406,0),_xlfn.XLOOKUP($B1038,TRIM('pay group &amp; schedule'!$A$2:$A$6),'pay group &amp; schedule'!$D$2:$D$6,0))</f>
        <v>46311</v>
      </c>
      <c r="N1038" s="39" t="str">
        <f t="array" ref="N1038">_xlfn.LET(_xlpm.t,_xlfn.XLOOKUP($A1038,TRIM(SUBSTITUTE('worker file'!$A$2:$A$406,_xlfn.UNICHAR(160)," ")),'worker file'!$N$2:$N$406,""),IF(N(_xlpm.t)=0,"",_xlpm.t))</f>
        <v/>
      </c>
    </row>
    <row r="1039" spans="1:14" x14ac:dyDescent="0.2">
      <c r="A1039" s="35" t="s">
        <v>451</v>
      </c>
      <c r="B1039" s="36" t="str">
        <f t="array" ref="B1039">_xlfn.XLOOKUP($A1039,TRIM(SUBSTITUTE('worker file'!$A$2:$A$406,_xlfn.UNICHAR(160)," ")),'worker file'!$L$2:$L$406,"Not found")</f>
        <v>US Semi-monthly</v>
      </c>
      <c r="C1039" s="36" t="str">
        <f t="array" ref="C1039">_xlfn.XLOOKUP($A1039,TRIM(SUBSTITUTE('worker file'!$A$2:$A$406,_xlfn.UNICHAR(160)," ")),'worker file'!$D$2:$D$406,"Not found")</f>
        <v>IL</v>
      </c>
      <c r="D1039" s="36" t="str">
        <f t="array" ref="D1039">_xlfn.XLOOKUP($A1039,TRIM(SUBSTITUTE('worker file'!$A$2:$A$406,_xlfn.UNICHAR(160)," ")),'worker file'!$Q$2:$Q$406,"Not found")</f>
        <v>Active</v>
      </c>
      <c r="E1039" s="35" t="s">
        <v>632</v>
      </c>
      <c r="F1039" t="str">
        <f t="shared" si="123"/>
        <v>Dental – Employee</v>
      </c>
      <c r="G1039" t="str">
        <f t="shared" si="124"/>
        <v>Pre-tax Section 125 (exempt from FIT/SIT/FICA)</v>
      </c>
      <c r="H1039" t="str">
        <f t="shared" si="125"/>
        <v>Flat</v>
      </c>
      <c r="I1039" s="40" t="str">
        <f>IF($H1039="Percent",_xlfn.XLOOKUP($E1039,$A$5:$A$8,$F$5:$F$8,""),"")</f>
        <v/>
      </c>
      <c r="J1039" s="38">
        <f t="shared" si="126"/>
        <v>44</v>
      </c>
      <c r="K1039" t="str">
        <f t="shared" si="127"/>
        <v>Per pay period</v>
      </c>
      <c r="L1039" t="str">
        <f t="shared" si="128"/>
        <v>Every pay period (ongoing)</v>
      </c>
      <c r="M1039" s="39">
        <f t="array" ref="M1039">MAX(_xlfn.XLOOKUP($A1039,TRIM(SUBSTITUTE('worker file'!$A$2:$A$406,_xlfn.UNICHAR(160)," ")),'worker file'!$M$2:$M$406,0),_xlfn.XLOOKUP($B1039,TRIM('pay group &amp; schedule'!$A$2:$A$6),'pay group &amp; schedule'!$D$2:$D$6,0))</f>
        <v>46311</v>
      </c>
      <c r="N1039" s="39" t="str">
        <f t="array" ref="N1039">_xlfn.LET(_xlpm.t,_xlfn.XLOOKUP($A1039,TRIM(SUBSTITUTE('worker file'!$A$2:$A$406,_xlfn.UNICHAR(160)," ")),'worker file'!$N$2:$N$406,""),IF(N(_xlpm.t)=0,"",_xlpm.t))</f>
        <v/>
      </c>
    </row>
    <row r="1040" spans="1:14" x14ac:dyDescent="0.2">
      <c r="A1040" s="35" t="s">
        <v>451</v>
      </c>
      <c r="B1040" s="36" t="str">
        <f t="array" ref="B1040">_xlfn.XLOOKUP($A1040,TRIM(SUBSTITUTE('worker file'!$A$2:$A$406,_xlfn.UNICHAR(160)," ")),'worker file'!$L$2:$L$406,"Not found")</f>
        <v>US Semi-monthly</v>
      </c>
      <c r="C1040" s="36" t="str">
        <f t="array" ref="C1040">_xlfn.XLOOKUP($A1040,TRIM(SUBSTITUTE('worker file'!$A$2:$A$406,_xlfn.UNICHAR(160)," ")),'worker file'!$D$2:$D$406,"Not found")</f>
        <v>IL</v>
      </c>
      <c r="D1040" s="36" t="str">
        <f t="array" ref="D1040">_xlfn.XLOOKUP($A1040,TRIM(SUBSTITUTE('worker file'!$A$2:$A$406,_xlfn.UNICHAR(160)," ")),'worker file'!$Q$2:$Q$406,"Not found")</f>
        <v>Active</v>
      </c>
      <c r="E1040" s="35" t="s">
        <v>634</v>
      </c>
      <c r="F1040" t="str">
        <f t="shared" si="123"/>
        <v>Vision – Employee</v>
      </c>
      <c r="G1040" t="str">
        <f t="shared" si="124"/>
        <v>Pre-tax Section 125 (exempt from FIT/SIT/FICA)</v>
      </c>
      <c r="H1040" t="str">
        <f t="shared" si="125"/>
        <v>Flat</v>
      </c>
      <c r="I1040" s="40" t="str">
        <f>IF($H1040="Percent",_xlfn.XLOOKUP($E1040,$A$5:$A$8,$F$5:$F$8,""),"")</f>
        <v/>
      </c>
      <c r="J1040" s="38">
        <f t="shared" si="126"/>
        <v>30</v>
      </c>
      <c r="K1040" t="str">
        <f t="shared" si="127"/>
        <v>Per pay period</v>
      </c>
      <c r="L1040" t="str">
        <f t="shared" si="128"/>
        <v>Every pay period (ongoing)</v>
      </c>
      <c r="M1040" s="39">
        <f t="array" ref="M1040">MAX(_xlfn.XLOOKUP($A1040,TRIM(SUBSTITUTE('worker file'!$A$2:$A$406,_xlfn.UNICHAR(160)," ")),'worker file'!$M$2:$M$406,0),_xlfn.XLOOKUP($B1040,TRIM('pay group &amp; schedule'!$A$2:$A$6),'pay group &amp; schedule'!$D$2:$D$6,0))</f>
        <v>46311</v>
      </c>
      <c r="N1040" s="39" t="str">
        <f t="array" ref="N1040">_xlfn.LET(_xlpm.t,_xlfn.XLOOKUP($A1040,TRIM(SUBSTITUTE('worker file'!$A$2:$A$406,_xlfn.UNICHAR(160)," ")),'worker file'!$N$2:$N$406,""),IF(N(_xlpm.t)=0,"",_xlpm.t))</f>
        <v/>
      </c>
    </row>
    <row r="1041" spans="1:14" x14ac:dyDescent="0.2">
      <c r="A1041" s="35" t="s">
        <v>452</v>
      </c>
      <c r="B1041" s="36" t="str">
        <f t="array" ref="B1041">_xlfn.XLOOKUP($A1041,TRIM(SUBSTITUTE('worker file'!$A$2:$A$406,_xlfn.UNICHAR(160)," ")),'worker file'!$L$2:$L$406,"Not found")</f>
        <v>US Biweekly</v>
      </c>
      <c r="C1041" s="36" t="str">
        <f t="array" ref="C1041">_xlfn.XLOOKUP($A1041,TRIM(SUBSTITUTE('worker file'!$A$2:$A$406,_xlfn.UNICHAR(160)," ")),'worker file'!$D$2:$D$406,"Not found")</f>
        <v>TX</v>
      </c>
      <c r="D1041" s="36" t="str">
        <f t="array" ref="D1041">_xlfn.XLOOKUP($A1041,TRIM(SUBSTITUTE('worker file'!$A$2:$A$406,_xlfn.UNICHAR(160)," ")),'worker file'!$Q$2:$Q$406,"Not found")</f>
        <v>Active</v>
      </c>
      <c r="E1041" s="35" t="s">
        <v>618</v>
      </c>
      <c r="F1041" t="str">
        <f t="shared" si="123"/>
        <v>401(k) Employee Deferral</v>
      </c>
      <c r="G1041" t="str">
        <f t="shared" si="124"/>
        <v>Pre-tax (exempt from FIT/SIT; subject to FICA)</v>
      </c>
      <c r="H1041" t="str">
        <f t="shared" si="125"/>
        <v>Percent</v>
      </c>
      <c r="I1041" s="37">
        <v>0.03</v>
      </c>
      <c r="J1041" s="38" t="str">
        <f t="shared" si="126"/>
        <v/>
      </c>
      <c r="K1041" t="str">
        <f t="shared" si="127"/>
        <v>Gross pay</v>
      </c>
      <c r="L1041" t="str">
        <f t="shared" si="128"/>
        <v>Every pay period (ongoing)</v>
      </c>
      <c r="M1041" s="39">
        <f t="array" ref="M1041">MAX(_xlfn.XLOOKUP($A1041,TRIM(SUBSTITUTE('worker file'!$A$2:$A$406,_xlfn.UNICHAR(160)," ")),'worker file'!$M$2:$M$406,0),_xlfn.XLOOKUP($B1041,TRIM('pay group &amp; schedule'!$A$2:$A$6),'pay group &amp; schedule'!$D$2:$D$6,0))</f>
        <v>46299</v>
      </c>
      <c r="N1041" s="39" t="str">
        <f t="array" ref="N1041">_xlfn.LET(_xlpm.t,_xlfn.XLOOKUP($A1041,TRIM(SUBSTITUTE('worker file'!$A$2:$A$406,_xlfn.UNICHAR(160)," ")),'worker file'!$N$2:$N$406,""),IF(N(_xlpm.t)=0,"",_xlpm.t))</f>
        <v/>
      </c>
    </row>
    <row r="1042" spans="1:14" x14ac:dyDescent="0.2">
      <c r="A1042" s="35" t="s">
        <v>452</v>
      </c>
      <c r="B1042" s="36" t="str">
        <f t="array" ref="B1042">_xlfn.XLOOKUP($A1042,TRIM(SUBSTITUTE('worker file'!$A$2:$A$406,_xlfn.UNICHAR(160)," ")),'worker file'!$L$2:$L$406,"Not found")</f>
        <v>US Biweekly</v>
      </c>
      <c r="C1042" s="36" t="str">
        <f t="array" ref="C1042">_xlfn.XLOOKUP($A1042,TRIM(SUBSTITUTE('worker file'!$A$2:$A$406,_xlfn.UNICHAR(160)," ")),'worker file'!$D$2:$D$406,"Not found")</f>
        <v>TX</v>
      </c>
      <c r="D1042" s="36" t="str">
        <f t="array" ref="D1042">_xlfn.XLOOKUP($A1042,TRIM(SUBSTITUTE('worker file'!$A$2:$A$406,_xlfn.UNICHAR(160)," ")),'worker file'!$Q$2:$Q$406,"Not found")</f>
        <v>Active</v>
      </c>
      <c r="E1042" s="35" t="s">
        <v>626</v>
      </c>
      <c r="F1042" t="str">
        <f t="shared" si="123"/>
        <v>Medical (Health) – Employee</v>
      </c>
      <c r="G1042" t="str">
        <f t="shared" si="124"/>
        <v>Pre-tax Section 125 (exempt from FIT/SIT/FICA)</v>
      </c>
      <c r="H1042" t="str">
        <f t="shared" si="125"/>
        <v>Flat</v>
      </c>
      <c r="I1042" s="40" t="str">
        <f>IF($H1042="Percent",_xlfn.XLOOKUP($E1042,$A$5:$A$8,$F$5:$F$8,""),"")</f>
        <v/>
      </c>
      <c r="J1042" s="38">
        <f t="shared" si="126"/>
        <v>200</v>
      </c>
      <c r="K1042" t="str">
        <f t="shared" si="127"/>
        <v>Per pay period</v>
      </c>
      <c r="L1042" t="str">
        <f t="shared" si="128"/>
        <v>Every pay period (ongoing)</v>
      </c>
      <c r="M1042" s="39">
        <f t="array" ref="M1042">MAX(_xlfn.XLOOKUP($A1042,TRIM(SUBSTITUTE('worker file'!$A$2:$A$406,_xlfn.UNICHAR(160)," ")),'worker file'!$M$2:$M$406,0),_xlfn.XLOOKUP($B1042,TRIM('pay group &amp; schedule'!$A$2:$A$6),'pay group &amp; schedule'!$D$2:$D$6,0))</f>
        <v>46299</v>
      </c>
      <c r="N1042" s="39" t="str">
        <f t="array" ref="N1042">_xlfn.LET(_xlpm.t,_xlfn.XLOOKUP($A1042,TRIM(SUBSTITUTE('worker file'!$A$2:$A$406,_xlfn.UNICHAR(160)," ")),'worker file'!$N$2:$N$406,""),IF(N(_xlpm.t)=0,"",_xlpm.t))</f>
        <v/>
      </c>
    </row>
    <row r="1043" spans="1:14" x14ac:dyDescent="0.2">
      <c r="A1043" s="35" t="s">
        <v>452</v>
      </c>
      <c r="B1043" s="36" t="str">
        <f t="array" ref="B1043">_xlfn.XLOOKUP($A1043,TRIM(SUBSTITUTE('worker file'!$A$2:$A$406,_xlfn.UNICHAR(160)," ")),'worker file'!$L$2:$L$406,"Not found")</f>
        <v>US Biweekly</v>
      </c>
      <c r="C1043" s="36" t="str">
        <f t="array" ref="C1043">_xlfn.XLOOKUP($A1043,TRIM(SUBSTITUTE('worker file'!$A$2:$A$406,_xlfn.UNICHAR(160)," ")),'worker file'!$D$2:$D$406,"Not found")</f>
        <v>TX</v>
      </c>
      <c r="D1043" s="36" t="str">
        <f t="array" ref="D1043">_xlfn.XLOOKUP($A1043,TRIM(SUBSTITUTE('worker file'!$A$2:$A$406,_xlfn.UNICHAR(160)," ")),'worker file'!$Q$2:$Q$406,"Not found")</f>
        <v>Active</v>
      </c>
      <c r="E1043" s="35" t="s">
        <v>632</v>
      </c>
      <c r="F1043" t="str">
        <f t="shared" si="123"/>
        <v>Dental – Employee</v>
      </c>
      <c r="G1043" t="str">
        <f t="shared" si="124"/>
        <v>Pre-tax Section 125 (exempt from FIT/SIT/FICA)</v>
      </c>
      <c r="H1043" t="str">
        <f t="shared" si="125"/>
        <v>Flat</v>
      </c>
      <c r="I1043" s="40" t="str">
        <f>IF($H1043="Percent",_xlfn.XLOOKUP($E1043,$A$5:$A$8,$F$5:$F$8,""),"")</f>
        <v/>
      </c>
      <c r="J1043" s="38">
        <f t="shared" si="126"/>
        <v>44</v>
      </c>
      <c r="K1043" t="str">
        <f t="shared" si="127"/>
        <v>Per pay period</v>
      </c>
      <c r="L1043" t="str">
        <f t="shared" si="128"/>
        <v>Every pay period (ongoing)</v>
      </c>
      <c r="M1043" s="39">
        <f t="array" ref="M1043">MAX(_xlfn.XLOOKUP($A1043,TRIM(SUBSTITUTE('worker file'!$A$2:$A$406,_xlfn.UNICHAR(160)," ")),'worker file'!$M$2:$M$406,0),_xlfn.XLOOKUP($B1043,TRIM('pay group &amp; schedule'!$A$2:$A$6),'pay group &amp; schedule'!$D$2:$D$6,0))</f>
        <v>46299</v>
      </c>
      <c r="N1043" s="39" t="str">
        <f t="array" ref="N1043">_xlfn.LET(_xlpm.t,_xlfn.XLOOKUP($A1043,TRIM(SUBSTITUTE('worker file'!$A$2:$A$406,_xlfn.UNICHAR(160)," ")),'worker file'!$N$2:$N$406,""),IF(N(_xlpm.t)=0,"",_xlpm.t))</f>
        <v/>
      </c>
    </row>
    <row r="1044" spans="1:14" x14ac:dyDescent="0.2">
      <c r="A1044" s="35" t="s">
        <v>452</v>
      </c>
      <c r="B1044" s="36" t="str">
        <f t="array" ref="B1044">_xlfn.XLOOKUP($A1044,TRIM(SUBSTITUTE('worker file'!$A$2:$A$406,_xlfn.UNICHAR(160)," ")),'worker file'!$L$2:$L$406,"Not found")</f>
        <v>US Biweekly</v>
      </c>
      <c r="C1044" s="36" t="str">
        <f t="array" ref="C1044">_xlfn.XLOOKUP($A1044,TRIM(SUBSTITUTE('worker file'!$A$2:$A$406,_xlfn.UNICHAR(160)," ")),'worker file'!$D$2:$D$406,"Not found")</f>
        <v>TX</v>
      </c>
      <c r="D1044" s="36" t="str">
        <f t="array" ref="D1044">_xlfn.XLOOKUP($A1044,TRIM(SUBSTITUTE('worker file'!$A$2:$A$406,_xlfn.UNICHAR(160)," ")),'worker file'!$Q$2:$Q$406,"Not found")</f>
        <v>Active</v>
      </c>
      <c r="E1044" s="35" t="s">
        <v>634</v>
      </c>
      <c r="F1044" t="str">
        <f t="shared" si="123"/>
        <v>Vision – Employee</v>
      </c>
      <c r="G1044" t="str">
        <f t="shared" si="124"/>
        <v>Pre-tax Section 125 (exempt from FIT/SIT/FICA)</v>
      </c>
      <c r="H1044" t="str">
        <f t="shared" si="125"/>
        <v>Flat</v>
      </c>
      <c r="I1044" s="40" t="str">
        <f>IF($H1044="Percent",_xlfn.XLOOKUP($E1044,$A$5:$A$8,$F$5:$F$8,""),"")</f>
        <v/>
      </c>
      <c r="J1044" s="38">
        <f t="shared" si="126"/>
        <v>30</v>
      </c>
      <c r="K1044" t="str">
        <f t="shared" si="127"/>
        <v>Per pay period</v>
      </c>
      <c r="L1044" t="str">
        <f t="shared" si="128"/>
        <v>Every pay period (ongoing)</v>
      </c>
      <c r="M1044" s="39">
        <f t="array" ref="M1044">MAX(_xlfn.XLOOKUP($A1044,TRIM(SUBSTITUTE('worker file'!$A$2:$A$406,_xlfn.UNICHAR(160)," ")),'worker file'!$M$2:$M$406,0),_xlfn.XLOOKUP($B1044,TRIM('pay group &amp; schedule'!$A$2:$A$6),'pay group &amp; schedule'!$D$2:$D$6,0))</f>
        <v>46299</v>
      </c>
      <c r="N1044" s="39" t="str">
        <f t="array" ref="N1044">_xlfn.LET(_xlpm.t,_xlfn.XLOOKUP($A1044,TRIM(SUBSTITUTE('worker file'!$A$2:$A$406,_xlfn.UNICHAR(160)," ")),'worker file'!$N$2:$N$406,""),IF(N(_xlpm.t)=0,"",_xlpm.t))</f>
        <v/>
      </c>
    </row>
    <row r="1045" spans="1:14" x14ac:dyDescent="0.2">
      <c r="A1045" s="35" t="s">
        <v>453</v>
      </c>
      <c r="B1045" s="36" t="str">
        <f t="array" ref="B1045">_xlfn.XLOOKUP($A1045,TRIM(SUBSTITUTE('worker file'!$A$2:$A$406,_xlfn.UNICHAR(160)," ")),'worker file'!$L$2:$L$406,"Not found")</f>
        <v>US Semi-monthly</v>
      </c>
      <c r="C1045" s="36" t="str">
        <f t="array" ref="C1045">_xlfn.XLOOKUP($A1045,TRIM(SUBSTITUTE('worker file'!$A$2:$A$406,_xlfn.UNICHAR(160)," ")),'worker file'!$D$2:$D$406,"Not found")</f>
        <v>WA</v>
      </c>
      <c r="D1045" s="36" t="str">
        <f t="array" ref="D1045">_xlfn.XLOOKUP($A1045,TRIM(SUBSTITUTE('worker file'!$A$2:$A$406,_xlfn.UNICHAR(160)," ")),'worker file'!$Q$2:$Q$406,"Not found")</f>
        <v>Active</v>
      </c>
      <c r="E1045" s="35" t="s">
        <v>618</v>
      </c>
      <c r="F1045" t="str">
        <f t="shared" si="123"/>
        <v>401(k) Employee Deferral</v>
      </c>
      <c r="G1045" t="str">
        <f t="shared" si="124"/>
        <v>Pre-tax (exempt from FIT/SIT; subject to FICA)</v>
      </c>
      <c r="H1045" t="str">
        <f t="shared" si="125"/>
        <v>Percent</v>
      </c>
      <c r="I1045" s="37">
        <v>0</v>
      </c>
      <c r="J1045" s="38" t="str">
        <f t="shared" si="126"/>
        <v/>
      </c>
      <c r="K1045" t="str">
        <f t="shared" si="127"/>
        <v>Gross pay</v>
      </c>
      <c r="L1045" t="str">
        <f t="shared" si="128"/>
        <v>Every pay period (ongoing)</v>
      </c>
      <c r="M1045" s="39">
        <f t="array" ref="M1045">MAX(_xlfn.XLOOKUP($A1045,TRIM(SUBSTITUTE('worker file'!$A$2:$A$406,_xlfn.UNICHAR(160)," ")),'worker file'!$M$2:$M$406,0),_xlfn.XLOOKUP($B1045,TRIM('pay group &amp; schedule'!$A$2:$A$6),'pay group &amp; schedule'!$D$2:$D$6,0))</f>
        <v>46311</v>
      </c>
      <c r="N1045" s="39" t="str">
        <f t="array" ref="N1045">_xlfn.LET(_xlpm.t,_xlfn.XLOOKUP($A1045,TRIM(SUBSTITUTE('worker file'!$A$2:$A$406,_xlfn.UNICHAR(160)," ")),'worker file'!$N$2:$N$406,""),IF(N(_xlpm.t)=0,"",_xlpm.t))</f>
        <v/>
      </c>
    </row>
    <row r="1046" spans="1:14" x14ac:dyDescent="0.2">
      <c r="A1046" s="35" t="s">
        <v>453</v>
      </c>
      <c r="B1046" s="36" t="str">
        <f t="array" ref="B1046">_xlfn.XLOOKUP($A1046,TRIM(SUBSTITUTE('worker file'!$A$2:$A$406,_xlfn.UNICHAR(160)," ")),'worker file'!$L$2:$L$406,"Not found")</f>
        <v>US Semi-monthly</v>
      </c>
      <c r="C1046" s="36" t="str">
        <f t="array" ref="C1046">_xlfn.XLOOKUP($A1046,TRIM(SUBSTITUTE('worker file'!$A$2:$A$406,_xlfn.UNICHAR(160)," ")),'worker file'!$D$2:$D$406,"Not found")</f>
        <v>WA</v>
      </c>
      <c r="D1046" s="36" t="str">
        <f t="array" ref="D1046">_xlfn.XLOOKUP($A1046,TRIM(SUBSTITUTE('worker file'!$A$2:$A$406,_xlfn.UNICHAR(160)," ")),'worker file'!$Q$2:$Q$406,"Not found")</f>
        <v>Active</v>
      </c>
      <c r="E1046" s="35" t="s">
        <v>626</v>
      </c>
      <c r="F1046" t="str">
        <f t="shared" si="123"/>
        <v>Medical (Health) – Employee</v>
      </c>
      <c r="G1046" t="str">
        <f t="shared" si="124"/>
        <v>Pre-tax Section 125 (exempt from FIT/SIT/FICA)</v>
      </c>
      <c r="H1046" t="str">
        <f t="shared" si="125"/>
        <v>Flat</v>
      </c>
      <c r="I1046" s="40" t="str">
        <f>IF($H1046="Percent",_xlfn.XLOOKUP($E1046,$A$5:$A$8,$F$5:$F$8,""),"")</f>
        <v/>
      </c>
      <c r="J1046" s="38">
        <f t="shared" si="126"/>
        <v>200</v>
      </c>
      <c r="K1046" t="str">
        <f t="shared" si="127"/>
        <v>Per pay period</v>
      </c>
      <c r="L1046" t="str">
        <f t="shared" si="128"/>
        <v>Every pay period (ongoing)</v>
      </c>
      <c r="M1046" s="39">
        <f t="array" ref="M1046">MAX(_xlfn.XLOOKUP($A1046,TRIM(SUBSTITUTE('worker file'!$A$2:$A$406,_xlfn.UNICHAR(160)," ")),'worker file'!$M$2:$M$406,0),_xlfn.XLOOKUP($B1046,TRIM('pay group &amp; schedule'!$A$2:$A$6),'pay group &amp; schedule'!$D$2:$D$6,0))</f>
        <v>46311</v>
      </c>
      <c r="N1046" s="39" t="str">
        <f t="array" ref="N1046">_xlfn.LET(_xlpm.t,_xlfn.XLOOKUP($A1046,TRIM(SUBSTITUTE('worker file'!$A$2:$A$406,_xlfn.UNICHAR(160)," ")),'worker file'!$N$2:$N$406,""),IF(N(_xlpm.t)=0,"",_xlpm.t))</f>
        <v/>
      </c>
    </row>
    <row r="1047" spans="1:14" x14ac:dyDescent="0.2">
      <c r="A1047" s="35" t="s">
        <v>453</v>
      </c>
      <c r="B1047" s="36" t="str">
        <f t="array" ref="B1047">_xlfn.XLOOKUP($A1047,TRIM(SUBSTITUTE('worker file'!$A$2:$A$406,_xlfn.UNICHAR(160)," ")),'worker file'!$L$2:$L$406,"Not found")</f>
        <v>US Semi-monthly</v>
      </c>
      <c r="C1047" s="36" t="str">
        <f t="array" ref="C1047">_xlfn.XLOOKUP($A1047,TRIM(SUBSTITUTE('worker file'!$A$2:$A$406,_xlfn.UNICHAR(160)," ")),'worker file'!$D$2:$D$406,"Not found")</f>
        <v>WA</v>
      </c>
      <c r="D1047" s="36" t="str">
        <f t="array" ref="D1047">_xlfn.XLOOKUP($A1047,TRIM(SUBSTITUTE('worker file'!$A$2:$A$406,_xlfn.UNICHAR(160)," ")),'worker file'!$Q$2:$Q$406,"Not found")</f>
        <v>Active</v>
      </c>
      <c r="E1047" s="35" t="s">
        <v>632</v>
      </c>
      <c r="F1047" t="str">
        <f t="shared" si="123"/>
        <v>Dental – Employee</v>
      </c>
      <c r="G1047" t="str">
        <f t="shared" si="124"/>
        <v>Pre-tax Section 125 (exempt from FIT/SIT/FICA)</v>
      </c>
      <c r="H1047" t="str">
        <f t="shared" si="125"/>
        <v>Flat</v>
      </c>
      <c r="I1047" s="40" t="str">
        <f>IF($H1047="Percent",_xlfn.XLOOKUP($E1047,$A$5:$A$8,$F$5:$F$8,""),"")</f>
        <v/>
      </c>
      <c r="J1047" s="38">
        <f t="shared" si="126"/>
        <v>44</v>
      </c>
      <c r="K1047" t="str">
        <f t="shared" si="127"/>
        <v>Per pay period</v>
      </c>
      <c r="L1047" t="str">
        <f t="shared" si="128"/>
        <v>Every pay period (ongoing)</v>
      </c>
      <c r="M1047" s="39">
        <f t="array" ref="M1047">MAX(_xlfn.XLOOKUP($A1047,TRIM(SUBSTITUTE('worker file'!$A$2:$A$406,_xlfn.UNICHAR(160)," ")),'worker file'!$M$2:$M$406,0),_xlfn.XLOOKUP($B1047,TRIM('pay group &amp; schedule'!$A$2:$A$6),'pay group &amp; schedule'!$D$2:$D$6,0))</f>
        <v>46311</v>
      </c>
      <c r="N1047" s="39" t="str">
        <f t="array" ref="N1047">_xlfn.LET(_xlpm.t,_xlfn.XLOOKUP($A1047,TRIM(SUBSTITUTE('worker file'!$A$2:$A$406,_xlfn.UNICHAR(160)," ")),'worker file'!$N$2:$N$406,""),IF(N(_xlpm.t)=0,"",_xlpm.t))</f>
        <v/>
      </c>
    </row>
    <row r="1048" spans="1:14" x14ac:dyDescent="0.2">
      <c r="A1048" s="35" t="s">
        <v>453</v>
      </c>
      <c r="B1048" s="36" t="str">
        <f t="array" ref="B1048">_xlfn.XLOOKUP($A1048,TRIM(SUBSTITUTE('worker file'!$A$2:$A$406,_xlfn.UNICHAR(160)," ")),'worker file'!$L$2:$L$406,"Not found")</f>
        <v>US Semi-monthly</v>
      </c>
      <c r="C1048" s="36" t="str">
        <f t="array" ref="C1048">_xlfn.XLOOKUP($A1048,TRIM(SUBSTITUTE('worker file'!$A$2:$A$406,_xlfn.UNICHAR(160)," ")),'worker file'!$D$2:$D$406,"Not found")</f>
        <v>WA</v>
      </c>
      <c r="D1048" s="36" t="str">
        <f t="array" ref="D1048">_xlfn.XLOOKUP($A1048,TRIM(SUBSTITUTE('worker file'!$A$2:$A$406,_xlfn.UNICHAR(160)," ")),'worker file'!$Q$2:$Q$406,"Not found")</f>
        <v>Active</v>
      </c>
      <c r="E1048" s="35" t="s">
        <v>634</v>
      </c>
      <c r="F1048" t="str">
        <f t="shared" si="123"/>
        <v>Vision – Employee</v>
      </c>
      <c r="G1048" t="str">
        <f t="shared" si="124"/>
        <v>Pre-tax Section 125 (exempt from FIT/SIT/FICA)</v>
      </c>
      <c r="H1048" t="str">
        <f t="shared" si="125"/>
        <v>Flat</v>
      </c>
      <c r="I1048" s="40" t="str">
        <f>IF($H1048="Percent",_xlfn.XLOOKUP($E1048,$A$5:$A$8,$F$5:$F$8,""),"")</f>
        <v/>
      </c>
      <c r="J1048" s="38">
        <f t="shared" si="126"/>
        <v>30</v>
      </c>
      <c r="K1048" t="str">
        <f t="shared" si="127"/>
        <v>Per pay period</v>
      </c>
      <c r="L1048" t="str">
        <f t="shared" si="128"/>
        <v>Every pay period (ongoing)</v>
      </c>
      <c r="M1048" s="39">
        <f t="array" ref="M1048">MAX(_xlfn.XLOOKUP($A1048,TRIM(SUBSTITUTE('worker file'!$A$2:$A$406,_xlfn.UNICHAR(160)," ")),'worker file'!$M$2:$M$406,0),_xlfn.XLOOKUP($B1048,TRIM('pay group &amp; schedule'!$A$2:$A$6),'pay group &amp; schedule'!$D$2:$D$6,0))</f>
        <v>46311</v>
      </c>
      <c r="N1048" s="39" t="str">
        <f t="array" ref="N1048">_xlfn.LET(_xlpm.t,_xlfn.XLOOKUP($A1048,TRIM(SUBSTITUTE('worker file'!$A$2:$A$406,_xlfn.UNICHAR(160)," ")),'worker file'!$N$2:$N$406,""),IF(N(_xlpm.t)=0,"",_xlpm.t))</f>
        <v/>
      </c>
    </row>
    <row r="1049" spans="1:14" x14ac:dyDescent="0.2">
      <c r="A1049" s="35" t="s">
        <v>454</v>
      </c>
      <c r="B1049" s="36" t="str">
        <f t="array" ref="B1049">_xlfn.XLOOKUP($A1049,TRIM(SUBSTITUTE('worker file'!$A$2:$A$406,_xlfn.UNICHAR(160)," ")),'worker file'!$L$2:$L$406,"Not found")</f>
        <v>US Semi-monthly</v>
      </c>
      <c r="C1049" s="36" t="str">
        <f t="array" ref="C1049">_xlfn.XLOOKUP($A1049,TRIM(SUBSTITUTE('worker file'!$A$2:$A$406,_xlfn.UNICHAR(160)," ")),'worker file'!$D$2:$D$406,"Not found")</f>
        <v>CA</v>
      </c>
      <c r="D1049" s="36" t="str">
        <f t="array" ref="D1049">_xlfn.XLOOKUP($A1049,TRIM(SUBSTITUTE('worker file'!$A$2:$A$406,_xlfn.UNICHAR(160)," ")),'worker file'!$Q$2:$Q$406,"Not found")</f>
        <v>Active</v>
      </c>
      <c r="E1049" s="35" t="s">
        <v>618</v>
      </c>
      <c r="F1049" t="str">
        <f t="shared" si="123"/>
        <v>401(k) Employee Deferral</v>
      </c>
      <c r="G1049" t="str">
        <f t="shared" si="124"/>
        <v>Pre-tax (exempt from FIT/SIT; subject to FICA)</v>
      </c>
      <c r="H1049" t="str">
        <f t="shared" si="125"/>
        <v>Percent</v>
      </c>
      <c r="I1049" s="37">
        <v>0.05</v>
      </c>
      <c r="J1049" s="38" t="str">
        <f t="shared" si="126"/>
        <v/>
      </c>
      <c r="K1049" t="str">
        <f t="shared" si="127"/>
        <v>Gross pay</v>
      </c>
      <c r="L1049" t="str">
        <f t="shared" si="128"/>
        <v>Every pay period (ongoing)</v>
      </c>
      <c r="M1049" s="39">
        <f t="array" ref="M1049">MAX(_xlfn.XLOOKUP($A1049,TRIM(SUBSTITUTE('worker file'!$A$2:$A$406,_xlfn.UNICHAR(160)," ")),'worker file'!$M$2:$M$406,0),_xlfn.XLOOKUP($B1049,TRIM('pay group &amp; schedule'!$A$2:$A$6),'pay group &amp; schedule'!$D$2:$D$6,0))</f>
        <v>46311</v>
      </c>
      <c r="N1049" s="39" t="str">
        <f t="array" ref="N1049">_xlfn.LET(_xlpm.t,_xlfn.XLOOKUP($A1049,TRIM(SUBSTITUTE('worker file'!$A$2:$A$406,_xlfn.UNICHAR(160)," ")),'worker file'!$N$2:$N$406,""),IF(N(_xlpm.t)=0,"",_xlpm.t))</f>
        <v/>
      </c>
    </row>
    <row r="1050" spans="1:14" x14ac:dyDescent="0.2">
      <c r="A1050" s="35" t="s">
        <v>454</v>
      </c>
      <c r="B1050" s="36" t="str">
        <f t="array" ref="B1050">_xlfn.XLOOKUP($A1050,TRIM(SUBSTITUTE('worker file'!$A$2:$A$406,_xlfn.UNICHAR(160)," ")),'worker file'!$L$2:$L$406,"Not found")</f>
        <v>US Semi-monthly</v>
      </c>
      <c r="C1050" s="36" t="str">
        <f t="array" ref="C1050">_xlfn.XLOOKUP($A1050,TRIM(SUBSTITUTE('worker file'!$A$2:$A$406,_xlfn.UNICHAR(160)," ")),'worker file'!$D$2:$D$406,"Not found")</f>
        <v>CA</v>
      </c>
      <c r="D1050" s="36" t="str">
        <f t="array" ref="D1050">_xlfn.XLOOKUP($A1050,TRIM(SUBSTITUTE('worker file'!$A$2:$A$406,_xlfn.UNICHAR(160)," ")),'worker file'!$Q$2:$Q$406,"Not found")</f>
        <v>Active</v>
      </c>
      <c r="E1050" s="35" t="s">
        <v>626</v>
      </c>
      <c r="F1050" t="str">
        <f t="shared" si="123"/>
        <v>Medical (Health) – Employee</v>
      </c>
      <c r="G1050" t="str">
        <f t="shared" si="124"/>
        <v>Pre-tax Section 125 (exempt from FIT/SIT/FICA)</v>
      </c>
      <c r="H1050" t="str">
        <f t="shared" si="125"/>
        <v>Flat</v>
      </c>
      <c r="I1050" s="40" t="str">
        <f>IF($H1050="Percent",_xlfn.XLOOKUP($E1050,$A$5:$A$8,$F$5:$F$8,""),"")</f>
        <v/>
      </c>
      <c r="J1050" s="38">
        <f t="shared" si="126"/>
        <v>200</v>
      </c>
      <c r="K1050" t="str">
        <f t="shared" si="127"/>
        <v>Per pay period</v>
      </c>
      <c r="L1050" t="str">
        <f t="shared" si="128"/>
        <v>Every pay period (ongoing)</v>
      </c>
      <c r="M1050" s="39">
        <f t="array" ref="M1050">MAX(_xlfn.XLOOKUP($A1050,TRIM(SUBSTITUTE('worker file'!$A$2:$A$406,_xlfn.UNICHAR(160)," ")),'worker file'!$M$2:$M$406,0),_xlfn.XLOOKUP($B1050,TRIM('pay group &amp; schedule'!$A$2:$A$6),'pay group &amp; schedule'!$D$2:$D$6,0))</f>
        <v>46311</v>
      </c>
      <c r="N1050" s="39" t="str">
        <f t="array" ref="N1050">_xlfn.LET(_xlpm.t,_xlfn.XLOOKUP($A1050,TRIM(SUBSTITUTE('worker file'!$A$2:$A$406,_xlfn.UNICHAR(160)," ")),'worker file'!$N$2:$N$406,""),IF(N(_xlpm.t)=0,"",_xlpm.t))</f>
        <v/>
      </c>
    </row>
    <row r="1051" spans="1:14" x14ac:dyDescent="0.2">
      <c r="A1051" s="35" t="s">
        <v>454</v>
      </c>
      <c r="B1051" s="36" t="str">
        <f t="array" ref="B1051">_xlfn.XLOOKUP($A1051,TRIM(SUBSTITUTE('worker file'!$A$2:$A$406,_xlfn.UNICHAR(160)," ")),'worker file'!$L$2:$L$406,"Not found")</f>
        <v>US Semi-monthly</v>
      </c>
      <c r="C1051" s="36" t="str">
        <f t="array" ref="C1051">_xlfn.XLOOKUP($A1051,TRIM(SUBSTITUTE('worker file'!$A$2:$A$406,_xlfn.UNICHAR(160)," ")),'worker file'!$D$2:$D$406,"Not found")</f>
        <v>CA</v>
      </c>
      <c r="D1051" s="36" t="str">
        <f t="array" ref="D1051">_xlfn.XLOOKUP($A1051,TRIM(SUBSTITUTE('worker file'!$A$2:$A$406,_xlfn.UNICHAR(160)," ")),'worker file'!$Q$2:$Q$406,"Not found")</f>
        <v>Active</v>
      </c>
      <c r="E1051" s="35" t="s">
        <v>632</v>
      </c>
      <c r="F1051" t="str">
        <f t="shared" si="123"/>
        <v>Dental – Employee</v>
      </c>
      <c r="G1051" t="str">
        <f t="shared" si="124"/>
        <v>Pre-tax Section 125 (exempt from FIT/SIT/FICA)</v>
      </c>
      <c r="H1051" t="str">
        <f t="shared" si="125"/>
        <v>Flat</v>
      </c>
      <c r="I1051" s="40" t="str">
        <f>IF($H1051="Percent",_xlfn.XLOOKUP($E1051,$A$5:$A$8,$F$5:$F$8,""),"")</f>
        <v/>
      </c>
      <c r="J1051" s="38">
        <f t="shared" si="126"/>
        <v>44</v>
      </c>
      <c r="K1051" t="str">
        <f t="shared" si="127"/>
        <v>Per pay period</v>
      </c>
      <c r="L1051" t="str">
        <f t="shared" si="128"/>
        <v>Every pay period (ongoing)</v>
      </c>
      <c r="M1051" s="39">
        <f t="array" ref="M1051">MAX(_xlfn.XLOOKUP($A1051,TRIM(SUBSTITUTE('worker file'!$A$2:$A$406,_xlfn.UNICHAR(160)," ")),'worker file'!$M$2:$M$406,0),_xlfn.XLOOKUP($B1051,TRIM('pay group &amp; schedule'!$A$2:$A$6),'pay group &amp; schedule'!$D$2:$D$6,0))</f>
        <v>46311</v>
      </c>
      <c r="N1051" s="39" t="str">
        <f t="array" ref="N1051">_xlfn.LET(_xlpm.t,_xlfn.XLOOKUP($A1051,TRIM(SUBSTITUTE('worker file'!$A$2:$A$406,_xlfn.UNICHAR(160)," ")),'worker file'!$N$2:$N$406,""),IF(N(_xlpm.t)=0,"",_xlpm.t))</f>
        <v/>
      </c>
    </row>
    <row r="1052" spans="1:14" x14ac:dyDescent="0.2">
      <c r="A1052" s="35" t="s">
        <v>454</v>
      </c>
      <c r="B1052" s="36" t="str">
        <f t="array" ref="B1052">_xlfn.XLOOKUP($A1052,TRIM(SUBSTITUTE('worker file'!$A$2:$A$406,_xlfn.UNICHAR(160)," ")),'worker file'!$L$2:$L$406,"Not found")</f>
        <v>US Semi-monthly</v>
      </c>
      <c r="C1052" s="36" t="str">
        <f t="array" ref="C1052">_xlfn.XLOOKUP($A1052,TRIM(SUBSTITUTE('worker file'!$A$2:$A$406,_xlfn.UNICHAR(160)," ")),'worker file'!$D$2:$D$406,"Not found")</f>
        <v>CA</v>
      </c>
      <c r="D1052" s="36" t="str">
        <f t="array" ref="D1052">_xlfn.XLOOKUP($A1052,TRIM(SUBSTITUTE('worker file'!$A$2:$A$406,_xlfn.UNICHAR(160)," ")),'worker file'!$Q$2:$Q$406,"Not found")</f>
        <v>Active</v>
      </c>
      <c r="E1052" s="35" t="s">
        <v>634</v>
      </c>
      <c r="F1052" t="str">
        <f t="shared" si="123"/>
        <v>Vision – Employee</v>
      </c>
      <c r="G1052" t="str">
        <f t="shared" si="124"/>
        <v>Pre-tax Section 125 (exempt from FIT/SIT/FICA)</v>
      </c>
      <c r="H1052" t="str">
        <f t="shared" si="125"/>
        <v>Flat</v>
      </c>
      <c r="I1052" s="40" t="str">
        <f>IF($H1052="Percent",_xlfn.XLOOKUP($E1052,$A$5:$A$8,$F$5:$F$8,""),"")</f>
        <v/>
      </c>
      <c r="J1052" s="38">
        <f t="shared" si="126"/>
        <v>30</v>
      </c>
      <c r="K1052" t="str">
        <f t="shared" si="127"/>
        <v>Per pay period</v>
      </c>
      <c r="L1052" t="str">
        <f t="shared" si="128"/>
        <v>Every pay period (ongoing)</v>
      </c>
      <c r="M1052" s="39">
        <f t="array" ref="M1052">MAX(_xlfn.XLOOKUP($A1052,TRIM(SUBSTITUTE('worker file'!$A$2:$A$406,_xlfn.UNICHAR(160)," ")),'worker file'!$M$2:$M$406,0),_xlfn.XLOOKUP($B1052,TRIM('pay group &amp; schedule'!$A$2:$A$6),'pay group &amp; schedule'!$D$2:$D$6,0))</f>
        <v>46311</v>
      </c>
      <c r="N1052" s="39" t="str">
        <f t="array" ref="N1052">_xlfn.LET(_xlpm.t,_xlfn.XLOOKUP($A1052,TRIM(SUBSTITUTE('worker file'!$A$2:$A$406,_xlfn.UNICHAR(160)," ")),'worker file'!$N$2:$N$406,""),IF(N(_xlpm.t)=0,"",_xlpm.t))</f>
        <v/>
      </c>
    </row>
    <row r="1053" spans="1:14" x14ac:dyDescent="0.2">
      <c r="A1053" s="35" t="s">
        <v>455</v>
      </c>
      <c r="B1053" s="36" t="str">
        <f t="array" ref="B1053">_xlfn.XLOOKUP($A1053,TRIM(SUBSTITUTE('worker file'!$A$2:$A$406,_xlfn.UNICHAR(160)," ")),'worker file'!$L$2:$L$406,"Not found")</f>
        <v>US Semi-monthly</v>
      </c>
      <c r="C1053" s="36" t="str">
        <f t="array" ref="C1053">_xlfn.XLOOKUP($A1053,TRIM(SUBSTITUTE('worker file'!$A$2:$A$406,_xlfn.UNICHAR(160)," ")),'worker file'!$D$2:$D$406,"Not found")</f>
        <v>CA</v>
      </c>
      <c r="D1053" s="36" t="str">
        <f t="array" ref="D1053">_xlfn.XLOOKUP($A1053,TRIM(SUBSTITUTE('worker file'!$A$2:$A$406,_xlfn.UNICHAR(160)," ")),'worker file'!$Q$2:$Q$406,"Not found")</f>
        <v>Active</v>
      </c>
      <c r="E1053" s="35" t="s">
        <v>618</v>
      </c>
      <c r="F1053" t="str">
        <f t="shared" si="123"/>
        <v>401(k) Employee Deferral</v>
      </c>
      <c r="G1053" t="str">
        <f t="shared" si="124"/>
        <v>Pre-tax (exempt from FIT/SIT; subject to FICA)</v>
      </c>
      <c r="H1053" t="str">
        <f t="shared" si="125"/>
        <v>Percent</v>
      </c>
      <c r="I1053" s="37">
        <v>0.02</v>
      </c>
      <c r="J1053" s="38" t="str">
        <f t="shared" si="126"/>
        <v/>
      </c>
      <c r="K1053" t="str">
        <f t="shared" si="127"/>
        <v>Gross pay</v>
      </c>
      <c r="L1053" t="str">
        <f t="shared" si="128"/>
        <v>Every pay period (ongoing)</v>
      </c>
      <c r="M1053" s="39">
        <f t="array" ref="M1053">MAX(_xlfn.XLOOKUP($A1053,TRIM(SUBSTITUTE('worker file'!$A$2:$A$406,_xlfn.UNICHAR(160)," ")),'worker file'!$M$2:$M$406,0),_xlfn.XLOOKUP($B1053,TRIM('pay group &amp; schedule'!$A$2:$A$6),'pay group &amp; schedule'!$D$2:$D$6,0))</f>
        <v>46311</v>
      </c>
      <c r="N1053" s="39" t="str">
        <f t="array" ref="N1053">_xlfn.LET(_xlpm.t,_xlfn.XLOOKUP($A1053,TRIM(SUBSTITUTE('worker file'!$A$2:$A$406,_xlfn.UNICHAR(160)," ")),'worker file'!$N$2:$N$406,""),IF(N(_xlpm.t)=0,"",_xlpm.t))</f>
        <v/>
      </c>
    </row>
    <row r="1054" spans="1:14" x14ac:dyDescent="0.2">
      <c r="A1054" s="35" t="s">
        <v>455</v>
      </c>
      <c r="B1054" s="36" t="str">
        <f t="array" ref="B1054">_xlfn.XLOOKUP($A1054,TRIM(SUBSTITUTE('worker file'!$A$2:$A$406,_xlfn.UNICHAR(160)," ")),'worker file'!$L$2:$L$406,"Not found")</f>
        <v>US Semi-monthly</v>
      </c>
      <c r="C1054" s="36" t="str">
        <f t="array" ref="C1054">_xlfn.XLOOKUP($A1054,TRIM(SUBSTITUTE('worker file'!$A$2:$A$406,_xlfn.UNICHAR(160)," ")),'worker file'!$D$2:$D$406,"Not found")</f>
        <v>CA</v>
      </c>
      <c r="D1054" s="36" t="str">
        <f t="array" ref="D1054">_xlfn.XLOOKUP($A1054,TRIM(SUBSTITUTE('worker file'!$A$2:$A$406,_xlfn.UNICHAR(160)," ")),'worker file'!$Q$2:$Q$406,"Not found")</f>
        <v>Active</v>
      </c>
      <c r="E1054" s="35" t="s">
        <v>626</v>
      </c>
      <c r="F1054" t="str">
        <f t="shared" si="123"/>
        <v>Medical (Health) – Employee</v>
      </c>
      <c r="G1054" t="str">
        <f t="shared" si="124"/>
        <v>Pre-tax Section 125 (exempt from FIT/SIT/FICA)</v>
      </c>
      <c r="H1054" t="str">
        <f t="shared" si="125"/>
        <v>Flat</v>
      </c>
      <c r="I1054" s="40" t="str">
        <f>IF($H1054="Percent",_xlfn.XLOOKUP($E1054,$A$5:$A$8,$F$5:$F$8,""),"")</f>
        <v/>
      </c>
      <c r="J1054" s="38">
        <f t="shared" si="126"/>
        <v>200</v>
      </c>
      <c r="K1054" t="str">
        <f t="shared" si="127"/>
        <v>Per pay period</v>
      </c>
      <c r="L1054" t="str">
        <f t="shared" si="128"/>
        <v>Every pay period (ongoing)</v>
      </c>
      <c r="M1054" s="39">
        <f t="array" ref="M1054">MAX(_xlfn.XLOOKUP($A1054,TRIM(SUBSTITUTE('worker file'!$A$2:$A$406,_xlfn.UNICHAR(160)," ")),'worker file'!$M$2:$M$406,0),_xlfn.XLOOKUP($B1054,TRIM('pay group &amp; schedule'!$A$2:$A$6),'pay group &amp; schedule'!$D$2:$D$6,0))</f>
        <v>46311</v>
      </c>
      <c r="N1054" s="39" t="str">
        <f t="array" ref="N1054">_xlfn.LET(_xlpm.t,_xlfn.XLOOKUP($A1054,TRIM(SUBSTITUTE('worker file'!$A$2:$A$406,_xlfn.UNICHAR(160)," ")),'worker file'!$N$2:$N$406,""),IF(N(_xlpm.t)=0,"",_xlpm.t))</f>
        <v/>
      </c>
    </row>
    <row r="1055" spans="1:14" x14ac:dyDescent="0.2">
      <c r="A1055" s="35" t="s">
        <v>455</v>
      </c>
      <c r="B1055" s="36" t="str">
        <f t="array" ref="B1055">_xlfn.XLOOKUP($A1055,TRIM(SUBSTITUTE('worker file'!$A$2:$A$406,_xlfn.UNICHAR(160)," ")),'worker file'!$L$2:$L$406,"Not found")</f>
        <v>US Semi-monthly</v>
      </c>
      <c r="C1055" s="36" t="str">
        <f t="array" ref="C1055">_xlfn.XLOOKUP($A1055,TRIM(SUBSTITUTE('worker file'!$A$2:$A$406,_xlfn.UNICHAR(160)," ")),'worker file'!$D$2:$D$406,"Not found")</f>
        <v>CA</v>
      </c>
      <c r="D1055" s="36" t="str">
        <f t="array" ref="D1055">_xlfn.XLOOKUP($A1055,TRIM(SUBSTITUTE('worker file'!$A$2:$A$406,_xlfn.UNICHAR(160)," ")),'worker file'!$Q$2:$Q$406,"Not found")</f>
        <v>Active</v>
      </c>
      <c r="E1055" s="35" t="s">
        <v>632</v>
      </c>
      <c r="F1055" t="str">
        <f t="shared" si="123"/>
        <v>Dental – Employee</v>
      </c>
      <c r="G1055" t="str">
        <f t="shared" si="124"/>
        <v>Pre-tax Section 125 (exempt from FIT/SIT/FICA)</v>
      </c>
      <c r="H1055" t="str">
        <f t="shared" si="125"/>
        <v>Flat</v>
      </c>
      <c r="I1055" s="40" t="str">
        <f>IF($H1055="Percent",_xlfn.XLOOKUP($E1055,$A$5:$A$8,$F$5:$F$8,""),"")</f>
        <v/>
      </c>
      <c r="J1055" s="38">
        <f t="shared" si="126"/>
        <v>44</v>
      </c>
      <c r="K1055" t="str">
        <f t="shared" si="127"/>
        <v>Per pay period</v>
      </c>
      <c r="L1055" t="str">
        <f t="shared" si="128"/>
        <v>Every pay period (ongoing)</v>
      </c>
      <c r="M1055" s="39">
        <f t="array" ref="M1055">MAX(_xlfn.XLOOKUP($A1055,TRIM(SUBSTITUTE('worker file'!$A$2:$A$406,_xlfn.UNICHAR(160)," ")),'worker file'!$M$2:$M$406,0),_xlfn.XLOOKUP($B1055,TRIM('pay group &amp; schedule'!$A$2:$A$6),'pay group &amp; schedule'!$D$2:$D$6,0))</f>
        <v>46311</v>
      </c>
      <c r="N1055" s="39" t="str">
        <f t="array" ref="N1055">_xlfn.LET(_xlpm.t,_xlfn.XLOOKUP($A1055,TRIM(SUBSTITUTE('worker file'!$A$2:$A$406,_xlfn.UNICHAR(160)," ")),'worker file'!$N$2:$N$406,""),IF(N(_xlpm.t)=0,"",_xlpm.t))</f>
        <v/>
      </c>
    </row>
    <row r="1056" spans="1:14" x14ac:dyDescent="0.2">
      <c r="A1056" s="35" t="s">
        <v>455</v>
      </c>
      <c r="B1056" s="36" t="str">
        <f t="array" ref="B1056">_xlfn.XLOOKUP($A1056,TRIM(SUBSTITUTE('worker file'!$A$2:$A$406,_xlfn.UNICHAR(160)," ")),'worker file'!$L$2:$L$406,"Not found")</f>
        <v>US Semi-monthly</v>
      </c>
      <c r="C1056" s="36" t="str">
        <f t="array" ref="C1056">_xlfn.XLOOKUP($A1056,TRIM(SUBSTITUTE('worker file'!$A$2:$A$406,_xlfn.UNICHAR(160)," ")),'worker file'!$D$2:$D$406,"Not found")</f>
        <v>CA</v>
      </c>
      <c r="D1056" s="36" t="str">
        <f t="array" ref="D1056">_xlfn.XLOOKUP($A1056,TRIM(SUBSTITUTE('worker file'!$A$2:$A$406,_xlfn.UNICHAR(160)," ")),'worker file'!$Q$2:$Q$406,"Not found")</f>
        <v>Active</v>
      </c>
      <c r="E1056" s="35" t="s">
        <v>634</v>
      </c>
      <c r="F1056" t="str">
        <f t="shared" si="123"/>
        <v>Vision – Employee</v>
      </c>
      <c r="G1056" t="str">
        <f t="shared" si="124"/>
        <v>Pre-tax Section 125 (exempt from FIT/SIT/FICA)</v>
      </c>
      <c r="H1056" t="str">
        <f t="shared" si="125"/>
        <v>Flat</v>
      </c>
      <c r="I1056" s="40" t="str">
        <f>IF($H1056="Percent",_xlfn.XLOOKUP($E1056,$A$5:$A$8,$F$5:$F$8,""),"")</f>
        <v/>
      </c>
      <c r="J1056" s="38">
        <f t="shared" si="126"/>
        <v>30</v>
      </c>
      <c r="K1056" t="str">
        <f t="shared" si="127"/>
        <v>Per pay period</v>
      </c>
      <c r="L1056" t="str">
        <f t="shared" si="128"/>
        <v>Every pay period (ongoing)</v>
      </c>
      <c r="M1056" s="39">
        <f t="array" ref="M1056">MAX(_xlfn.XLOOKUP($A1056,TRIM(SUBSTITUTE('worker file'!$A$2:$A$406,_xlfn.UNICHAR(160)," ")),'worker file'!$M$2:$M$406,0),_xlfn.XLOOKUP($B1056,TRIM('pay group &amp; schedule'!$A$2:$A$6),'pay group &amp; schedule'!$D$2:$D$6,0))</f>
        <v>46311</v>
      </c>
      <c r="N1056" s="39" t="str">
        <f t="array" ref="N1056">_xlfn.LET(_xlpm.t,_xlfn.XLOOKUP($A1056,TRIM(SUBSTITUTE('worker file'!$A$2:$A$406,_xlfn.UNICHAR(160)," ")),'worker file'!$N$2:$N$406,""),IF(N(_xlpm.t)=0,"",_xlpm.t))</f>
        <v/>
      </c>
    </row>
    <row r="1057" spans="1:14" x14ac:dyDescent="0.2">
      <c r="A1057" s="35" t="s">
        <v>456</v>
      </c>
      <c r="B1057" s="36" t="str">
        <f t="array" ref="B1057">_xlfn.XLOOKUP($A1057,TRIM(SUBSTITUTE('worker file'!$A$2:$A$406,_xlfn.UNICHAR(160)," ")),'worker file'!$L$2:$L$406,"Not found")</f>
        <v>US Semi-monthly</v>
      </c>
      <c r="C1057" s="36" t="str">
        <f t="array" ref="C1057">_xlfn.XLOOKUP($A1057,TRIM(SUBSTITUTE('worker file'!$A$2:$A$406,_xlfn.UNICHAR(160)," ")),'worker file'!$D$2:$D$406,"Not found")</f>
        <v>CA</v>
      </c>
      <c r="D1057" s="36" t="str">
        <f t="array" ref="D1057">_xlfn.XLOOKUP($A1057,TRIM(SUBSTITUTE('worker file'!$A$2:$A$406,_xlfn.UNICHAR(160)," ")),'worker file'!$Q$2:$Q$406,"Not found")</f>
        <v>Active</v>
      </c>
      <c r="E1057" s="35" t="s">
        <v>618</v>
      </c>
      <c r="F1057" t="str">
        <f t="shared" si="123"/>
        <v>401(k) Employee Deferral</v>
      </c>
      <c r="G1057" t="str">
        <f t="shared" si="124"/>
        <v>Pre-tax (exempt from FIT/SIT; subject to FICA)</v>
      </c>
      <c r="H1057" t="str">
        <f t="shared" si="125"/>
        <v>Percent</v>
      </c>
      <c r="I1057" s="37">
        <v>7.0000000000000007E-2</v>
      </c>
      <c r="J1057" s="38" t="str">
        <f t="shared" si="126"/>
        <v/>
      </c>
      <c r="K1057" t="str">
        <f t="shared" si="127"/>
        <v>Gross pay</v>
      </c>
      <c r="L1057" t="str">
        <f t="shared" si="128"/>
        <v>Every pay period (ongoing)</v>
      </c>
      <c r="M1057" s="39">
        <f t="array" ref="M1057">MAX(_xlfn.XLOOKUP($A1057,TRIM(SUBSTITUTE('worker file'!$A$2:$A$406,_xlfn.UNICHAR(160)," ")),'worker file'!$M$2:$M$406,0),_xlfn.XLOOKUP($B1057,TRIM('pay group &amp; schedule'!$A$2:$A$6),'pay group &amp; schedule'!$D$2:$D$6,0))</f>
        <v>46311</v>
      </c>
      <c r="N1057" s="39" t="str">
        <f t="array" ref="N1057">_xlfn.LET(_xlpm.t,_xlfn.XLOOKUP($A1057,TRIM(SUBSTITUTE('worker file'!$A$2:$A$406,_xlfn.UNICHAR(160)," ")),'worker file'!$N$2:$N$406,""),IF(N(_xlpm.t)=0,"",_xlpm.t))</f>
        <v/>
      </c>
    </row>
    <row r="1058" spans="1:14" x14ac:dyDescent="0.2">
      <c r="A1058" s="35" t="s">
        <v>456</v>
      </c>
      <c r="B1058" s="36" t="str">
        <f t="array" ref="B1058">_xlfn.XLOOKUP($A1058,TRIM(SUBSTITUTE('worker file'!$A$2:$A$406,_xlfn.UNICHAR(160)," ")),'worker file'!$L$2:$L$406,"Not found")</f>
        <v>US Semi-monthly</v>
      </c>
      <c r="C1058" s="36" t="str">
        <f t="array" ref="C1058">_xlfn.XLOOKUP($A1058,TRIM(SUBSTITUTE('worker file'!$A$2:$A$406,_xlfn.UNICHAR(160)," ")),'worker file'!$D$2:$D$406,"Not found")</f>
        <v>CA</v>
      </c>
      <c r="D1058" s="36" t="str">
        <f t="array" ref="D1058">_xlfn.XLOOKUP($A1058,TRIM(SUBSTITUTE('worker file'!$A$2:$A$406,_xlfn.UNICHAR(160)," ")),'worker file'!$Q$2:$Q$406,"Not found")</f>
        <v>Active</v>
      </c>
      <c r="E1058" s="35" t="s">
        <v>626</v>
      </c>
      <c r="F1058" t="str">
        <f t="shared" si="123"/>
        <v>Medical (Health) – Employee</v>
      </c>
      <c r="G1058" t="str">
        <f t="shared" si="124"/>
        <v>Pre-tax Section 125 (exempt from FIT/SIT/FICA)</v>
      </c>
      <c r="H1058" t="str">
        <f t="shared" si="125"/>
        <v>Flat</v>
      </c>
      <c r="I1058" s="40" t="str">
        <f>IF($H1058="Percent",_xlfn.XLOOKUP($E1058,$A$5:$A$8,$F$5:$F$8,""),"")</f>
        <v/>
      </c>
      <c r="J1058" s="38">
        <f t="shared" si="126"/>
        <v>200</v>
      </c>
      <c r="K1058" t="str">
        <f t="shared" si="127"/>
        <v>Per pay period</v>
      </c>
      <c r="L1058" t="str">
        <f t="shared" si="128"/>
        <v>Every pay period (ongoing)</v>
      </c>
      <c r="M1058" s="39">
        <f t="array" ref="M1058">MAX(_xlfn.XLOOKUP($A1058,TRIM(SUBSTITUTE('worker file'!$A$2:$A$406,_xlfn.UNICHAR(160)," ")),'worker file'!$M$2:$M$406,0),_xlfn.XLOOKUP($B1058,TRIM('pay group &amp; schedule'!$A$2:$A$6),'pay group &amp; schedule'!$D$2:$D$6,0))</f>
        <v>46311</v>
      </c>
      <c r="N1058" s="39" t="str">
        <f t="array" ref="N1058">_xlfn.LET(_xlpm.t,_xlfn.XLOOKUP($A1058,TRIM(SUBSTITUTE('worker file'!$A$2:$A$406,_xlfn.UNICHAR(160)," ")),'worker file'!$N$2:$N$406,""),IF(N(_xlpm.t)=0,"",_xlpm.t))</f>
        <v/>
      </c>
    </row>
    <row r="1059" spans="1:14" x14ac:dyDescent="0.2">
      <c r="A1059" s="35" t="s">
        <v>456</v>
      </c>
      <c r="B1059" s="36" t="str">
        <f t="array" ref="B1059">_xlfn.XLOOKUP($A1059,TRIM(SUBSTITUTE('worker file'!$A$2:$A$406,_xlfn.UNICHAR(160)," ")),'worker file'!$L$2:$L$406,"Not found")</f>
        <v>US Semi-monthly</v>
      </c>
      <c r="C1059" s="36" t="str">
        <f t="array" ref="C1059">_xlfn.XLOOKUP($A1059,TRIM(SUBSTITUTE('worker file'!$A$2:$A$406,_xlfn.UNICHAR(160)," ")),'worker file'!$D$2:$D$406,"Not found")</f>
        <v>CA</v>
      </c>
      <c r="D1059" s="36" t="str">
        <f t="array" ref="D1059">_xlfn.XLOOKUP($A1059,TRIM(SUBSTITUTE('worker file'!$A$2:$A$406,_xlfn.UNICHAR(160)," ")),'worker file'!$Q$2:$Q$406,"Not found")</f>
        <v>Active</v>
      </c>
      <c r="E1059" s="35" t="s">
        <v>632</v>
      </c>
      <c r="F1059" t="str">
        <f t="shared" si="123"/>
        <v>Dental – Employee</v>
      </c>
      <c r="G1059" t="str">
        <f t="shared" si="124"/>
        <v>Pre-tax Section 125 (exempt from FIT/SIT/FICA)</v>
      </c>
      <c r="H1059" t="str">
        <f t="shared" si="125"/>
        <v>Flat</v>
      </c>
      <c r="I1059" s="40" t="str">
        <f>IF($H1059="Percent",_xlfn.XLOOKUP($E1059,$A$5:$A$8,$F$5:$F$8,""),"")</f>
        <v/>
      </c>
      <c r="J1059" s="38">
        <f t="shared" si="126"/>
        <v>44</v>
      </c>
      <c r="K1059" t="str">
        <f t="shared" si="127"/>
        <v>Per pay period</v>
      </c>
      <c r="L1059" t="str">
        <f t="shared" si="128"/>
        <v>Every pay period (ongoing)</v>
      </c>
      <c r="M1059" s="39">
        <f t="array" ref="M1059">MAX(_xlfn.XLOOKUP($A1059,TRIM(SUBSTITUTE('worker file'!$A$2:$A$406,_xlfn.UNICHAR(160)," ")),'worker file'!$M$2:$M$406,0),_xlfn.XLOOKUP($B1059,TRIM('pay group &amp; schedule'!$A$2:$A$6),'pay group &amp; schedule'!$D$2:$D$6,0))</f>
        <v>46311</v>
      </c>
      <c r="N1059" s="39" t="str">
        <f t="array" ref="N1059">_xlfn.LET(_xlpm.t,_xlfn.XLOOKUP($A1059,TRIM(SUBSTITUTE('worker file'!$A$2:$A$406,_xlfn.UNICHAR(160)," ")),'worker file'!$N$2:$N$406,""),IF(N(_xlpm.t)=0,"",_xlpm.t))</f>
        <v/>
      </c>
    </row>
    <row r="1060" spans="1:14" x14ac:dyDescent="0.2">
      <c r="A1060" s="35" t="s">
        <v>456</v>
      </c>
      <c r="B1060" s="36" t="str">
        <f t="array" ref="B1060">_xlfn.XLOOKUP($A1060,TRIM(SUBSTITUTE('worker file'!$A$2:$A$406,_xlfn.UNICHAR(160)," ")),'worker file'!$L$2:$L$406,"Not found")</f>
        <v>US Semi-monthly</v>
      </c>
      <c r="C1060" s="36" t="str">
        <f t="array" ref="C1060">_xlfn.XLOOKUP($A1060,TRIM(SUBSTITUTE('worker file'!$A$2:$A$406,_xlfn.UNICHAR(160)," ")),'worker file'!$D$2:$D$406,"Not found")</f>
        <v>CA</v>
      </c>
      <c r="D1060" s="36" t="str">
        <f t="array" ref="D1060">_xlfn.XLOOKUP($A1060,TRIM(SUBSTITUTE('worker file'!$A$2:$A$406,_xlfn.UNICHAR(160)," ")),'worker file'!$Q$2:$Q$406,"Not found")</f>
        <v>Active</v>
      </c>
      <c r="E1060" s="35" t="s">
        <v>634</v>
      </c>
      <c r="F1060" t="str">
        <f t="shared" si="123"/>
        <v>Vision – Employee</v>
      </c>
      <c r="G1060" t="str">
        <f t="shared" si="124"/>
        <v>Pre-tax Section 125 (exempt from FIT/SIT/FICA)</v>
      </c>
      <c r="H1060" t="str">
        <f t="shared" si="125"/>
        <v>Flat</v>
      </c>
      <c r="I1060" s="40" t="str">
        <f>IF($H1060="Percent",_xlfn.XLOOKUP($E1060,$A$5:$A$8,$F$5:$F$8,""),"")</f>
        <v/>
      </c>
      <c r="J1060" s="38">
        <f t="shared" si="126"/>
        <v>30</v>
      </c>
      <c r="K1060" t="str">
        <f t="shared" si="127"/>
        <v>Per pay period</v>
      </c>
      <c r="L1060" t="str">
        <f t="shared" si="128"/>
        <v>Every pay period (ongoing)</v>
      </c>
      <c r="M1060" s="39">
        <f t="array" ref="M1060">MAX(_xlfn.XLOOKUP($A1060,TRIM(SUBSTITUTE('worker file'!$A$2:$A$406,_xlfn.UNICHAR(160)," ")),'worker file'!$M$2:$M$406,0),_xlfn.XLOOKUP($B1060,TRIM('pay group &amp; schedule'!$A$2:$A$6),'pay group &amp; schedule'!$D$2:$D$6,0))</f>
        <v>46311</v>
      </c>
      <c r="N1060" s="39" t="str">
        <f t="array" ref="N1060">_xlfn.LET(_xlpm.t,_xlfn.XLOOKUP($A1060,TRIM(SUBSTITUTE('worker file'!$A$2:$A$406,_xlfn.UNICHAR(160)," ")),'worker file'!$N$2:$N$406,""),IF(N(_xlpm.t)=0,"",_xlpm.t))</f>
        <v/>
      </c>
    </row>
    <row r="1061" spans="1:14" x14ac:dyDescent="0.2">
      <c r="A1061" s="35" t="s">
        <v>457</v>
      </c>
      <c r="B1061" s="36" t="str">
        <f t="array" ref="B1061">_xlfn.XLOOKUP($A1061,TRIM(SUBSTITUTE('worker file'!$A$2:$A$406,_xlfn.UNICHAR(160)," ")),'worker file'!$L$2:$L$406,"Not found")</f>
        <v>US Semi-monthly</v>
      </c>
      <c r="C1061" s="36" t="str">
        <f t="array" ref="C1061">_xlfn.XLOOKUP($A1061,TRIM(SUBSTITUTE('worker file'!$A$2:$A$406,_xlfn.UNICHAR(160)," ")),'worker file'!$D$2:$D$406,"Not found")</f>
        <v>CA</v>
      </c>
      <c r="D1061" s="36" t="str">
        <f t="array" ref="D1061">_xlfn.XLOOKUP($A1061,TRIM(SUBSTITUTE('worker file'!$A$2:$A$406,_xlfn.UNICHAR(160)," ")),'worker file'!$Q$2:$Q$406,"Not found")</f>
        <v>Active</v>
      </c>
      <c r="E1061" s="35" t="s">
        <v>618</v>
      </c>
      <c r="F1061" t="str">
        <f t="shared" si="123"/>
        <v>401(k) Employee Deferral</v>
      </c>
      <c r="G1061" t="str">
        <f t="shared" si="124"/>
        <v>Pre-tax (exempt from FIT/SIT; subject to FICA)</v>
      </c>
      <c r="H1061" t="str">
        <f t="shared" si="125"/>
        <v>Percent</v>
      </c>
      <c r="I1061" s="37">
        <v>0.04</v>
      </c>
      <c r="J1061" s="38" t="str">
        <f t="shared" si="126"/>
        <v/>
      </c>
      <c r="K1061" t="str">
        <f t="shared" si="127"/>
        <v>Gross pay</v>
      </c>
      <c r="L1061" t="str">
        <f t="shared" si="128"/>
        <v>Every pay period (ongoing)</v>
      </c>
      <c r="M1061" s="39">
        <f t="array" ref="M1061">MAX(_xlfn.XLOOKUP($A1061,TRIM(SUBSTITUTE('worker file'!$A$2:$A$406,_xlfn.UNICHAR(160)," ")),'worker file'!$M$2:$M$406,0),_xlfn.XLOOKUP($B1061,TRIM('pay group &amp; schedule'!$A$2:$A$6),'pay group &amp; schedule'!$D$2:$D$6,0))</f>
        <v>46311</v>
      </c>
      <c r="N1061" s="39" t="str">
        <f t="array" ref="N1061">_xlfn.LET(_xlpm.t,_xlfn.XLOOKUP($A1061,TRIM(SUBSTITUTE('worker file'!$A$2:$A$406,_xlfn.UNICHAR(160)," ")),'worker file'!$N$2:$N$406,""),IF(N(_xlpm.t)=0,"",_xlpm.t))</f>
        <v/>
      </c>
    </row>
    <row r="1062" spans="1:14" x14ac:dyDescent="0.2">
      <c r="A1062" s="35" t="s">
        <v>457</v>
      </c>
      <c r="B1062" s="36" t="str">
        <f t="array" ref="B1062">_xlfn.XLOOKUP($A1062,TRIM(SUBSTITUTE('worker file'!$A$2:$A$406,_xlfn.UNICHAR(160)," ")),'worker file'!$L$2:$L$406,"Not found")</f>
        <v>US Semi-monthly</v>
      </c>
      <c r="C1062" s="36" t="str">
        <f t="array" ref="C1062">_xlfn.XLOOKUP($A1062,TRIM(SUBSTITUTE('worker file'!$A$2:$A$406,_xlfn.UNICHAR(160)," ")),'worker file'!$D$2:$D$406,"Not found")</f>
        <v>CA</v>
      </c>
      <c r="D1062" s="36" t="str">
        <f t="array" ref="D1062">_xlfn.XLOOKUP($A1062,TRIM(SUBSTITUTE('worker file'!$A$2:$A$406,_xlfn.UNICHAR(160)," ")),'worker file'!$Q$2:$Q$406,"Not found")</f>
        <v>Active</v>
      </c>
      <c r="E1062" s="35" t="s">
        <v>626</v>
      </c>
      <c r="F1062" t="str">
        <f t="shared" si="123"/>
        <v>Medical (Health) – Employee</v>
      </c>
      <c r="G1062" t="str">
        <f t="shared" si="124"/>
        <v>Pre-tax Section 125 (exempt from FIT/SIT/FICA)</v>
      </c>
      <c r="H1062" t="str">
        <f t="shared" si="125"/>
        <v>Flat</v>
      </c>
      <c r="I1062" s="40" t="str">
        <f>IF($H1062="Percent",_xlfn.XLOOKUP($E1062,$A$5:$A$8,$F$5:$F$8,""),"")</f>
        <v/>
      </c>
      <c r="J1062" s="38">
        <f t="shared" si="126"/>
        <v>200</v>
      </c>
      <c r="K1062" t="str">
        <f t="shared" si="127"/>
        <v>Per pay period</v>
      </c>
      <c r="L1062" t="str">
        <f t="shared" si="128"/>
        <v>Every pay period (ongoing)</v>
      </c>
      <c r="M1062" s="39">
        <f t="array" ref="M1062">MAX(_xlfn.XLOOKUP($A1062,TRIM(SUBSTITUTE('worker file'!$A$2:$A$406,_xlfn.UNICHAR(160)," ")),'worker file'!$M$2:$M$406,0),_xlfn.XLOOKUP($B1062,TRIM('pay group &amp; schedule'!$A$2:$A$6),'pay group &amp; schedule'!$D$2:$D$6,0))</f>
        <v>46311</v>
      </c>
      <c r="N1062" s="39" t="str">
        <f t="array" ref="N1062">_xlfn.LET(_xlpm.t,_xlfn.XLOOKUP($A1062,TRIM(SUBSTITUTE('worker file'!$A$2:$A$406,_xlfn.UNICHAR(160)," ")),'worker file'!$N$2:$N$406,""),IF(N(_xlpm.t)=0,"",_xlpm.t))</f>
        <v/>
      </c>
    </row>
    <row r="1063" spans="1:14" x14ac:dyDescent="0.2">
      <c r="A1063" s="35" t="s">
        <v>457</v>
      </c>
      <c r="B1063" s="36" t="str">
        <f t="array" ref="B1063">_xlfn.XLOOKUP($A1063,TRIM(SUBSTITUTE('worker file'!$A$2:$A$406,_xlfn.UNICHAR(160)," ")),'worker file'!$L$2:$L$406,"Not found")</f>
        <v>US Semi-monthly</v>
      </c>
      <c r="C1063" s="36" t="str">
        <f t="array" ref="C1063">_xlfn.XLOOKUP($A1063,TRIM(SUBSTITUTE('worker file'!$A$2:$A$406,_xlfn.UNICHAR(160)," ")),'worker file'!$D$2:$D$406,"Not found")</f>
        <v>CA</v>
      </c>
      <c r="D1063" s="36" t="str">
        <f t="array" ref="D1063">_xlfn.XLOOKUP($A1063,TRIM(SUBSTITUTE('worker file'!$A$2:$A$406,_xlfn.UNICHAR(160)," ")),'worker file'!$Q$2:$Q$406,"Not found")</f>
        <v>Active</v>
      </c>
      <c r="E1063" s="35" t="s">
        <v>632</v>
      </c>
      <c r="F1063" t="str">
        <f t="shared" si="123"/>
        <v>Dental – Employee</v>
      </c>
      <c r="G1063" t="str">
        <f t="shared" si="124"/>
        <v>Pre-tax Section 125 (exempt from FIT/SIT/FICA)</v>
      </c>
      <c r="H1063" t="str">
        <f t="shared" si="125"/>
        <v>Flat</v>
      </c>
      <c r="I1063" s="40" t="str">
        <f>IF($H1063="Percent",_xlfn.XLOOKUP($E1063,$A$5:$A$8,$F$5:$F$8,""),"")</f>
        <v/>
      </c>
      <c r="J1063" s="38">
        <f t="shared" si="126"/>
        <v>44</v>
      </c>
      <c r="K1063" t="str">
        <f t="shared" si="127"/>
        <v>Per pay period</v>
      </c>
      <c r="L1063" t="str">
        <f t="shared" si="128"/>
        <v>Every pay period (ongoing)</v>
      </c>
      <c r="M1063" s="39">
        <f t="array" ref="M1063">MAX(_xlfn.XLOOKUP($A1063,TRIM(SUBSTITUTE('worker file'!$A$2:$A$406,_xlfn.UNICHAR(160)," ")),'worker file'!$M$2:$M$406,0),_xlfn.XLOOKUP($B1063,TRIM('pay group &amp; schedule'!$A$2:$A$6),'pay group &amp; schedule'!$D$2:$D$6,0))</f>
        <v>46311</v>
      </c>
      <c r="N1063" s="39" t="str">
        <f t="array" ref="N1063">_xlfn.LET(_xlpm.t,_xlfn.XLOOKUP($A1063,TRIM(SUBSTITUTE('worker file'!$A$2:$A$406,_xlfn.UNICHAR(160)," ")),'worker file'!$N$2:$N$406,""),IF(N(_xlpm.t)=0,"",_xlpm.t))</f>
        <v/>
      </c>
    </row>
    <row r="1064" spans="1:14" x14ac:dyDescent="0.2">
      <c r="A1064" s="35" t="s">
        <v>457</v>
      </c>
      <c r="B1064" s="36" t="str">
        <f t="array" ref="B1064">_xlfn.XLOOKUP($A1064,TRIM(SUBSTITUTE('worker file'!$A$2:$A$406,_xlfn.UNICHAR(160)," ")),'worker file'!$L$2:$L$406,"Not found")</f>
        <v>US Semi-monthly</v>
      </c>
      <c r="C1064" s="36" t="str">
        <f t="array" ref="C1064">_xlfn.XLOOKUP($A1064,TRIM(SUBSTITUTE('worker file'!$A$2:$A$406,_xlfn.UNICHAR(160)," ")),'worker file'!$D$2:$D$406,"Not found")</f>
        <v>CA</v>
      </c>
      <c r="D1064" s="36" t="str">
        <f t="array" ref="D1064">_xlfn.XLOOKUP($A1064,TRIM(SUBSTITUTE('worker file'!$A$2:$A$406,_xlfn.UNICHAR(160)," ")),'worker file'!$Q$2:$Q$406,"Not found")</f>
        <v>Active</v>
      </c>
      <c r="E1064" s="35" t="s">
        <v>634</v>
      </c>
      <c r="F1064" t="str">
        <f t="shared" si="123"/>
        <v>Vision – Employee</v>
      </c>
      <c r="G1064" t="str">
        <f t="shared" si="124"/>
        <v>Pre-tax Section 125 (exempt from FIT/SIT/FICA)</v>
      </c>
      <c r="H1064" t="str">
        <f t="shared" si="125"/>
        <v>Flat</v>
      </c>
      <c r="I1064" s="40" t="str">
        <f>IF($H1064="Percent",_xlfn.XLOOKUP($E1064,$A$5:$A$8,$F$5:$F$8,""),"")</f>
        <v/>
      </c>
      <c r="J1064" s="38">
        <f t="shared" si="126"/>
        <v>30</v>
      </c>
      <c r="K1064" t="str">
        <f t="shared" si="127"/>
        <v>Per pay period</v>
      </c>
      <c r="L1064" t="str">
        <f t="shared" si="128"/>
        <v>Every pay period (ongoing)</v>
      </c>
      <c r="M1064" s="39">
        <f t="array" ref="M1064">MAX(_xlfn.XLOOKUP($A1064,TRIM(SUBSTITUTE('worker file'!$A$2:$A$406,_xlfn.UNICHAR(160)," ")),'worker file'!$M$2:$M$406,0),_xlfn.XLOOKUP($B1064,TRIM('pay group &amp; schedule'!$A$2:$A$6),'pay group &amp; schedule'!$D$2:$D$6,0))</f>
        <v>46311</v>
      </c>
      <c r="N1064" s="39" t="str">
        <f t="array" ref="N1064">_xlfn.LET(_xlpm.t,_xlfn.XLOOKUP($A1064,TRIM(SUBSTITUTE('worker file'!$A$2:$A$406,_xlfn.UNICHAR(160)," ")),'worker file'!$N$2:$N$406,""),IF(N(_xlpm.t)=0,"",_xlpm.t))</f>
        <v/>
      </c>
    </row>
    <row r="1065" spans="1:14" x14ac:dyDescent="0.2">
      <c r="A1065" s="35" t="s">
        <v>458</v>
      </c>
      <c r="B1065" s="36" t="str">
        <f t="array" ref="B1065">_xlfn.XLOOKUP($A1065,TRIM(SUBSTITUTE('worker file'!$A$2:$A$406,_xlfn.UNICHAR(160)," ")),'worker file'!$L$2:$L$406,"Not found")</f>
        <v>US Semi-monthly</v>
      </c>
      <c r="C1065" s="36" t="str">
        <f t="array" ref="C1065">_xlfn.XLOOKUP($A1065,TRIM(SUBSTITUTE('worker file'!$A$2:$A$406,_xlfn.UNICHAR(160)," ")),'worker file'!$D$2:$D$406,"Not found")</f>
        <v>IL</v>
      </c>
      <c r="D1065" s="36" t="str">
        <f t="array" ref="D1065">_xlfn.XLOOKUP($A1065,TRIM(SUBSTITUTE('worker file'!$A$2:$A$406,_xlfn.UNICHAR(160)," ")),'worker file'!$Q$2:$Q$406,"Not found")</f>
        <v>Active</v>
      </c>
      <c r="E1065" s="35" t="s">
        <v>618</v>
      </c>
      <c r="F1065" t="str">
        <f t="shared" si="123"/>
        <v>401(k) Employee Deferral</v>
      </c>
      <c r="G1065" t="str">
        <f t="shared" si="124"/>
        <v>Pre-tax (exempt from FIT/SIT; subject to FICA)</v>
      </c>
      <c r="H1065" t="str">
        <f t="shared" si="125"/>
        <v>Percent</v>
      </c>
      <c r="I1065" s="37">
        <v>0.01</v>
      </c>
      <c r="J1065" s="38" t="str">
        <f t="shared" si="126"/>
        <v/>
      </c>
      <c r="K1065" t="str">
        <f t="shared" si="127"/>
        <v>Gross pay</v>
      </c>
      <c r="L1065" t="str">
        <f t="shared" si="128"/>
        <v>Every pay period (ongoing)</v>
      </c>
      <c r="M1065" s="39">
        <f t="array" ref="M1065">MAX(_xlfn.XLOOKUP($A1065,TRIM(SUBSTITUTE('worker file'!$A$2:$A$406,_xlfn.UNICHAR(160)," ")),'worker file'!$M$2:$M$406,0),_xlfn.XLOOKUP($B1065,TRIM('pay group &amp; schedule'!$A$2:$A$6),'pay group &amp; schedule'!$D$2:$D$6,0))</f>
        <v>46311</v>
      </c>
      <c r="N1065" s="39" t="str">
        <f t="array" ref="N1065">_xlfn.LET(_xlpm.t,_xlfn.XLOOKUP($A1065,TRIM(SUBSTITUTE('worker file'!$A$2:$A$406,_xlfn.UNICHAR(160)," ")),'worker file'!$N$2:$N$406,""),IF(N(_xlpm.t)=0,"",_xlpm.t))</f>
        <v/>
      </c>
    </row>
    <row r="1066" spans="1:14" x14ac:dyDescent="0.2">
      <c r="A1066" s="35" t="s">
        <v>458</v>
      </c>
      <c r="B1066" s="36" t="str">
        <f t="array" ref="B1066">_xlfn.XLOOKUP($A1066,TRIM(SUBSTITUTE('worker file'!$A$2:$A$406,_xlfn.UNICHAR(160)," ")),'worker file'!$L$2:$L$406,"Not found")</f>
        <v>US Semi-monthly</v>
      </c>
      <c r="C1066" s="36" t="str">
        <f t="array" ref="C1066">_xlfn.XLOOKUP($A1066,TRIM(SUBSTITUTE('worker file'!$A$2:$A$406,_xlfn.UNICHAR(160)," ")),'worker file'!$D$2:$D$406,"Not found")</f>
        <v>IL</v>
      </c>
      <c r="D1066" s="36" t="str">
        <f t="array" ref="D1066">_xlfn.XLOOKUP($A1066,TRIM(SUBSTITUTE('worker file'!$A$2:$A$406,_xlfn.UNICHAR(160)," ")),'worker file'!$Q$2:$Q$406,"Not found")</f>
        <v>Active</v>
      </c>
      <c r="E1066" s="35" t="s">
        <v>626</v>
      </c>
      <c r="F1066" t="str">
        <f t="shared" si="123"/>
        <v>Medical (Health) – Employee</v>
      </c>
      <c r="G1066" t="str">
        <f t="shared" si="124"/>
        <v>Pre-tax Section 125 (exempt from FIT/SIT/FICA)</v>
      </c>
      <c r="H1066" t="str">
        <f t="shared" si="125"/>
        <v>Flat</v>
      </c>
      <c r="I1066" s="40" t="str">
        <f t="shared" ref="I1066:I1071" si="129">IF($H1066="Percent",_xlfn.XLOOKUP($E1066,$A$5:$A$8,$F$5:$F$8,""),"")</f>
        <v/>
      </c>
      <c r="J1066" s="38">
        <f t="shared" si="126"/>
        <v>200</v>
      </c>
      <c r="K1066" t="str">
        <f t="shared" si="127"/>
        <v>Per pay period</v>
      </c>
      <c r="L1066" t="str">
        <f t="shared" si="128"/>
        <v>Every pay period (ongoing)</v>
      </c>
      <c r="M1066" s="39">
        <f t="array" ref="M1066">MAX(_xlfn.XLOOKUP($A1066,TRIM(SUBSTITUTE('worker file'!$A$2:$A$406,_xlfn.UNICHAR(160)," ")),'worker file'!$M$2:$M$406,0),_xlfn.XLOOKUP($B1066,TRIM('pay group &amp; schedule'!$A$2:$A$6),'pay group &amp; schedule'!$D$2:$D$6,0))</f>
        <v>46311</v>
      </c>
      <c r="N1066" s="39" t="str">
        <f t="array" ref="N1066">_xlfn.LET(_xlpm.t,_xlfn.XLOOKUP($A1066,TRIM(SUBSTITUTE('worker file'!$A$2:$A$406,_xlfn.UNICHAR(160)," ")),'worker file'!$N$2:$N$406,""),IF(N(_xlpm.t)=0,"",_xlpm.t))</f>
        <v/>
      </c>
    </row>
    <row r="1067" spans="1:14" x14ac:dyDescent="0.2">
      <c r="A1067" s="35" t="s">
        <v>458</v>
      </c>
      <c r="B1067" s="36" t="str">
        <f t="array" ref="B1067">_xlfn.XLOOKUP($A1067,TRIM(SUBSTITUTE('worker file'!$A$2:$A$406,_xlfn.UNICHAR(160)," ")),'worker file'!$L$2:$L$406,"Not found")</f>
        <v>US Semi-monthly</v>
      </c>
      <c r="C1067" s="36" t="str">
        <f t="array" ref="C1067">_xlfn.XLOOKUP($A1067,TRIM(SUBSTITUTE('worker file'!$A$2:$A$406,_xlfn.UNICHAR(160)," ")),'worker file'!$D$2:$D$406,"Not found")</f>
        <v>IL</v>
      </c>
      <c r="D1067" s="36" t="str">
        <f t="array" ref="D1067">_xlfn.XLOOKUP($A1067,TRIM(SUBSTITUTE('worker file'!$A$2:$A$406,_xlfn.UNICHAR(160)," ")),'worker file'!$Q$2:$Q$406,"Not found")</f>
        <v>Active</v>
      </c>
      <c r="E1067" s="35" t="s">
        <v>632</v>
      </c>
      <c r="F1067" t="str">
        <f t="shared" si="123"/>
        <v>Dental – Employee</v>
      </c>
      <c r="G1067" t="str">
        <f t="shared" si="124"/>
        <v>Pre-tax Section 125 (exempt from FIT/SIT/FICA)</v>
      </c>
      <c r="H1067" t="str">
        <f t="shared" si="125"/>
        <v>Flat</v>
      </c>
      <c r="I1067" s="40" t="str">
        <f t="shared" si="129"/>
        <v/>
      </c>
      <c r="J1067" s="38">
        <f t="shared" si="126"/>
        <v>44</v>
      </c>
      <c r="K1067" t="str">
        <f t="shared" si="127"/>
        <v>Per pay period</v>
      </c>
      <c r="L1067" t="str">
        <f t="shared" si="128"/>
        <v>Every pay period (ongoing)</v>
      </c>
      <c r="M1067" s="39">
        <f t="array" ref="M1067">MAX(_xlfn.XLOOKUP($A1067,TRIM(SUBSTITUTE('worker file'!$A$2:$A$406,_xlfn.UNICHAR(160)," ")),'worker file'!$M$2:$M$406,0),_xlfn.XLOOKUP($B1067,TRIM('pay group &amp; schedule'!$A$2:$A$6),'pay group &amp; schedule'!$D$2:$D$6,0))</f>
        <v>46311</v>
      </c>
      <c r="N1067" s="39" t="str">
        <f t="array" ref="N1067">_xlfn.LET(_xlpm.t,_xlfn.XLOOKUP($A1067,TRIM(SUBSTITUTE('worker file'!$A$2:$A$406,_xlfn.UNICHAR(160)," ")),'worker file'!$N$2:$N$406,""),IF(N(_xlpm.t)=0,"",_xlpm.t))</f>
        <v/>
      </c>
    </row>
    <row r="1068" spans="1:14" x14ac:dyDescent="0.2">
      <c r="A1068" s="35" t="s">
        <v>458</v>
      </c>
      <c r="B1068" s="36" t="str">
        <f t="array" ref="B1068">_xlfn.XLOOKUP($A1068,TRIM(SUBSTITUTE('worker file'!$A$2:$A$406,_xlfn.UNICHAR(160)," ")),'worker file'!$L$2:$L$406,"Not found")</f>
        <v>US Semi-monthly</v>
      </c>
      <c r="C1068" s="36" t="str">
        <f t="array" ref="C1068">_xlfn.XLOOKUP($A1068,TRIM(SUBSTITUTE('worker file'!$A$2:$A$406,_xlfn.UNICHAR(160)," ")),'worker file'!$D$2:$D$406,"Not found")</f>
        <v>IL</v>
      </c>
      <c r="D1068" s="36" t="str">
        <f t="array" ref="D1068">_xlfn.XLOOKUP($A1068,TRIM(SUBSTITUTE('worker file'!$A$2:$A$406,_xlfn.UNICHAR(160)," ")),'worker file'!$Q$2:$Q$406,"Not found")</f>
        <v>Active</v>
      </c>
      <c r="E1068" s="35" t="s">
        <v>634</v>
      </c>
      <c r="F1068" t="str">
        <f t="shared" si="123"/>
        <v>Vision – Employee</v>
      </c>
      <c r="G1068" t="str">
        <f t="shared" si="124"/>
        <v>Pre-tax Section 125 (exempt from FIT/SIT/FICA)</v>
      </c>
      <c r="H1068" t="str">
        <f t="shared" si="125"/>
        <v>Flat</v>
      </c>
      <c r="I1068" s="40" t="str">
        <f t="shared" si="129"/>
        <v/>
      </c>
      <c r="J1068" s="38">
        <f t="shared" si="126"/>
        <v>30</v>
      </c>
      <c r="K1068" t="str">
        <f t="shared" si="127"/>
        <v>Per pay period</v>
      </c>
      <c r="L1068" t="str">
        <f t="shared" si="128"/>
        <v>Every pay period (ongoing)</v>
      </c>
      <c r="M1068" s="39">
        <f t="array" ref="M1068">MAX(_xlfn.XLOOKUP($A1068,TRIM(SUBSTITUTE('worker file'!$A$2:$A$406,_xlfn.UNICHAR(160)," ")),'worker file'!$M$2:$M$406,0),_xlfn.XLOOKUP($B1068,TRIM('pay group &amp; schedule'!$A$2:$A$6),'pay group &amp; schedule'!$D$2:$D$6,0))</f>
        <v>46311</v>
      </c>
      <c r="N1068" s="39" t="str">
        <f t="array" ref="N1068">_xlfn.LET(_xlpm.t,_xlfn.XLOOKUP($A1068,TRIM(SUBSTITUTE('worker file'!$A$2:$A$406,_xlfn.UNICHAR(160)," ")),'worker file'!$N$2:$N$406,""),IF(N(_xlpm.t)=0,"",_xlpm.t))</f>
        <v/>
      </c>
    </row>
    <row r="1069" spans="1:14" x14ac:dyDescent="0.2">
      <c r="A1069" s="35" t="s">
        <v>461</v>
      </c>
      <c r="B1069" s="36" t="str">
        <f t="array" ref="B1069">_xlfn.XLOOKUP($A1069,TRIM(SUBSTITUTE('worker file'!$A$2:$A$406,_xlfn.UNICHAR(160)," ")),'worker file'!$L$2:$L$406,"Not found")</f>
        <v>US Semi-monthly</v>
      </c>
      <c r="C1069" s="36" t="str">
        <f t="array" ref="C1069">_xlfn.XLOOKUP($A1069,TRIM(SUBSTITUTE('worker file'!$A$2:$A$406,_xlfn.UNICHAR(160)," ")),'worker file'!$D$2:$D$406,"Not found")</f>
        <v>MA</v>
      </c>
      <c r="D1069" s="36" t="str">
        <f t="array" ref="D1069">_xlfn.XLOOKUP($A1069,TRIM(SUBSTITUTE('worker file'!$A$2:$A$406,_xlfn.UNICHAR(160)," ")),'worker file'!$Q$2:$Q$406,"Not found")</f>
        <v>Active</v>
      </c>
      <c r="E1069" s="35" t="s">
        <v>626</v>
      </c>
      <c r="F1069" t="str">
        <f t="shared" si="123"/>
        <v>Medical (Health) – Employee</v>
      </c>
      <c r="G1069" t="str">
        <f t="shared" si="124"/>
        <v>Pre-tax Section 125 (exempt from FIT/SIT/FICA)</v>
      </c>
      <c r="H1069" t="str">
        <f t="shared" si="125"/>
        <v>Flat</v>
      </c>
      <c r="I1069" s="40" t="str">
        <f t="shared" si="129"/>
        <v/>
      </c>
      <c r="J1069" s="38">
        <f t="shared" si="126"/>
        <v>200</v>
      </c>
      <c r="K1069" t="str">
        <f t="shared" si="127"/>
        <v>Per pay period</v>
      </c>
      <c r="L1069" t="str">
        <f t="shared" si="128"/>
        <v>Every pay period (ongoing)</v>
      </c>
      <c r="M1069" s="39">
        <f t="array" ref="M1069">MAX(_xlfn.XLOOKUP($A1069,TRIM(SUBSTITUTE('worker file'!$A$2:$A$406,_xlfn.UNICHAR(160)," ")),'worker file'!$M$2:$M$406,0),_xlfn.XLOOKUP($B1069,TRIM('pay group &amp; schedule'!$A$2:$A$6),'pay group &amp; schedule'!$D$2:$D$6,0))</f>
        <v>46311</v>
      </c>
      <c r="N1069" s="39" t="str">
        <f t="array" ref="N1069">_xlfn.LET(_xlpm.t,_xlfn.XLOOKUP($A1069,TRIM(SUBSTITUTE('worker file'!$A$2:$A$406,_xlfn.UNICHAR(160)," ")),'worker file'!$N$2:$N$406,""),IF(N(_xlpm.t)=0,"",_xlpm.t))</f>
        <v/>
      </c>
    </row>
    <row r="1070" spans="1:14" x14ac:dyDescent="0.2">
      <c r="A1070" s="35" t="s">
        <v>461</v>
      </c>
      <c r="B1070" s="36" t="str">
        <f t="array" ref="B1070">_xlfn.XLOOKUP($A1070,TRIM(SUBSTITUTE('worker file'!$A$2:$A$406,_xlfn.UNICHAR(160)," ")),'worker file'!$L$2:$L$406,"Not found")</f>
        <v>US Semi-monthly</v>
      </c>
      <c r="C1070" s="36" t="str">
        <f t="array" ref="C1070">_xlfn.XLOOKUP($A1070,TRIM(SUBSTITUTE('worker file'!$A$2:$A$406,_xlfn.UNICHAR(160)," ")),'worker file'!$D$2:$D$406,"Not found")</f>
        <v>MA</v>
      </c>
      <c r="D1070" s="36" t="str">
        <f t="array" ref="D1070">_xlfn.XLOOKUP($A1070,TRIM(SUBSTITUTE('worker file'!$A$2:$A$406,_xlfn.UNICHAR(160)," ")),'worker file'!$Q$2:$Q$406,"Not found")</f>
        <v>Active</v>
      </c>
      <c r="E1070" s="35" t="s">
        <v>632</v>
      </c>
      <c r="F1070" t="str">
        <f t="shared" si="123"/>
        <v>Dental – Employee</v>
      </c>
      <c r="G1070" t="str">
        <f t="shared" si="124"/>
        <v>Pre-tax Section 125 (exempt from FIT/SIT/FICA)</v>
      </c>
      <c r="H1070" t="str">
        <f t="shared" si="125"/>
        <v>Flat</v>
      </c>
      <c r="I1070" s="40" t="str">
        <f t="shared" si="129"/>
        <v/>
      </c>
      <c r="J1070" s="38">
        <f t="shared" si="126"/>
        <v>44</v>
      </c>
      <c r="K1070" t="str">
        <f t="shared" si="127"/>
        <v>Per pay period</v>
      </c>
      <c r="L1070" t="str">
        <f t="shared" si="128"/>
        <v>Every pay period (ongoing)</v>
      </c>
      <c r="M1070" s="39">
        <f t="array" ref="M1070">MAX(_xlfn.XLOOKUP($A1070,TRIM(SUBSTITUTE('worker file'!$A$2:$A$406,_xlfn.UNICHAR(160)," ")),'worker file'!$M$2:$M$406,0),_xlfn.XLOOKUP($B1070,TRIM('pay group &amp; schedule'!$A$2:$A$6),'pay group &amp; schedule'!$D$2:$D$6,0))</f>
        <v>46311</v>
      </c>
      <c r="N1070" s="39" t="str">
        <f t="array" ref="N1070">_xlfn.LET(_xlpm.t,_xlfn.XLOOKUP($A1070,TRIM(SUBSTITUTE('worker file'!$A$2:$A$406,_xlfn.UNICHAR(160)," ")),'worker file'!$N$2:$N$406,""),IF(N(_xlpm.t)=0,"",_xlpm.t))</f>
        <v/>
      </c>
    </row>
    <row r="1071" spans="1:14" x14ac:dyDescent="0.2">
      <c r="A1071" s="35" t="s">
        <v>461</v>
      </c>
      <c r="B1071" s="36" t="str">
        <f t="array" ref="B1071">_xlfn.XLOOKUP($A1071,TRIM(SUBSTITUTE('worker file'!$A$2:$A$406,_xlfn.UNICHAR(160)," ")),'worker file'!$L$2:$L$406,"Not found")</f>
        <v>US Semi-monthly</v>
      </c>
      <c r="C1071" s="36" t="str">
        <f t="array" ref="C1071">_xlfn.XLOOKUP($A1071,TRIM(SUBSTITUTE('worker file'!$A$2:$A$406,_xlfn.UNICHAR(160)," ")),'worker file'!$D$2:$D$406,"Not found")</f>
        <v>MA</v>
      </c>
      <c r="D1071" s="36" t="str">
        <f t="array" ref="D1071">_xlfn.XLOOKUP($A1071,TRIM(SUBSTITUTE('worker file'!$A$2:$A$406,_xlfn.UNICHAR(160)," ")),'worker file'!$Q$2:$Q$406,"Not found")</f>
        <v>Active</v>
      </c>
      <c r="E1071" s="35" t="s">
        <v>634</v>
      </c>
      <c r="F1071" t="str">
        <f t="shared" si="123"/>
        <v>Vision – Employee</v>
      </c>
      <c r="G1071" t="str">
        <f t="shared" si="124"/>
        <v>Pre-tax Section 125 (exempt from FIT/SIT/FICA)</v>
      </c>
      <c r="H1071" t="str">
        <f t="shared" si="125"/>
        <v>Flat</v>
      </c>
      <c r="I1071" s="40" t="str">
        <f t="shared" si="129"/>
        <v/>
      </c>
      <c r="J1071" s="38">
        <f t="shared" si="126"/>
        <v>30</v>
      </c>
      <c r="K1071" t="str">
        <f t="shared" si="127"/>
        <v>Per pay period</v>
      </c>
      <c r="L1071" t="str">
        <f t="shared" si="128"/>
        <v>Every pay period (ongoing)</v>
      </c>
      <c r="M1071" s="39">
        <f t="array" ref="M1071">MAX(_xlfn.XLOOKUP($A1071,TRIM(SUBSTITUTE('worker file'!$A$2:$A$406,_xlfn.UNICHAR(160)," ")),'worker file'!$M$2:$M$406,0),_xlfn.XLOOKUP($B1071,TRIM('pay group &amp; schedule'!$A$2:$A$6),'pay group &amp; schedule'!$D$2:$D$6,0))</f>
        <v>46311</v>
      </c>
      <c r="N1071" s="39" t="str">
        <f t="array" ref="N1071">_xlfn.LET(_xlpm.t,_xlfn.XLOOKUP($A1071,TRIM(SUBSTITUTE('worker file'!$A$2:$A$406,_xlfn.UNICHAR(160)," ")),'worker file'!$N$2:$N$406,""),IF(N(_xlpm.t)=0,"",_xlpm.t))</f>
        <v/>
      </c>
    </row>
    <row r="1072" spans="1:14" x14ac:dyDescent="0.2">
      <c r="A1072" s="35" t="s">
        <v>462</v>
      </c>
      <c r="B1072" s="36" t="str">
        <f t="array" ref="B1072">_xlfn.XLOOKUP($A1072,TRIM(SUBSTITUTE('worker file'!$A$2:$A$406,_xlfn.UNICHAR(160)," ")),'worker file'!$L$2:$L$406,"Not found")</f>
        <v>US Semi-monthly</v>
      </c>
      <c r="C1072" s="36" t="str">
        <f t="array" ref="C1072">_xlfn.XLOOKUP($A1072,TRIM(SUBSTITUTE('worker file'!$A$2:$A$406,_xlfn.UNICHAR(160)," ")),'worker file'!$D$2:$D$406,"Not found")</f>
        <v>CA</v>
      </c>
      <c r="D1072" s="36" t="str">
        <f t="array" ref="D1072">_xlfn.XLOOKUP($A1072,TRIM(SUBSTITUTE('worker file'!$A$2:$A$406,_xlfn.UNICHAR(160)," ")),'worker file'!$Q$2:$Q$406,"Not found")</f>
        <v>Active</v>
      </c>
      <c r="E1072" s="35" t="s">
        <v>618</v>
      </c>
      <c r="F1072" t="str">
        <f t="shared" si="123"/>
        <v>401(k) Employee Deferral</v>
      </c>
      <c r="G1072" t="str">
        <f t="shared" si="124"/>
        <v>Pre-tax (exempt from FIT/SIT; subject to FICA)</v>
      </c>
      <c r="H1072" t="str">
        <f t="shared" si="125"/>
        <v>Percent</v>
      </c>
      <c r="I1072" s="37">
        <v>0.03</v>
      </c>
      <c r="J1072" s="38" t="str">
        <f t="shared" si="126"/>
        <v/>
      </c>
      <c r="K1072" t="str">
        <f t="shared" si="127"/>
        <v>Gross pay</v>
      </c>
      <c r="L1072" t="str">
        <f t="shared" si="128"/>
        <v>Every pay period (ongoing)</v>
      </c>
      <c r="M1072" s="39">
        <f t="array" ref="M1072">MAX(_xlfn.XLOOKUP($A1072,TRIM(SUBSTITUTE('worker file'!$A$2:$A$406,_xlfn.UNICHAR(160)," ")),'worker file'!$M$2:$M$406,0),_xlfn.XLOOKUP($B1072,TRIM('pay group &amp; schedule'!$A$2:$A$6),'pay group &amp; schedule'!$D$2:$D$6,0))</f>
        <v>46311</v>
      </c>
      <c r="N1072" s="39" t="str">
        <f t="array" ref="N1072">_xlfn.LET(_xlpm.t,_xlfn.XLOOKUP($A1072,TRIM(SUBSTITUTE('worker file'!$A$2:$A$406,_xlfn.UNICHAR(160)," ")),'worker file'!$N$2:$N$406,""),IF(N(_xlpm.t)=0,"",_xlpm.t))</f>
        <v/>
      </c>
    </row>
    <row r="1073" spans="1:14" x14ac:dyDescent="0.2">
      <c r="A1073" s="35" t="s">
        <v>462</v>
      </c>
      <c r="B1073" s="36" t="str">
        <f t="array" ref="B1073">_xlfn.XLOOKUP($A1073,TRIM(SUBSTITUTE('worker file'!$A$2:$A$406,_xlfn.UNICHAR(160)," ")),'worker file'!$L$2:$L$406,"Not found")</f>
        <v>US Semi-monthly</v>
      </c>
      <c r="C1073" s="36" t="str">
        <f t="array" ref="C1073">_xlfn.XLOOKUP($A1073,TRIM(SUBSTITUTE('worker file'!$A$2:$A$406,_xlfn.UNICHAR(160)," ")),'worker file'!$D$2:$D$406,"Not found")</f>
        <v>CA</v>
      </c>
      <c r="D1073" s="36" t="str">
        <f t="array" ref="D1073">_xlfn.XLOOKUP($A1073,TRIM(SUBSTITUTE('worker file'!$A$2:$A$406,_xlfn.UNICHAR(160)," ")),'worker file'!$Q$2:$Q$406,"Not found")</f>
        <v>Active</v>
      </c>
      <c r="E1073" s="35" t="s">
        <v>626</v>
      </c>
      <c r="F1073" t="str">
        <f t="shared" si="123"/>
        <v>Medical (Health) – Employee</v>
      </c>
      <c r="G1073" t="str">
        <f t="shared" si="124"/>
        <v>Pre-tax Section 125 (exempt from FIT/SIT/FICA)</v>
      </c>
      <c r="H1073" t="str">
        <f t="shared" si="125"/>
        <v>Flat</v>
      </c>
      <c r="I1073" s="40" t="str">
        <f>IF($H1073="Percent",_xlfn.XLOOKUP($E1073,$A$5:$A$8,$F$5:$F$8,""),"")</f>
        <v/>
      </c>
      <c r="J1073" s="38">
        <f t="shared" si="126"/>
        <v>200</v>
      </c>
      <c r="K1073" t="str">
        <f t="shared" si="127"/>
        <v>Per pay period</v>
      </c>
      <c r="L1073" t="str">
        <f t="shared" si="128"/>
        <v>Every pay period (ongoing)</v>
      </c>
      <c r="M1073" s="39">
        <f t="array" ref="M1073">MAX(_xlfn.XLOOKUP($A1073,TRIM(SUBSTITUTE('worker file'!$A$2:$A$406,_xlfn.UNICHAR(160)," ")),'worker file'!$M$2:$M$406,0),_xlfn.XLOOKUP($B1073,TRIM('pay group &amp; schedule'!$A$2:$A$6),'pay group &amp; schedule'!$D$2:$D$6,0))</f>
        <v>46311</v>
      </c>
      <c r="N1073" s="39" t="str">
        <f t="array" ref="N1073">_xlfn.LET(_xlpm.t,_xlfn.XLOOKUP($A1073,TRIM(SUBSTITUTE('worker file'!$A$2:$A$406,_xlfn.UNICHAR(160)," ")),'worker file'!$N$2:$N$406,""),IF(N(_xlpm.t)=0,"",_xlpm.t))</f>
        <v/>
      </c>
    </row>
    <row r="1074" spans="1:14" x14ac:dyDescent="0.2">
      <c r="A1074" s="35" t="s">
        <v>462</v>
      </c>
      <c r="B1074" s="36" t="str">
        <f t="array" ref="B1074">_xlfn.XLOOKUP($A1074,TRIM(SUBSTITUTE('worker file'!$A$2:$A$406,_xlfn.UNICHAR(160)," ")),'worker file'!$L$2:$L$406,"Not found")</f>
        <v>US Semi-monthly</v>
      </c>
      <c r="C1074" s="36" t="str">
        <f t="array" ref="C1074">_xlfn.XLOOKUP($A1074,TRIM(SUBSTITUTE('worker file'!$A$2:$A$406,_xlfn.UNICHAR(160)," ")),'worker file'!$D$2:$D$406,"Not found")</f>
        <v>CA</v>
      </c>
      <c r="D1074" s="36" t="str">
        <f t="array" ref="D1074">_xlfn.XLOOKUP($A1074,TRIM(SUBSTITUTE('worker file'!$A$2:$A$406,_xlfn.UNICHAR(160)," ")),'worker file'!$Q$2:$Q$406,"Not found")</f>
        <v>Active</v>
      </c>
      <c r="E1074" s="35" t="s">
        <v>632</v>
      </c>
      <c r="F1074" t="str">
        <f t="shared" si="123"/>
        <v>Dental – Employee</v>
      </c>
      <c r="G1074" t="str">
        <f t="shared" si="124"/>
        <v>Pre-tax Section 125 (exempt from FIT/SIT/FICA)</v>
      </c>
      <c r="H1074" t="str">
        <f t="shared" si="125"/>
        <v>Flat</v>
      </c>
      <c r="I1074" s="40" t="str">
        <f>IF($H1074="Percent",_xlfn.XLOOKUP($E1074,$A$5:$A$8,$F$5:$F$8,""),"")</f>
        <v/>
      </c>
      <c r="J1074" s="38">
        <f t="shared" si="126"/>
        <v>44</v>
      </c>
      <c r="K1074" t="str">
        <f t="shared" si="127"/>
        <v>Per pay period</v>
      </c>
      <c r="L1074" t="str">
        <f t="shared" si="128"/>
        <v>Every pay period (ongoing)</v>
      </c>
      <c r="M1074" s="39">
        <f t="array" ref="M1074">MAX(_xlfn.XLOOKUP($A1074,TRIM(SUBSTITUTE('worker file'!$A$2:$A$406,_xlfn.UNICHAR(160)," ")),'worker file'!$M$2:$M$406,0),_xlfn.XLOOKUP($B1074,TRIM('pay group &amp; schedule'!$A$2:$A$6),'pay group &amp; schedule'!$D$2:$D$6,0))</f>
        <v>46311</v>
      </c>
      <c r="N1074" s="39" t="str">
        <f t="array" ref="N1074">_xlfn.LET(_xlpm.t,_xlfn.XLOOKUP($A1074,TRIM(SUBSTITUTE('worker file'!$A$2:$A$406,_xlfn.UNICHAR(160)," ")),'worker file'!$N$2:$N$406,""),IF(N(_xlpm.t)=0,"",_xlpm.t))</f>
        <v/>
      </c>
    </row>
    <row r="1075" spans="1:14" x14ac:dyDescent="0.2">
      <c r="A1075" s="35" t="s">
        <v>462</v>
      </c>
      <c r="B1075" s="36" t="str">
        <f t="array" ref="B1075">_xlfn.XLOOKUP($A1075,TRIM(SUBSTITUTE('worker file'!$A$2:$A$406,_xlfn.UNICHAR(160)," ")),'worker file'!$L$2:$L$406,"Not found")</f>
        <v>US Semi-monthly</v>
      </c>
      <c r="C1075" s="36" t="str">
        <f t="array" ref="C1075">_xlfn.XLOOKUP($A1075,TRIM(SUBSTITUTE('worker file'!$A$2:$A$406,_xlfn.UNICHAR(160)," ")),'worker file'!$D$2:$D$406,"Not found")</f>
        <v>CA</v>
      </c>
      <c r="D1075" s="36" t="str">
        <f t="array" ref="D1075">_xlfn.XLOOKUP($A1075,TRIM(SUBSTITUTE('worker file'!$A$2:$A$406,_xlfn.UNICHAR(160)," ")),'worker file'!$Q$2:$Q$406,"Not found")</f>
        <v>Active</v>
      </c>
      <c r="E1075" s="35" t="s">
        <v>634</v>
      </c>
      <c r="F1075" t="str">
        <f t="shared" si="123"/>
        <v>Vision – Employee</v>
      </c>
      <c r="G1075" t="str">
        <f t="shared" si="124"/>
        <v>Pre-tax Section 125 (exempt from FIT/SIT/FICA)</v>
      </c>
      <c r="H1075" t="str">
        <f t="shared" si="125"/>
        <v>Flat</v>
      </c>
      <c r="I1075" s="40" t="str">
        <f>IF($H1075="Percent",_xlfn.XLOOKUP($E1075,$A$5:$A$8,$F$5:$F$8,""),"")</f>
        <v/>
      </c>
      <c r="J1075" s="38">
        <f t="shared" si="126"/>
        <v>30</v>
      </c>
      <c r="K1075" t="str">
        <f t="shared" si="127"/>
        <v>Per pay period</v>
      </c>
      <c r="L1075" t="str">
        <f t="shared" si="128"/>
        <v>Every pay period (ongoing)</v>
      </c>
      <c r="M1075" s="39">
        <f t="array" ref="M1075">MAX(_xlfn.XLOOKUP($A1075,TRIM(SUBSTITUTE('worker file'!$A$2:$A$406,_xlfn.UNICHAR(160)," ")),'worker file'!$M$2:$M$406,0),_xlfn.XLOOKUP($B1075,TRIM('pay group &amp; schedule'!$A$2:$A$6),'pay group &amp; schedule'!$D$2:$D$6,0))</f>
        <v>46311</v>
      </c>
      <c r="N1075" s="39" t="str">
        <f t="array" ref="N1075">_xlfn.LET(_xlpm.t,_xlfn.XLOOKUP($A1075,TRIM(SUBSTITUTE('worker file'!$A$2:$A$406,_xlfn.UNICHAR(160)," ")),'worker file'!$N$2:$N$406,""),IF(N(_xlpm.t)=0,"",_xlpm.t))</f>
        <v/>
      </c>
    </row>
    <row r="1076" spans="1:14" x14ac:dyDescent="0.2">
      <c r="A1076" s="35" t="s">
        <v>463</v>
      </c>
      <c r="B1076" s="36" t="str">
        <f t="array" ref="B1076">_xlfn.XLOOKUP($A1076,TRIM(SUBSTITUTE('worker file'!$A$2:$A$406,_xlfn.UNICHAR(160)," ")),'worker file'!$L$2:$L$406,"Not found")</f>
        <v>US Biweekly</v>
      </c>
      <c r="C1076" s="36" t="str">
        <f t="array" ref="C1076">_xlfn.XLOOKUP($A1076,TRIM(SUBSTITUTE('worker file'!$A$2:$A$406,_xlfn.UNICHAR(160)," ")),'worker file'!$D$2:$D$406,"Not found")</f>
        <v>TX</v>
      </c>
      <c r="D1076" s="36" t="str">
        <f t="array" ref="D1076">_xlfn.XLOOKUP($A1076,TRIM(SUBSTITUTE('worker file'!$A$2:$A$406,_xlfn.UNICHAR(160)," ")),'worker file'!$Q$2:$Q$406,"Not found")</f>
        <v>Active</v>
      </c>
      <c r="E1076" s="35" t="s">
        <v>618</v>
      </c>
      <c r="F1076" t="str">
        <f t="shared" si="123"/>
        <v>401(k) Employee Deferral</v>
      </c>
      <c r="G1076" t="str">
        <f t="shared" si="124"/>
        <v>Pre-tax (exempt from FIT/SIT; subject to FICA)</v>
      </c>
      <c r="H1076" t="str">
        <f t="shared" si="125"/>
        <v>Percent</v>
      </c>
      <c r="I1076" s="37">
        <v>0</v>
      </c>
      <c r="J1076" s="38" t="str">
        <f t="shared" si="126"/>
        <v/>
      </c>
      <c r="K1076" t="str">
        <f t="shared" si="127"/>
        <v>Gross pay</v>
      </c>
      <c r="L1076" t="str">
        <f t="shared" si="128"/>
        <v>Every pay period (ongoing)</v>
      </c>
      <c r="M1076" s="39">
        <f t="array" ref="M1076">MAX(_xlfn.XLOOKUP($A1076,TRIM(SUBSTITUTE('worker file'!$A$2:$A$406,_xlfn.UNICHAR(160)," ")),'worker file'!$M$2:$M$406,0),_xlfn.XLOOKUP($B1076,TRIM('pay group &amp; schedule'!$A$2:$A$6),'pay group &amp; schedule'!$D$2:$D$6,0))</f>
        <v>46299</v>
      </c>
      <c r="N1076" s="39" t="str">
        <f t="array" ref="N1076">_xlfn.LET(_xlpm.t,_xlfn.XLOOKUP($A1076,TRIM(SUBSTITUTE('worker file'!$A$2:$A$406,_xlfn.UNICHAR(160)," ")),'worker file'!$N$2:$N$406,""),IF(N(_xlpm.t)=0,"",_xlpm.t))</f>
        <v/>
      </c>
    </row>
    <row r="1077" spans="1:14" x14ac:dyDescent="0.2">
      <c r="A1077" s="35" t="s">
        <v>463</v>
      </c>
      <c r="B1077" s="36" t="str">
        <f t="array" ref="B1077">_xlfn.XLOOKUP($A1077,TRIM(SUBSTITUTE('worker file'!$A$2:$A$406,_xlfn.UNICHAR(160)," ")),'worker file'!$L$2:$L$406,"Not found")</f>
        <v>US Biweekly</v>
      </c>
      <c r="C1077" s="36" t="str">
        <f t="array" ref="C1077">_xlfn.XLOOKUP($A1077,TRIM(SUBSTITUTE('worker file'!$A$2:$A$406,_xlfn.UNICHAR(160)," ")),'worker file'!$D$2:$D$406,"Not found")</f>
        <v>TX</v>
      </c>
      <c r="D1077" s="36" t="str">
        <f t="array" ref="D1077">_xlfn.XLOOKUP($A1077,TRIM(SUBSTITUTE('worker file'!$A$2:$A$406,_xlfn.UNICHAR(160)," ")),'worker file'!$Q$2:$Q$406,"Not found")</f>
        <v>Active</v>
      </c>
      <c r="E1077" s="35" t="s">
        <v>626</v>
      </c>
      <c r="F1077" t="str">
        <f t="shared" si="123"/>
        <v>Medical (Health) – Employee</v>
      </c>
      <c r="G1077" t="str">
        <f t="shared" si="124"/>
        <v>Pre-tax Section 125 (exempt from FIT/SIT/FICA)</v>
      </c>
      <c r="H1077" t="str">
        <f t="shared" si="125"/>
        <v>Flat</v>
      </c>
      <c r="I1077" s="40" t="str">
        <f>IF($H1077="Percent",_xlfn.XLOOKUP($E1077,$A$5:$A$8,$F$5:$F$8,""),"")</f>
        <v/>
      </c>
      <c r="J1077" s="38">
        <f t="shared" si="126"/>
        <v>200</v>
      </c>
      <c r="K1077" t="str">
        <f t="shared" si="127"/>
        <v>Per pay period</v>
      </c>
      <c r="L1077" t="str">
        <f t="shared" si="128"/>
        <v>Every pay period (ongoing)</v>
      </c>
      <c r="M1077" s="39">
        <f t="array" ref="M1077">MAX(_xlfn.XLOOKUP($A1077,TRIM(SUBSTITUTE('worker file'!$A$2:$A$406,_xlfn.UNICHAR(160)," ")),'worker file'!$M$2:$M$406,0),_xlfn.XLOOKUP($B1077,TRIM('pay group &amp; schedule'!$A$2:$A$6),'pay group &amp; schedule'!$D$2:$D$6,0))</f>
        <v>46299</v>
      </c>
      <c r="N1077" s="39" t="str">
        <f t="array" ref="N1077">_xlfn.LET(_xlpm.t,_xlfn.XLOOKUP($A1077,TRIM(SUBSTITUTE('worker file'!$A$2:$A$406,_xlfn.UNICHAR(160)," ")),'worker file'!$N$2:$N$406,""),IF(N(_xlpm.t)=0,"",_xlpm.t))</f>
        <v/>
      </c>
    </row>
    <row r="1078" spans="1:14" x14ac:dyDescent="0.2">
      <c r="A1078" s="35" t="s">
        <v>463</v>
      </c>
      <c r="B1078" s="36" t="str">
        <f t="array" ref="B1078">_xlfn.XLOOKUP($A1078,TRIM(SUBSTITUTE('worker file'!$A$2:$A$406,_xlfn.UNICHAR(160)," ")),'worker file'!$L$2:$L$406,"Not found")</f>
        <v>US Biweekly</v>
      </c>
      <c r="C1078" s="36" t="str">
        <f t="array" ref="C1078">_xlfn.XLOOKUP($A1078,TRIM(SUBSTITUTE('worker file'!$A$2:$A$406,_xlfn.UNICHAR(160)," ")),'worker file'!$D$2:$D$406,"Not found")</f>
        <v>TX</v>
      </c>
      <c r="D1078" s="36" t="str">
        <f t="array" ref="D1078">_xlfn.XLOOKUP($A1078,TRIM(SUBSTITUTE('worker file'!$A$2:$A$406,_xlfn.UNICHAR(160)," ")),'worker file'!$Q$2:$Q$406,"Not found")</f>
        <v>Active</v>
      </c>
      <c r="E1078" s="35" t="s">
        <v>632</v>
      </c>
      <c r="F1078" t="str">
        <f t="shared" si="123"/>
        <v>Dental – Employee</v>
      </c>
      <c r="G1078" t="str">
        <f t="shared" si="124"/>
        <v>Pre-tax Section 125 (exempt from FIT/SIT/FICA)</v>
      </c>
      <c r="H1078" t="str">
        <f t="shared" si="125"/>
        <v>Flat</v>
      </c>
      <c r="I1078" s="40" t="str">
        <f>IF($H1078="Percent",_xlfn.XLOOKUP($E1078,$A$5:$A$8,$F$5:$F$8,""),"")</f>
        <v/>
      </c>
      <c r="J1078" s="38">
        <f t="shared" si="126"/>
        <v>44</v>
      </c>
      <c r="K1078" t="str">
        <f t="shared" si="127"/>
        <v>Per pay period</v>
      </c>
      <c r="L1078" t="str">
        <f t="shared" si="128"/>
        <v>Every pay period (ongoing)</v>
      </c>
      <c r="M1078" s="39">
        <f t="array" ref="M1078">MAX(_xlfn.XLOOKUP($A1078,TRIM(SUBSTITUTE('worker file'!$A$2:$A$406,_xlfn.UNICHAR(160)," ")),'worker file'!$M$2:$M$406,0),_xlfn.XLOOKUP($B1078,TRIM('pay group &amp; schedule'!$A$2:$A$6),'pay group &amp; schedule'!$D$2:$D$6,0))</f>
        <v>46299</v>
      </c>
      <c r="N1078" s="39" t="str">
        <f t="array" ref="N1078">_xlfn.LET(_xlpm.t,_xlfn.XLOOKUP($A1078,TRIM(SUBSTITUTE('worker file'!$A$2:$A$406,_xlfn.UNICHAR(160)," ")),'worker file'!$N$2:$N$406,""),IF(N(_xlpm.t)=0,"",_xlpm.t))</f>
        <v/>
      </c>
    </row>
    <row r="1079" spans="1:14" x14ac:dyDescent="0.2">
      <c r="A1079" s="35" t="s">
        <v>463</v>
      </c>
      <c r="B1079" s="36" t="str">
        <f t="array" ref="B1079">_xlfn.XLOOKUP($A1079,TRIM(SUBSTITUTE('worker file'!$A$2:$A$406,_xlfn.UNICHAR(160)," ")),'worker file'!$L$2:$L$406,"Not found")</f>
        <v>US Biweekly</v>
      </c>
      <c r="C1079" s="36" t="str">
        <f t="array" ref="C1079">_xlfn.XLOOKUP($A1079,TRIM(SUBSTITUTE('worker file'!$A$2:$A$406,_xlfn.UNICHAR(160)," ")),'worker file'!$D$2:$D$406,"Not found")</f>
        <v>TX</v>
      </c>
      <c r="D1079" s="36" t="str">
        <f t="array" ref="D1079">_xlfn.XLOOKUP($A1079,TRIM(SUBSTITUTE('worker file'!$A$2:$A$406,_xlfn.UNICHAR(160)," ")),'worker file'!$Q$2:$Q$406,"Not found")</f>
        <v>Active</v>
      </c>
      <c r="E1079" s="35" t="s">
        <v>634</v>
      </c>
      <c r="F1079" t="str">
        <f t="shared" si="123"/>
        <v>Vision – Employee</v>
      </c>
      <c r="G1079" t="str">
        <f t="shared" si="124"/>
        <v>Pre-tax Section 125 (exempt from FIT/SIT/FICA)</v>
      </c>
      <c r="H1079" t="str">
        <f t="shared" si="125"/>
        <v>Flat</v>
      </c>
      <c r="I1079" s="40" t="str">
        <f>IF($H1079="Percent",_xlfn.XLOOKUP($E1079,$A$5:$A$8,$F$5:$F$8,""),"")</f>
        <v/>
      </c>
      <c r="J1079" s="38">
        <f t="shared" si="126"/>
        <v>30</v>
      </c>
      <c r="K1079" t="str">
        <f t="shared" si="127"/>
        <v>Per pay period</v>
      </c>
      <c r="L1079" t="str">
        <f t="shared" si="128"/>
        <v>Every pay period (ongoing)</v>
      </c>
      <c r="M1079" s="39">
        <f t="array" ref="M1079">MAX(_xlfn.XLOOKUP($A1079,TRIM(SUBSTITUTE('worker file'!$A$2:$A$406,_xlfn.UNICHAR(160)," ")),'worker file'!$M$2:$M$406,0),_xlfn.XLOOKUP($B1079,TRIM('pay group &amp; schedule'!$A$2:$A$6),'pay group &amp; schedule'!$D$2:$D$6,0))</f>
        <v>46299</v>
      </c>
      <c r="N1079" s="39" t="str">
        <f t="array" ref="N1079">_xlfn.LET(_xlpm.t,_xlfn.XLOOKUP($A1079,TRIM(SUBSTITUTE('worker file'!$A$2:$A$406,_xlfn.UNICHAR(160)," ")),'worker file'!$N$2:$N$406,""),IF(N(_xlpm.t)=0,"",_xlpm.t))</f>
        <v/>
      </c>
    </row>
    <row r="1080" spans="1:14" x14ac:dyDescent="0.2">
      <c r="A1080" s="35" t="s">
        <v>464</v>
      </c>
      <c r="B1080" s="36" t="str">
        <f t="array" ref="B1080">_xlfn.XLOOKUP($A1080,TRIM(SUBSTITUTE('worker file'!$A$2:$A$406,_xlfn.UNICHAR(160)," ")),'worker file'!$L$2:$L$406,"Not found")</f>
        <v>US Semi-monthly</v>
      </c>
      <c r="C1080" s="36" t="str">
        <f t="array" ref="C1080">_xlfn.XLOOKUP($A1080,TRIM(SUBSTITUTE('worker file'!$A$2:$A$406,_xlfn.UNICHAR(160)," ")),'worker file'!$D$2:$D$406,"Not found")</f>
        <v>CA</v>
      </c>
      <c r="D1080" s="36" t="str">
        <f t="array" ref="D1080">_xlfn.XLOOKUP($A1080,TRIM(SUBSTITUTE('worker file'!$A$2:$A$406,_xlfn.UNICHAR(160)," ")),'worker file'!$Q$2:$Q$406,"Not found")</f>
        <v>Active</v>
      </c>
      <c r="E1080" s="35" t="s">
        <v>618</v>
      </c>
      <c r="F1080" t="str">
        <f t="shared" si="123"/>
        <v>401(k) Employee Deferral</v>
      </c>
      <c r="G1080" t="str">
        <f t="shared" si="124"/>
        <v>Pre-tax (exempt from FIT/SIT; subject to FICA)</v>
      </c>
      <c r="H1080" t="str">
        <f t="shared" si="125"/>
        <v>Percent</v>
      </c>
      <c r="I1080" s="37">
        <v>0.05</v>
      </c>
      <c r="J1080" s="38" t="str">
        <f t="shared" si="126"/>
        <v/>
      </c>
      <c r="K1080" t="str">
        <f t="shared" si="127"/>
        <v>Gross pay</v>
      </c>
      <c r="L1080" t="str">
        <f t="shared" si="128"/>
        <v>Every pay period (ongoing)</v>
      </c>
      <c r="M1080" s="39">
        <f t="array" ref="M1080">MAX(_xlfn.XLOOKUP($A1080,TRIM(SUBSTITUTE('worker file'!$A$2:$A$406,_xlfn.UNICHAR(160)," ")),'worker file'!$M$2:$M$406,0),_xlfn.XLOOKUP($B1080,TRIM('pay group &amp; schedule'!$A$2:$A$6),'pay group &amp; schedule'!$D$2:$D$6,0))</f>
        <v>46311</v>
      </c>
      <c r="N1080" s="39" t="str">
        <f t="array" ref="N1080">_xlfn.LET(_xlpm.t,_xlfn.XLOOKUP($A1080,TRIM(SUBSTITUTE('worker file'!$A$2:$A$406,_xlfn.UNICHAR(160)," ")),'worker file'!$N$2:$N$406,""),IF(N(_xlpm.t)=0,"",_xlpm.t))</f>
        <v/>
      </c>
    </row>
    <row r="1081" spans="1:14" x14ac:dyDescent="0.2">
      <c r="A1081" s="35" t="s">
        <v>464</v>
      </c>
      <c r="B1081" s="36" t="str">
        <f t="array" ref="B1081">_xlfn.XLOOKUP($A1081,TRIM(SUBSTITUTE('worker file'!$A$2:$A$406,_xlfn.UNICHAR(160)," ")),'worker file'!$L$2:$L$406,"Not found")</f>
        <v>US Semi-monthly</v>
      </c>
      <c r="C1081" s="36" t="str">
        <f t="array" ref="C1081">_xlfn.XLOOKUP($A1081,TRIM(SUBSTITUTE('worker file'!$A$2:$A$406,_xlfn.UNICHAR(160)," ")),'worker file'!$D$2:$D$406,"Not found")</f>
        <v>CA</v>
      </c>
      <c r="D1081" s="36" t="str">
        <f t="array" ref="D1081">_xlfn.XLOOKUP($A1081,TRIM(SUBSTITUTE('worker file'!$A$2:$A$406,_xlfn.UNICHAR(160)," ")),'worker file'!$Q$2:$Q$406,"Not found")</f>
        <v>Active</v>
      </c>
      <c r="E1081" s="35" t="s">
        <v>626</v>
      </c>
      <c r="F1081" t="str">
        <f t="shared" si="123"/>
        <v>Medical (Health) – Employee</v>
      </c>
      <c r="G1081" t="str">
        <f t="shared" si="124"/>
        <v>Pre-tax Section 125 (exempt from FIT/SIT/FICA)</v>
      </c>
      <c r="H1081" t="str">
        <f t="shared" si="125"/>
        <v>Flat</v>
      </c>
      <c r="I1081" s="40" t="str">
        <f>IF($H1081="Percent",_xlfn.XLOOKUP($E1081,$A$5:$A$8,$F$5:$F$8,""),"")</f>
        <v/>
      </c>
      <c r="J1081" s="38">
        <f t="shared" si="126"/>
        <v>200</v>
      </c>
      <c r="K1081" t="str">
        <f t="shared" si="127"/>
        <v>Per pay period</v>
      </c>
      <c r="L1081" t="str">
        <f t="shared" si="128"/>
        <v>Every pay period (ongoing)</v>
      </c>
      <c r="M1081" s="39">
        <f t="array" ref="M1081">MAX(_xlfn.XLOOKUP($A1081,TRIM(SUBSTITUTE('worker file'!$A$2:$A$406,_xlfn.UNICHAR(160)," ")),'worker file'!$M$2:$M$406,0),_xlfn.XLOOKUP($B1081,TRIM('pay group &amp; schedule'!$A$2:$A$6),'pay group &amp; schedule'!$D$2:$D$6,0))</f>
        <v>46311</v>
      </c>
      <c r="N1081" s="39" t="str">
        <f t="array" ref="N1081">_xlfn.LET(_xlpm.t,_xlfn.XLOOKUP($A1081,TRIM(SUBSTITUTE('worker file'!$A$2:$A$406,_xlfn.UNICHAR(160)," ")),'worker file'!$N$2:$N$406,""),IF(N(_xlpm.t)=0,"",_xlpm.t))</f>
        <v/>
      </c>
    </row>
    <row r="1082" spans="1:14" x14ac:dyDescent="0.2">
      <c r="A1082" s="35" t="s">
        <v>464</v>
      </c>
      <c r="B1082" s="36" t="str">
        <f t="array" ref="B1082">_xlfn.XLOOKUP($A1082,TRIM(SUBSTITUTE('worker file'!$A$2:$A$406,_xlfn.UNICHAR(160)," ")),'worker file'!$L$2:$L$406,"Not found")</f>
        <v>US Semi-monthly</v>
      </c>
      <c r="C1082" s="36" t="str">
        <f t="array" ref="C1082">_xlfn.XLOOKUP($A1082,TRIM(SUBSTITUTE('worker file'!$A$2:$A$406,_xlfn.UNICHAR(160)," ")),'worker file'!$D$2:$D$406,"Not found")</f>
        <v>CA</v>
      </c>
      <c r="D1082" s="36" t="str">
        <f t="array" ref="D1082">_xlfn.XLOOKUP($A1082,TRIM(SUBSTITUTE('worker file'!$A$2:$A$406,_xlfn.UNICHAR(160)," ")),'worker file'!$Q$2:$Q$406,"Not found")</f>
        <v>Active</v>
      </c>
      <c r="E1082" s="35" t="s">
        <v>632</v>
      </c>
      <c r="F1082" t="str">
        <f t="shared" si="123"/>
        <v>Dental – Employee</v>
      </c>
      <c r="G1082" t="str">
        <f t="shared" si="124"/>
        <v>Pre-tax Section 125 (exempt from FIT/SIT/FICA)</v>
      </c>
      <c r="H1082" t="str">
        <f t="shared" si="125"/>
        <v>Flat</v>
      </c>
      <c r="I1082" s="40" t="str">
        <f>IF($H1082="Percent",_xlfn.XLOOKUP($E1082,$A$5:$A$8,$F$5:$F$8,""),"")</f>
        <v/>
      </c>
      <c r="J1082" s="38">
        <f t="shared" si="126"/>
        <v>44</v>
      </c>
      <c r="K1082" t="str">
        <f t="shared" si="127"/>
        <v>Per pay period</v>
      </c>
      <c r="L1082" t="str">
        <f t="shared" si="128"/>
        <v>Every pay period (ongoing)</v>
      </c>
      <c r="M1082" s="39">
        <f t="array" ref="M1082">MAX(_xlfn.XLOOKUP($A1082,TRIM(SUBSTITUTE('worker file'!$A$2:$A$406,_xlfn.UNICHAR(160)," ")),'worker file'!$M$2:$M$406,0),_xlfn.XLOOKUP($B1082,TRIM('pay group &amp; schedule'!$A$2:$A$6),'pay group &amp; schedule'!$D$2:$D$6,0))</f>
        <v>46311</v>
      </c>
      <c r="N1082" s="39" t="str">
        <f t="array" ref="N1082">_xlfn.LET(_xlpm.t,_xlfn.XLOOKUP($A1082,TRIM(SUBSTITUTE('worker file'!$A$2:$A$406,_xlfn.UNICHAR(160)," ")),'worker file'!$N$2:$N$406,""),IF(N(_xlpm.t)=0,"",_xlpm.t))</f>
        <v/>
      </c>
    </row>
    <row r="1083" spans="1:14" x14ac:dyDescent="0.2">
      <c r="A1083" s="35" t="s">
        <v>464</v>
      </c>
      <c r="B1083" s="36" t="str">
        <f t="array" ref="B1083">_xlfn.XLOOKUP($A1083,TRIM(SUBSTITUTE('worker file'!$A$2:$A$406,_xlfn.UNICHAR(160)," ")),'worker file'!$L$2:$L$406,"Not found")</f>
        <v>US Semi-monthly</v>
      </c>
      <c r="C1083" s="36" t="str">
        <f t="array" ref="C1083">_xlfn.XLOOKUP($A1083,TRIM(SUBSTITUTE('worker file'!$A$2:$A$406,_xlfn.UNICHAR(160)," ")),'worker file'!$D$2:$D$406,"Not found")</f>
        <v>CA</v>
      </c>
      <c r="D1083" s="36" t="str">
        <f t="array" ref="D1083">_xlfn.XLOOKUP($A1083,TRIM(SUBSTITUTE('worker file'!$A$2:$A$406,_xlfn.UNICHAR(160)," ")),'worker file'!$Q$2:$Q$406,"Not found")</f>
        <v>Active</v>
      </c>
      <c r="E1083" s="35" t="s">
        <v>634</v>
      </c>
      <c r="F1083" t="str">
        <f t="shared" si="123"/>
        <v>Vision – Employee</v>
      </c>
      <c r="G1083" t="str">
        <f t="shared" si="124"/>
        <v>Pre-tax Section 125 (exempt from FIT/SIT/FICA)</v>
      </c>
      <c r="H1083" t="str">
        <f t="shared" si="125"/>
        <v>Flat</v>
      </c>
      <c r="I1083" s="40" t="str">
        <f>IF($H1083="Percent",_xlfn.XLOOKUP($E1083,$A$5:$A$8,$F$5:$F$8,""),"")</f>
        <v/>
      </c>
      <c r="J1083" s="38">
        <f t="shared" si="126"/>
        <v>30</v>
      </c>
      <c r="K1083" t="str">
        <f t="shared" si="127"/>
        <v>Per pay period</v>
      </c>
      <c r="L1083" t="str">
        <f t="shared" si="128"/>
        <v>Every pay period (ongoing)</v>
      </c>
      <c r="M1083" s="39">
        <f t="array" ref="M1083">MAX(_xlfn.XLOOKUP($A1083,TRIM(SUBSTITUTE('worker file'!$A$2:$A$406,_xlfn.UNICHAR(160)," ")),'worker file'!$M$2:$M$406,0),_xlfn.XLOOKUP($B1083,TRIM('pay group &amp; schedule'!$A$2:$A$6),'pay group &amp; schedule'!$D$2:$D$6,0))</f>
        <v>46311</v>
      </c>
      <c r="N1083" s="39" t="str">
        <f t="array" ref="N1083">_xlfn.LET(_xlpm.t,_xlfn.XLOOKUP($A1083,TRIM(SUBSTITUTE('worker file'!$A$2:$A$406,_xlfn.UNICHAR(160)," ")),'worker file'!$N$2:$N$406,""),IF(N(_xlpm.t)=0,"",_xlpm.t))</f>
        <v/>
      </c>
    </row>
    <row r="1084" spans="1:14" x14ac:dyDescent="0.2">
      <c r="A1084" s="35" t="s">
        <v>465</v>
      </c>
      <c r="B1084" s="36" t="str">
        <f t="array" ref="B1084">_xlfn.XLOOKUP($A1084,TRIM(SUBSTITUTE('worker file'!$A$2:$A$406,_xlfn.UNICHAR(160)," ")),'worker file'!$L$2:$L$406,"Not found")</f>
        <v>US Semi-monthly</v>
      </c>
      <c r="C1084" s="36" t="str">
        <f t="array" ref="C1084">_xlfn.XLOOKUP($A1084,TRIM(SUBSTITUTE('worker file'!$A$2:$A$406,_xlfn.UNICHAR(160)," ")),'worker file'!$D$2:$D$406,"Not found")</f>
        <v>CA</v>
      </c>
      <c r="D1084" s="36" t="str">
        <f t="array" ref="D1084">_xlfn.XLOOKUP($A1084,TRIM(SUBSTITUTE('worker file'!$A$2:$A$406,_xlfn.UNICHAR(160)," ")),'worker file'!$Q$2:$Q$406,"Not found")</f>
        <v>Active</v>
      </c>
      <c r="E1084" s="35" t="s">
        <v>618</v>
      </c>
      <c r="F1084" t="str">
        <f t="shared" si="123"/>
        <v>401(k) Employee Deferral</v>
      </c>
      <c r="G1084" t="str">
        <f t="shared" si="124"/>
        <v>Pre-tax (exempt from FIT/SIT; subject to FICA)</v>
      </c>
      <c r="H1084" t="str">
        <f t="shared" si="125"/>
        <v>Percent</v>
      </c>
      <c r="I1084" s="37">
        <v>0.02</v>
      </c>
      <c r="J1084" s="38" t="str">
        <f t="shared" si="126"/>
        <v/>
      </c>
      <c r="K1084" t="str">
        <f t="shared" si="127"/>
        <v>Gross pay</v>
      </c>
      <c r="L1084" t="str">
        <f t="shared" si="128"/>
        <v>Every pay period (ongoing)</v>
      </c>
      <c r="M1084" s="39">
        <f t="array" ref="M1084">MAX(_xlfn.XLOOKUP($A1084,TRIM(SUBSTITUTE('worker file'!$A$2:$A$406,_xlfn.UNICHAR(160)," ")),'worker file'!$M$2:$M$406,0),_xlfn.XLOOKUP($B1084,TRIM('pay group &amp; schedule'!$A$2:$A$6),'pay group &amp; schedule'!$D$2:$D$6,0))</f>
        <v>46311</v>
      </c>
      <c r="N1084" s="39" t="str">
        <f t="array" ref="N1084">_xlfn.LET(_xlpm.t,_xlfn.XLOOKUP($A1084,TRIM(SUBSTITUTE('worker file'!$A$2:$A$406,_xlfn.UNICHAR(160)," ")),'worker file'!$N$2:$N$406,""),IF(N(_xlpm.t)=0,"",_xlpm.t))</f>
        <v/>
      </c>
    </row>
    <row r="1085" spans="1:14" x14ac:dyDescent="0.2">
      <c r="A1085" s="35" t="s">
        <v>465</v>
      </c>
      <c r="B1085" s="36" t="str">
        <f t="array" ref="B1085">_xlfn.XLOOKUP($A1085,TRIM(SUBSTITUTE('worker file'!$A$2:$A$406,_xlfn.UNICHAR(160)," ")),'worker file'!$L$2:$L$406,"Not found")</f>
        <v>US Semi-monthly</v>
      </c>
      <c r="C1085" s="36" t="str">
        <f t="array" ref="C1085">_xlfn.XLOOKUP($A1085,TRIM(SUBSTITUTE('worker file'!$A$2:$A$406,_xlfn.UNICHAR(160)," ")),'worker file'!$D$2:$D$406,"Not found")</f>
        <v>CA</v>
      </c>
      <c r="D1085" s="36" t="str">
        <f t="array" ref="D1085">_xlfn.XLOOKUP($A1085,TRIM(SUBSTITUTE('worker file'!$A$2:$A$406,_xlfn.UNICHAR(160)," ")),'worker file'!$Q$2:$Q$406,"Not found")</f>
        <v>Active</v>
      </c>
      <c r="E1085" s="35" t="s">
        <v>626</v>
      </c>
      <c r="F1085" t="str">
        <f t="shared" si="123"/>
        <v>Medical (Health) – Employee</v>
      </c>
      <c r="G1085" t="str">
        <f t="shared" si="124"/>
        <v>Pre-tax Section 125 (exempt from FIT/SIT/FICA)</v>
      </c>
      <c r="H1085" t="str">
        <f t="shared" si="125"/>
        <v>Flat</v>
      </c>
      <c r="I1085" s="40" t="str">
        <f>IF($H1085="Percent",_xlfn.XLOOKUP($E1085,$A$5:$A$8,$F$5:$F$8,""),"")</f>
        <v/>
      </c>
      <c r="J1085" s="38">
        <f t="shared" si="126"/>
        <v>200</v>
      </c>
      <c r="K1085" t="str">
        <f t="shared" si="127"/>
        <v>Per pay period</v>
      </c>
      <c r="L1085" t="str">
        <f t="shared" si="128"/>
        <v>Every pay period (ongoing)</v>
      </c>
      <c r="M1085" s="39">
        <f t="array" ref="M1085">MAX(_xlfn.XLOOKUP($A1085,TRIM(SUBSTITUTE('worker file'!$A$2:$A$406,_xlfn.UNICHAR(160)," ")),'worker file'!$M$2:$M$406,0),_xlfn.XLOOKUP($B1085,TRIM('pay group &amp; schedule'!$A$2:$A$6),'pay group &amp; schedule'!$D$2:$D$6,0))</f>
        <v>46311</v>
      </c>
      <c r="N1085" s="39" t="str">
        <f t="array" ref="N1085">_xlfn.LET(_xlpm.t,_xlfn.XLOOKUP($A1085,TRIM(SUBSTITUTE('worker file'!$A$2:$A$406,_xlfn.UNICHAR(160)," ")),'worker file'!$N$2:$N$406,""),IF(N(_xlpm.t)=0,"",_xlpm.t))</f>
        <v/>
      </c>
    </row>
    <row r="1086" spans="1:14" x14ac:dyDescent="0.2">
      <c r="A1086" s="35" t="s">
        <v>465</v>
      </c>
      <c r="B1086" s="36" t="str">
        <f t="array" ref="B1086">_xlfn.XLOOKUP($A1086,TRIM(SUBSTITUTE('worker file'!$A$2:$A$406,_xlfn.UNICHAR(160)," ")),'worker file'!$L$2:$L$406,"Not found")</f>
        <v>US Semi-monthly</v>
      </c>
      <c r="C1086" s="36" t="str">
        <f t="array" ref="C1086">_xlfn.XLOOKUP($A1086,TRIM(SUBSTITUTE('worker file'!$A$2:$A$406,_xlfn.UNICHAR(160)," ")),'worker file'!$D$2:$D$406,"Not found")</f>
        <v>CA</v>
      </c>
      <c r="D1086" s="36" t="str">
        <f t="array" ref="D1086">_xlfn.XLOOKUP($A1086,TRIM(SUBSTITUTE('worker file'!$A$2:$A$406,_xlfn.UNICHAR(160)," ")),'worker file'!$Q$2:$Q$406,"Not found")</f>
        <v>Active</v>
      </c>
      <c r="E1086" s="35" t="s">
        <v>632</v>
      </c>
      <c r="F1086" t="str">
        <f t="shared" si="123"/>
        <v>Dental – Employee</v>
      </c>
      <c r="G1086" t="str">
        <f t="shared" si="124"/>
        <v>Pre-tax Section 125 (exempt from FIT/SIT/FICA)</v>
      </c>
      <c r="H1086" t="str">
        <f t="shared" si="125"/>
        <v>Flat</v>
      </c>
      <c r="I1086" s="40" t="str">
        <f>IF($H1086="Percent",_xlfn.XLOOKUP($E1086,$A$5:$A$8,$F$5:$F$8,""),"")</f>
        <v/>
      </c>
      <c r="J1086" s="38">
        <f t="shared" si="126"/>
        <v>44</v>
      </c>
      <c r="K1086" t="str">
        <f t="shared" si="127"/>
        <v>Per pay period</v>
      </c>
      <c r="L1086" t="str">
        <f t="shared" si="128"/>
        <v>Every pay period (ongoing)</v>
      </c>
      <c r="M1086" s="39">
        <f t="array" ref="M1086">MAX(_xlfn.XLOOKUP($A1086,TRIM(SUBSTITUTE('worker file'!$A$2:$A$406,_xlfn.UNICHAR(160)," ")),'worker file'!$M$2:$M$406,0),_xlfn.XLOOKUP($B1086,TRIM('pay group &amp; schedule'!$A$2:$A$6),'pay group &amp; schedule'!$D$2:$D$6,0))</f>
        <v>46311</v>
      </c>
      <c r="N1086" s="39" t="str">
        <f t="array" ref="N1086">_xlfn.LET(_xlpm.t,_xlfn.XLOOKUP($A1086,TRIM(SUBSTITUTE('worker file'!$A$2:$A$406,_xlfn.UNICHAR(160)," ")),'worker file'!$N$2:$N$406,""),IF(N(_xlpm.t)=0,"",_xlpm.t))</f>
        <v/>
      </c>
    </row>
    <row r="1087" spans="1:14" x14ac:dyDescent="0.2">
      <c r="A1087" s="35" t="s">
        <v>465</v>
      </c>
      <c r="B1087" s="36" t="str">
        <f t="array" ref="B1087">_xlfn.XLOOKUP($A1087,TRIM(SUBSTITUTE('worker file'!$A$2:$A$406,_xlfn.UNICHAR(160)," ")),'worker file'!$L$2:$L$406,"Not found")</f>
        <v>US Semi-monthly</v>
      </c>
      <c r="C1087" s="36" t="str">
        <f t="array" ref="C1087">_xlfn.XLOOKUP($A1087,TRIM(SUBSTITUTE('worker file'!$A$2:$A$406,_xlfn.UNICHAR(160)," ")),'worker file'!$D$2:$D$406,"Not found")</f>
        <v>CA</v>
      </c>
      <c r="D1087" s="36" t="str">
        <f t="array" ref="D1087">_xlfn.XLOOKUP($A1087,TRIM(SUBSTITUTE('worker file'!$A$2:$A$406,_xlfn.UNICHAR(160)," ")),'worker file'!$Q$2:$Q$406,"Not found")</f>
        <v>Active</v>
      </c>
      <c r="E1087" s="35" t="s">
        <v>634</v>
      </c>
      <c r="F1087" t="str">
        <f t="shared" si="123"/>
        <v>Vision – Employee</v>
      </c>
      <c r="G1087" t="str">
        <f t="shared" si="124"/>
        <v>Pre-tax Section 125 (exempt from FIT/SIT/FICA)</v>
      </c>
      <c r="H1087" t="str">
        <f t="shared" si="125"/>
        <v>Flat</v>
      </c>
      <c r="I1087" s="40" t="str">
        <f>IF($H1087="Percent",_xlfn.XLOOKUP($E1087,$A$5:$A$8,$F$5:$F$8,""),"")</f>
        <v/>
      </c>
      <c r="J1087" s="38">
        <f t="shared" si="126"/>
        <v>30</v>
      </c>
      <c r="K1087" t="str">
        <f t="shared" si="127"/>
        <v>Per pay period</v>
      </c>
      <c r="L1087" t="str">
        <f t="shared" si="128"/>
        <v>Every pay period (ongoing)</v>
      </c>
      <c r="M1087" s="39">
        <f t="array" ref="M1087">MAX(_xlfn.XLOOKUP($A1087,TRIM(SUBSTITUTE('worker file'!$A$2:$A$406,_xlfn.UNICHAR(160)," ")),'worker file'!$M$2:$M$406,0),_xlfn.XLOOKUP($B1087,TRIM('pay group &amp; schedule'!$A$2:$A$6),'pay group &amp; schedule'!$D$2:$D$6,0))</f>
        <v>46311</v>
      </c>
      <c r="N1087" s="39" t="str">
        <f t="array" ref="N1087">_xlfn.LET(_xlpm.t,_xlfn.XLOOKUP($A1087,TRIM(SUBSTITUTE('worker file'!$A$2:$A$406,_xlfn.UNICHAR(160)," ")),'worker file'!$N$2:$N$406,""),IF(N(_xlpm.t)=0,"",_xlpm.t))</f>
        <v/>
      </c>
    </row>
    <row r="1088" spans="1:14" x14ac:dyDescent="0.2">
      <c r="A1088" s="35" t="s">
        <v>466</v>
      </c>
      <c r="B1088" s="36" t="str">
        <f t="array" ref="B1088">_xlfn.XLOOKUP($A1088,TRIM(SUBSTITUTE('worker file'!$A$2:$A$406,_xlfn.UNICHAR(160)," ")),'worker file'!$L$2:$L$406,"Not found")</f>
        <v>US Semi-monthly</v>
      </c>
      <c r="C1088" s="36" t="str">
        <f t="array" ref="C1088">_xlfn.XLOOKUP($A1088,TRIM(SUBSTITUTE('worker file'!$A$2:$A$406,_xlfn.UNICHAR(160)," ")),'worker file'!$D$2:$D$406,"Not found")</f>
        <v>WA</v>
      </c>
      <c r="D1088" s="36" t="str">
        <f t="array" ref="D1088">_xlfn.XLOOKUP($A1088,TRIM(SUBSTITUTE('worker file'!$A$2:$A$406,_xlfn.UNICHAR(160)," ")),'worker file'!$Q$2:$Q$406,"Not found")</f>
        <v>Active</v>
      </c>
      <c r="E1088" s="35" t="s">
        <v>618</v>
      </c>
      <c r="F1088" t="str">
        <f t="shared" si="123"/>
        <v>401(k) Employee Deferral</v>
      </c>
      <c r="G1088" t="str">
        <f t="shared" si="124"/>
        <v>Pre-tax (exempt from FIT/SIT; subject to FICA)</v>
      </c>
      <c r="H1088" t="str">
        <f t="shared" si="125"/>
        <v>Percent</v>
      </c>
      <c r="I1088" s="37">
        <v>7.0000000000000007E-2</v>
      </c>
      <c r="J1088" s="38" t="str">
        <f t="shared" si="126"/>
        <v/>
      </c>
      <c r="K1088" t="str">
        <f t="shared" si="127"/>
        <v>Gross pay</v>
      </c>
      <c r="L1088" t="str">
        <f t="shared" si="128"/>
        <v>Every pay period (ongoing)</v>
      </c>
      <c r="M1088" s="39">
        <f t="array" ref="M1088">MAX(_xlfn.XLOOKUP($A1088,TRIM(SUBSTITUTE('worker file'!$A$2:$A$406,_xlfn.UNICHAR(160)," ")),'worker file'!$M$2:$M$406,0),_xlfn.XLOOKUP($B1088,TRIM('pay group &amp; schedule'!$A$2:$A$6),'pay group &amp; schedule'!$D$2:$D$6,0))</f>
        <v>46311</v>
      </c>
      <c r="N1088" s="39" t="str">
        <f t="array" ref="N1088">_xlfn.LET(_xlpm.t,_xlfn.XLOOKUP($A1088,TRIM(SUBSTITUTE('worker file'!$A$2:$A$406,_xlfn.UNICHAR(160)," ")),'worker file'!$N$2:$N$406,""),IF(N(_xlpm.t)=0,"",_xlpm.t))</f>
        <v/>
      </c>
    </row>
    <row r="1089" spans="1:15" x14ac:dyDescent="0.2">
      <c r="A1089" s="35" t="s">
        <v>466</v>
      </c>
      <c r="B1089" s="36" t="str">
        <f t="array" ref="B1089">_xlfn.XLOOKUP($A1089,TRIM(SUBSTITUTE('worker file'!$A$2:$A$406,_xlfn.UNICHAR(160)," ")),'worker file'!$L$2:$L$406,"Not found")</f>
        <v>US Semi-monthly</v>
      </c>
      <c r="C1089" s="36" t="str">
        <f t="array" ref="C1089">_xlfn.XLOOKUP($A1089,TRIM(SUBSTITUTE('worker file'!$A$2:$A$406,_xlfn.UNICHAR(160)," ")),'worker file'!$D$2:$D$406,"Not found")</f>
        <v>WA</v>
      </c>
      <c r="D1089" s="36" t="str">
        <f t="array" ref="D1089">_xlfn.XLOOKUP($A1089,TRIM(SUBSTITUTE('worker file'!$A$2:$A$406,_xlfn.UNICHAR(160)," ")),'worker file'!$Q$2:$Q$406,"Not found")</f>
        <v>Active</v>
      </c>
      <c r="E1089" s="35" t="s">
        <v>626</v>
      </c>
      <c r="F1089" t="str">
        <f t="shared" si="123"/>
        <v>Medical (Health) – Employee</v>
      </c>
      <c r="G1089" t="str">
        <f t="shared" si="124"/>
        <v>Pre-tax Section 125 (exempt from FIT/SIT/FICA)</v>
      </c>
      <c r="H1089" t="str">
        <f t="shared" si="125"/>
        <v>Flat</v>
      </c>
      <c r="I1089" s="40" t="str">
        <f>IF($H1089="Percent",_xlfn.XLOOKUP($E1089,$A$5:$A$8,$F$5:$F$8,""),"")</f>
        <v/>
      </c>
      <c r="J1089" s="38">
        <f t="shared" si="126"/>
        <v>200</v>
      </c>
      <c r="K1089" t="str">
        <f t="shared" si="127"/>
        <v>Per pay period</v>
      </c>
      <c r="L1089" t="str">
        <f t="shared" si="128"/>
        <v>Every pay period (ongoing)</v>
      </c>
      <c r="M1089" s="39">
        <f t="array" ref="M1089">MAX(_xlfn.XLOOKUP($A1089,TRIM(SUBSTITUTE('worker file'!$A$2:$A$406,_xlfn.UNICHAR(160)," ")),'worker file'!$M$2:$M$406,0),_xlfn.XLOOKUP($B1089,TRIM('pay group &amp; schedule'!$A$2:$A$6),'pay group &amp; schedule'!$D$2:$D$6,0))</f>
        <v>46311</v>
      </c>
      <c r="N1089" s="39" t="str">
        <f t="array" ref="N1089">_xlfn.LET(_xlpm.t,_xlfn.XLOOKUP($A1089,TRIM(SUBSTITUTE('worker file'!$A$2:$A$406,_xlfn.UNICHAR(160)," ")),'worker file'!$N$2:$N$406,""),IF(N(_xlpm.t)=0,"",_xlpm.t))</f>
        <v/>
      </c>
    </row>
    <row r="1090" spans="1:15" x14ac:dyDescent="0.2">
      <c r="A1090" s="35" t="s">
        <v>466</v>
      </c>
      <c r="B1090" s="36" t="str">
        <f t="array" ref="B1090">_xlfn.XLOOKUP($A1090,TRIM(SUBSTITUTE('worker file'!$A$2:$A$406,_xlfn.UNICHAR(160)," ")),'worker file'!$L$2:$L$406,"Not found")</f>
        <v>US Semi-monthly</v>
      </c>
      <c r="C1090" s="36" t="str">
        <f t="array" ref="C1090">_xlfn.XLOOKUP($A1090,TRIM(SUBSTITUTE('worker file'!$A$2:$A$406,_xlfn.UNICHAR(160)," ")),'worker file'!$D$2:$D$406,"Not found")</f>
        <v>WA</v>
      </c>
      <c r="D1090" s="36" t="str">
        <f t="array" ref="D1090">_xlfn.XLOOKUP($A1090,TRIM(SUBSTITUTE('worker file'!$A$2:$A$406,_xlfn.UNICHAR(160)," ")),'worker file'!$Q$2:$Q$406,"Not found")</f>
        <v>Active</v>
      </c>
      <c r="E1090" s="35" t="s">
        <v>632</v>
      </c>
      <c r="F1090" t="str">
        <f t="shared" si="123"/>
        <v>Dental – Employee</v>
      </c>
      <c r="G1090" t="str">
        <f t="shared" si="124"/>
        <v>Pre-tax Section 125 (exempt from FIT/SIT/FICA)</v>
      </c>
      <c r="H1090" t="str">
        <f t="shared" si="125"/>
        <v>Flat</v>
      </c>
      <c r="I1090" s="40" t="str">
        <f>IF($H1090="Percent",_xlfn.XLOOKUP($E1090,$A$5:$A$8,$F$5:$F$8,""),"")</f>
        <v/>
      </c>
      <c r="J1090" s="38">
        <f t="shared" si="126"/>
        <v>44</v>
      </c>
      <c r="K1090" t="str">
        <f t="shared" si="127"/>
        <v>Per pay period</v>
      </c>
      <c r="L1090" t="str">
        <f t="shared" si="128"/>
        <v>Every pay period (ongoing)</v>
      </c>
      <c r="M1090" s="39">
        <f t="array" ref="M1090">MAX(_xlfn.XLOOKUP($A1090,TRIM(SUBSTITUTE('worker file'!$A$2:$A$406,_xlfn.UNICHAR(160)," ")),'worker file'!$M$2:$M$406,0),_xlfn.XLOOKUP($B1090,TRIM('pay group &amp; schedule'!$A$2:$A$6),'pay group &amp; schedule'!$D$2:$D$6,0))</f>
        <v>46311</v>
      </c>
      <c r="N1090" s="39" t="str">
        <f t="array" ref="N1090">_xlfn.LET(_xlpm.t,_xlfn.XLOOKUP($A1090,TRIM(SUBSTITUTE('worker file'!$A$2:$A$406,_xlfn.UNICHAR(160)," ")),'worker file'!$N$2:$N$406,""),IF(N(_xlpm.t)=0,"",_xlpm.t))</f>
        <v/>
      </c>
    </row>
    <row r="1091" spans="1:15" x14ac:dyDescent="0.2">
      <c r="A1091" s="35" t="s">
        <v>466</v>
      </c>
      <c r="B1091" s="36" t="str">
        <f t="array" ref="B1091">_xlfn.XLOOKUP($A1091,TRIM(SUBSTITUTE('worker file'!$A$2:$A$406,_xlfn.UNICHAR(160)," ")),'worker file'!$L$2:$L$406,"Not found")</f>
        <v>US Semi-monthly</v>
      </c>
      <c r="C1091" s="36" t="str">
        <f t="array" ref="C1091">_xlfn.XLOOKUP($A1091,TRIM(SUBSTITUTE('worker file'!$A$2:$A$406,_xlfn.UNICHAR(160)," ")),'worker file'!$D$2:$D$406,"Not found")</f>
        <v>WA</v>
      </c>
      <c r="D1091" s="36" t="str">
        <f t="array" ref="D1091">_xlfn.XLOOKUP($A1091,TRIM(SUBSTITUTE('worker file'!$A$2:$A$406,_xlfn.UNICHAR(160)," ")),'worker file'!$Q$2:$Q$406,"Not found")</f>
        <v>Active</v>
      </c>
      <c r="E1091" s="35" t="s">
        <v>634</v>
      </c>
      <c r="F1091" t="str">
        <f t="shared" si="123"/>
        <v>Vision – Employee</v>
      </c>
      <c r="G1091" t="str">
        <f t="shared" si="124"/>
        <v>Pre-tax Section 125 (exempt from FIT/SIT/FICA)</v>
      </c>
      <c r="H1091" t="str">
        <f t="shared" si="125"/>
        <v>Flat</v>
      </c>
      <c r="I1091" s="40" t="str">
        <f>IF($H1091="Percent",_xlfn.XLOOKUP($E1091,$A$5:$A$8,$F$5:$F$8,""),"")</f>
        <v/>
      </c>
      <c r="J1091" s="38">
        <f t="shared" si="126"/>
        <v>30</v>
      </c>
      <c r="K1091" t="str">
        <f t="shared" si="127"/>
        <v>Per pay period</v>
      </c>
      <c r="L1091" t="str">
        <f t="shared" si="128"/>
        <v>Every pay period (ongoing)</v>
      </c>
      <c r="M1091" s="39">
        <f t="array" ref="M1091">MAX(_xlfn.XLOOKUP($A1091,TRIM(SUBSTITUTE('worker file'!$A$2:$A$406,_xlfn.UNICHAR(160)," ")),'worker file'!$M$2:$M$406,0),_xlfn.XLOOKUP($B1091,TRIM('pay group &amp; schedule'!$A$2:$A$6),'pay group &amp; schedule'!$D$2:$D$6,0))</f>
        <v>46311</v>
      </c>
      <c r="N1091" s="39" t="str">
        <f t="array" ref="N1091">_xlfn.LET(_xlpm.t,_xlfn.XLOOKUP($A1091,TRIM(SUBSTITUTE('worker file'!$A$2:$A$406,_xlfn.UNICHAR(160)," ")),'worker file'!$N$2:$N$406,""),IF(N(_xlpm.t)=0,"",_xlpm.t))</f>
        <v/>
      </c>
    </row>
    <row r="1092" spans="1:15" x14ac:dyDescent="0.2">
      <c r="A1092" s="35" t="s">
        <v>472</v>
      </c>
      <c r="B1092" s="36" t="str">
        <f t="array" ref="B1092">_xlfn.XLOOKUP($A1092,TRIM(SUBSTITUTE('worker file'!$A$2:$A$406,_xlfn.UNICHAR(160)," ")),'worker file'!$L$2:$L$406,"Not found")</f>
        <v>US Semi-monthly</v>
      </c>
      <c r="C1092" s="36" t="str">
        <f t="array" ref="C1092">_xlfn.XLOOKUP($A1092,TRIM(SUBSTITUTE('worker file'!$A$2:$A$406,_xlfn.UNICHAR(160)," ")),'worker file'!$D$2:$D$406,"Not found")</f>
        <v>WA</v>
      </c>
      <c r="D1092" s="36" t="str">
        <f t="array" ref="D1092">_xlfn.XLOOKUP($A1092,TRIM(SUBSTITUTE('worker file'!$A$2:$A$406,_xlfn.UNICHAR(160)," ")),'worker file'!$Q$2:$Q$406,"Not found")</f>
        <v>New Hire</v>
      </c>
      <c r="E1092" s="35" t="s">
        <v>618</v>
      </c>
      <c r="F1092" t="str">
        <f t="shared" si="123"/>
        <v>401(k) Employee Deferral</v>
      </c>
      <c r="G1092" t="str">
        <f t="shared" si="124"/>
        <v>Pre-tax (exempt from FIT/SIT; subject to FICA)</v>
      </c>
      <c r="H1092" t="str">
        <f t="shared" si="125"/>
        <v>Percent</v>
      </c>
      <c r="I1092" s="37">
        <v>0.04</v>
      </c>
      <c r="J1092" s="38" t="str">
        <f t="shared" si="126"/>
        <v/>
      </c>
      <c r="K1092" t="str">
        <f t="shared" si="127"/>
        <v>Gross pay</v>
      </c>
      <c r="L1092" t="str">
        <f t="shared" si="128"/>
        <v>Every pay period (ongoing)</v>
      </c>
      <c r="M1092" s="39">
        <f t="array" ref="M1092">MAX(_xlfn.XLOOKUP($A1092,TRIM(SUBSTITUTE('worker file'!$A$2:$A$406,_xlfn.UNICHAR(160)," ")),'worker file'!$M$2:$M$406,0),_xlfn.XLOOKUP($B1092,TRIM('pay group &amp; schedule'!$A$2:$A$6),'pay group &amp; schedule'!$D$2:$D$6,0))</f>
        <v>46314</v>
      </c>
      <c r="N1092" s="39" t="str">
        <f t="array" ref="N1092">_xlfn.LET(_xlpm.t,_xlfn.XLOOKUP($A1092,TRIM(SUBSTITUTE('worker file'!$A$2:$A$406,_xlfn.UNICHAR(160)," ")),'worker file'!$N$2:$N$406,""),IF(N(_xlpm.t)=0,"",_xlpm.t))</f>
        <v/>
      </c>
      <c r="O1092" t="s">
        <v>647</v>
      </c>
    </row>
    <row r="1093" spans="1:15" x14ac:dyDescent="0.2">
      <c r="A1093" s="35" t="s">
        <v>472</v>
      </c>
      <c r="B1093" s="36" t="str">
        <f t="array" ref="B1093">_xlfn.XLOOKUP($A1093,TRIM(SUBSTITUTE('worker file'!$A$2:$A$406,_xlfn.UNICHAR(160)," ")),'worker file'!$L$2:$L$406,"Not found")</f>
        <v>US Semi-monthly</v>
      </c>
      <c r="C1093" s="36" t="str">
        <f t="array" ref="C1093">_xlfn.XLOOKUP($A1093,TRIM(SUBSTITUTE('worker file'!$A$2:$A$406,_xlfn.UNICHAR(160)," ")),'worker file'!$D$2:$D$406,"Not found")</f>
        <v>WA</v>
      </c>
      <c r="D1093" s="36" t="str">
        <f t="array" ref="D1093">_xlfn.XLOOKUP($A1093,TRIM(SUBSTITUTE('worker file'!$A$2:$A$406,_xlfn.UNICHAR(160)," ")),'worker file'!$Q$2:$Q$406,"Not found")</f>
        <v>New Hire</v>
      </c>
      <c r="E1093" s="35" t="s">
        <v>626</v>
      </c>
      <c r="F1093" t="str">
        <f t="shared" si="123"/>
        <v>Medical (Health) – Employee</v>
      </c>
      <c r="G1093" t="str">
        <f t="shared" si="124"/>
        <v>Pre-tax Section 125 (exempt from FIT/SIT/FICA)</v>
      </c>
      <c r="H1093" t="str">
        <f t="shared" si="125"/>
        <v>Flat</v>
      </c>
      <c r="I1093" s="40" t="str">
        <f>IF($H1093="Percent",_xlfn.XLOOKUP($E1093,$A$5:$A$8,$F$5:$F$8,""),"")</f>
        <v/>
      </c>
      <c r="J1093" s="38">
        <f t="shared" si="126"/>
        <v>200</v>
      </c>
      <c r="K1093" t="str">
        <f t="shared" si="127"/>
        <v>Per pay period</v>
      </c>
      <c r="L1093" t="str">
        <f t="shared" si="128"/>
        <v>Every pay period (ongoing)</v>
      </c>
      <c r="M1093" s="39">
        <f t="array" ref="M1093">MAX(_xlfn.XLOOKUP($A1093,TRIM(SUBSTITUTE('worker file'!$A$2:$A$406,_xlfn.UNICHAR(160)," ")),'worker file'!$M$2:$M$406,0),_xlfn.XLOOKUP($B1093,TRIM('pay group &amp; schedule'!$A$2:$A$6),'pay group &amp; schedule'!$D$2:$D$6,0))</f>
        <v>46314</v>
      </c>
      <c r="N1093" s="39" t="str">
        <f t="array" ref="N1093">_xlfn.LET(_xlpm.t,_xlfn.XLOOKUP($A1093,TRIM(SUBSTITUTE('worker file'!$A$2:$A$406,_xlfn.UNICHAR(160)," ")),'worker file'!$N$2:$N$406,""),IF(N(_xlpm.t)=0,"",_xlpm.t))</f>
        <v/>
      </c>
      <c r="O1093" t="s">
        <v>647</v>
      </c>
    </row>
    <row r="1094" spans="1:15" x14ac:dyDescent="0.2">
      <c r="A1094" s="35" t="s">
        <v>472</v>
      </c>
      <c r="B1094" s="36" t="str">
        <f t="array" ref="B1094">_xlfn.XLOOKUP($A1094,TRIM(SUBSTITUTE('worker file'!$A$2:$A$406,_xlfn.UNICHAR(160)," ")),'worker file'!$L$2:$L$406,"Not found")</f>
        <v>US Semi-monthly</v>
      </c>
      <c r="C1094" s="36" t="str">
        <f t="array" ref="C1094">_xlfn.XLOOKUP($A1094,TRIM(SUBSTITUTE('worker file'!$A$2:$A$406,_xlfn.UNICHAR(160)," ")),'worker file'!$D$2:$D$406,"Not found")</f>
        <v>WA</v>
      </c>
      <c r="D1094" s="36" t="str">
        <f t="array" ref="D1094">_xlfn.XLOOKUP($A1094,TRIM(SUBSTITUTE('worker file'!$A$2:$A$406,_xlfn.UNICHAR(160)," ")),'worker file'!$Q$2:$Q$406,"Not found")</f>
        <v>New Hire</v>
      </c>
      <c r="E1094" s="35" t="s">
        <v>632</v>
      </c>
      <c r="F1094" t="str">
        <f t="shared" si="123"/>
        <v>Dental – Employee</v>
      </c>
      <c r="G1094" t="str">
        <f t="shared" si="124"/>
        <v>Pre-tax Section 125 (exempt from FIT/SIT/FICA)</v>
      </c>
      <c r="H1094" t="str">
        <f t="shared" si="125"/>
        <v>Flat</v>
      </c>
      <c r="I1094" s="40" t="str">
        <f>IF($H1094="Percent",_xlfn.XLOOKUP($E1094,$A$5:$A$8,$F$5:$F$8,""),"")</f>
        <v/>
      </c>
      <c r="J1094" s="38">
        <f t="shared" si="126"/>
        <v>44</v>
      </c>
      <c r="K1094" t="str">
        <f t="shared" si="127"/>
        <v>Per pay period</v>
      </c>
      <c r="L1094" t="str">
        <f t="shared" si="128"/>
        <v>Every pay period (ongoing)</v>
      </c>
      <c r="M1094" s="39">
        <f t="array" ref="M1094">MAX(_xlfn.XLOOKUP($A1094,TRIM(SUBSTITUTE('worker file'!$A$2:$A$406,_xlfn.UNICHAR(160)," ")),'worker file'!$M$2:$M$406,0),_xlfn.XLOOKUP($B1094,TRIM('pay group &amp; schedule'!$A$2:$A$6),'pay group &amp; schedule'!$D$2:$D$6,0))</f>
        <v>46314</v>
      </c>
      <c r="N1094" s="39" t="str">
        <f t="array" ref="N1094">_xlfn.LET(_xlpm.t,_xlfn.XLOOKUP($A1094,TRIM(SUBSTITUTE('worker file'!$A$2:$A$406,_xlfn.UNICHAR(160)," ")),'worker file'!$N$2:$N$406,""),IF(N(_xlpm.t)=0,"",_xlpm.t))</f>
        <v/>
      </c>
      <c r="O1094" t="s">
        <v>647</v>
      </c>
    </row>
    <row r="1095" spans="1:15" x14ac:dyDescent="0.2">
      <c r="A1095" s="35" t="s">
        <v>472</v>
      </c>
      <c r="B1095" s="36" t="str">
        <f t="array" ref="B1095">_xlfn.XLOOKUP($A1095,TRIM(SUBSTITUTE('worker file'!$A$2:$A$406,_xlfn.UNICHAR(160)," ")),'worker file'!$L$2:$L$406,"Not found")</f>
        <v>US Semi-monthly</v>
      </c>
      <c r="C1095" s="36" t="str">
        <f t="array" ref="C1095">_xlfn.XLOOKUP($A1095,TRIM(SUBSTITUTE('worker file'!$A$2:$A$406,_xlfn.UNICHAR(160)," ")),'worker file'!$D$2:$D$406,"Not found")</f>
        <v>WA</v>
      </c>
      <c r="D1095" s="36" t="str">
        <f t="array" ref="D1095">_xlfn.XLOOKUP($A1095,TRIM(SUBSTITUTE('worker file'!$A$2:$A$406,_xlfn.UNICHAR(160)," ")),'worker file'!$Q$2:$Q$406,"Not found")</f>
        <v>New Hire</v>
      </c>
      <c r="E1095" s="35" t="s">
        <v>634</v>
      </c>
      <c r="F1095" t="str">
        <f t="shared" si="123"/>
        <v>Vision – Employee</v>
      </c>
      <c r="G1095" t="str">
        <f t="shared" si="124"/>
        <v>Pre-tax Section 125 (exempt from FIT/SIT/FICA)</v>
      </c>
      <c r="H1095" t="str">
        <f t="shared" si="125"/>
        <v>Flat</v>
      </c>
      <c r="I1095" s="40" t="str">
        <f>IF($H1095="Percent",_xlfn.XLOOKUP($E1095,$A$5:$A$8,$F$5:$F$8,""),"")</f>
        <v/>
      </c>
      <c r="J1095" s="38">
        <f t="shared" si="126"/>
        <v>30</v>
      </c>
      <c r="K1095" t="str">
        <f t="shared" si="127"/>
        <v>Per pay period</v>
      </c>
      <c r="L1095" t="str">
        <f t="shared" si="128"/>
        <v>Every pay period (ongoing)</v>
      </c>
      <c r="M1095" s="39">
        <f t="array" ref="M1095">MAX(_xlfn.XLOOKUP($A1095,TRIM(SUBSTITUTE('worker file'!$A$2:$A$406,_xlfn.UNICHAR(160)," ")),'worker file'!$M$2:$M$406,0),_xlfn.XLOOKUP($B1095,TRIM('pay group &amp; schedule'!$A$2:$A$6),'pay group &amp; schedule'!$D$2:$D$6,0))</f>
        <v>46314</v>
      </c>
      <c r="N1095" s="39" t="str">
        <f t="array" ref="N1095">_xlfn.LET(_xlpm.t,_xlfn.XLOOKUP($A1095,TRIM(SUBSTITUTE('worker file'!$A$2:$A$406,_xlfn.UNICHAR(160)," ")),'worker file'!$N$2:$N$406,""),IF(N(_xlpm.t)=0,"",_xlpm.t))</f>
        <v/>
      </c>
      <c r="O1095" t="s">
        <v>647</v>
      </c>
    </row>
    <row r="1096" spans="1:15" x14ac:dyDescent="0.2">
      <c r="A1096" s="35" t="s">
        <v>473</v>
      </c>
      <c r="B1096" s="36" t="str">
        <f t="array" ref="B1096">_xlfn.XLOOKUP($A1096,TRIM(SUBSTITUTE('worker file'!$A$2:$A$406,_xlfn.UNICHAR(160)," ")),'worker file'!$L$2:$L$406,"Not found")</f>
        <v>US Semi-monthly</v>
      </c>
      <c r="C1096" s="36" t="str">
        <f t="array" ref="C1096">_xlfn.XLOOKUP($A1096,TRIM(SUBSTITUTE('worker file'!$A$2:$A$406,_xlfn.UNICHAR(160)," ")),'worker file'!$D$2:$D$406,"Not found")</f>
        <v>TX</v>
      </c>
      <c r="D1096" s="36" t="str">
        <f t="array" ref="D1096">_xlfn.XLOOKUP($A1096,TRIM(SUBSTITUTE('worker file'!$A$2:$A$406,_xlfn.UNICHAR(160)," ")),'worker file'!$Q$2:$Q$406,"Not found")</f>
        <v>New Hire</v>
      </c>
      <c r="E1096" s="35" t="s">
        <v>618</v>
      </c>
      <c r="F1096" t="str">
        <f t="shared" si="123"/>
        <v>401(k) Employee Deferral</v>
      </c>
      <c r="G1096" t="str">
        <f t="shared" si="124"/>
        <v>Pre-tax (exempt from FIT/SIT; subject to FICA)</v>
      </c>
      <c r="H1096" t="str">
        <f t="shared" si="125"/>
        <v>Percent</v>
      </c>
      <c r="I1096" s="37">
        <v>0.01</v>
      </c>
      <c r="J1096" s="38" t="str">
        <f t="shared" si="126"/>
        <v/>
      </c>
      <c r="K1096" t="str">
        <f t="shared" si="127"/>
        <v>Gross pay</v>
      </c>
      <c r="L1096" t="str">
        <f t="shared" si="128"/>
        <v>Every pay period (ongoing)</v>
      </c>
      <c r="M1096" s="39">
        <f t="array" ref="M1096">MAX(_xlfn.XLOOKUP($A1096,TRIM(SUBSTITUTE('worker file'!$A$2:$A$406,_xlfn.UNICHAR(160)," ")),'worker file'!$M$2:$M$406,0),_xlfn.XLOOKUP($B1096,TRIM('pay group &amp; schedule'!$A$2:$A$6),'pay group &amp; schedule'!$D$2:$D$6,0))</f>
        <v>46313</v>
      </c>
      <c r="N1096" s="39" t="str">
        <f t="array" ref="N1096">_xlfn.LET(_xlpm.t,_xlfn.XLOOKUP($A1096,TRIM(SUBSTITUTE('worker file'!$A$2:$A$406,_xlfn.UNICHAR(160)," ")),'worker file'!$N$2:$N$406,""),IF(N(_xlpm.t)=0,"",_xlpm.t))</f>
        <v/>
      </c>
      <c r="O1096" t="s">
        <v>647</v>
      </c>
    </row>
    <row r="1097" spans="1:15" x14ac:dyDescent="0.2">
      <c r="A1097" s="35" t="s">
        <v>473</v>
      </c>
      <c r="B1097" s="36" t="str">
        <f t="array" ref="B1097">_xlfn.XLOOKUP($A1097,TRIM(SUBSTITUTE('worker file'!$A$2:$A$406,_xlfn.UNICHAR(160)," ")),'worker file'!$L$2:$L$406,"Not found")</f>
        <v>US Semi-monthly</v>
      </c>
      <c r="C1097" s="36" t="str">
        <f t="array" ref="C1097">_xlfn.XLOOKUP($A1097,TRIM(SUBSTITUTE('worker file'!$A$2:$A$406,_xlfn.UNICHAR(160)," ")),'worker file'!$D$2:$D$406,"Not found")</f>
        <v>TX</v>
      </c>
      <c r="D1097" s="36" t="str">
        <f t="array" ref="D1097">_xlfn.XLOOKUP($A1097,TRIM(SUBSTITUTE('worker file'!$A$2:$A$406,_xlfn.UNICHAR(160)," ")),'worker file'!$Q$2:$Q$406,"Not found")</f>
        <v>New Hire</v>
      </c>
      <c r="E1097" s="35" t="s">
        <v>626</v>
      </c>
      <c r="F1097" t="str">
        <f t="shared" si="123"/>
        <v>Medical (Health) – Employee</v>
      </c>
      <c r="G1097" t="str">
        <f t="shared" si="124"/>
        <v>Pre-tax Section 125 (exempt from FIT/SIT/FICA)</v>
      </c>
      <c r="H1097" t="str">
        <f t="shared" si="125"/>
        <v>Flat</v>
      </c>
      <c r="I1097" s="40" t="str">
        <f>IF($H1097="Percent",_xlfn.XLOOKUP($E1097,$A$5:$A$8,$F$5:$F$8,""),"")</f>
        <v/>
      </c>
      <c r="J1097" s="38">
        <f t="shared" si="126"/>
        <v>200</v>
      </c>
      <c r="K1097" t="str">
        <f t="shared" si="127"/>
        <v>Per pay period</v>
      </c>
      <c r="L1097" t="str">
        <f t="shared" si="128"/>
        <v>Every pay period (ongoing)</v>
      </c>
      <c r="M1097" s="39">
        <f t="array" ref="M1097">MAX(_xlfn.XLOOKUP($A1097,TRIM(SUBSTITUTE('worker file'!$A$2:$A$406,_xlfn.UNICHAR(160)," ")),'worker file'!$M$2:$M$406,0),_xlfn.XLOOKUP($B1097,TRIM('pay group &amp; schedule'!$A$2:$A$6),'pay group &amp; schedule'!$D$2:$D$6,0))</f>
        <v>46313</v>
      </c>
      <c r="N1097" s="39" t="str">
        <f t="array" ref="N1097">_xlfn.LET(_xlpm.t,_xlfn.XLOOKUP($A1097,TRIM(SUBSTITUTE('worker file'!$A$2:$A$406,_xlfn.UNICHAR(160)," ")),'worker file'!$N$2:$N$406,""),IF(N(_xlpm.t)=0,"",_xlpm.t))</f>
        <v/>
      </c>
      <c r="O1097" t="s">
        <v>647</v>
      </c>
    </row>
    <row r="1098" spans="1:15" x14ac:dyDescent="0.2">
      <c r="A1098" s="35" t="s">
        <v>473</v>
      </c>
      <c r="B1098" s="36" t="str">
        <f t="array" ref="B1098">_xlfn.XLOOKUP($A1098,TRIM(SUBSTITUTE('worker file'!$A$2:$A$406,_xlfn.UNICHAR(160)," ")),'worker file'!$L$2:$L$406,"Not found")</f>
        <v>US Semi-monthly</v>
      </c>
      <c r="C1098" s="36" t="str">
        <f t="array" ref="C1098">_xlfn.XLOOKUP($A1098,TRIM(SUBSTITUTE('worker file'!$A$2:$A$406,_xlfn.UNICHAR(160)," ")),'worker file'!$D$2:$D$406,"Not found")</f>
        <v>TX</v>
      </c>
      <c r="D1098" s="36" t="str">
        <f t="array" ref="D1098">_xlfn.XLOOKUP($A1098,TRIM(SUBSTITUTE('worker file'!$A$2:$A$406,_xlfn.UNICHAR(160)," ")),'worker file'!$Q$2:$Q$406,"Not found")</f>
        <v>New Hire</v>
      </c>
      <c r="E1098" s="35" t="s">
        <v>632</v>
      </c>
      <c r="F1098" t="str">
        <f t="shared" si="123"/>
        <v>Dental – Employee</v>
      </c>
      <c r="G1098" t="str">
        <f t="shared" si="124"/>
        <v>Pre-tax Section 125 (exempt from FIT/SIT/FICA)</v>
      </c>
      <c r="H1098" t="str">
        <f t="shared" si="125"/>
        <v>Flat</v>
      </c>
      <c r="I1098" s="40" t="str">
        <f>IF($H1098="Percent",_xlfn.XLOOKUP($E1098,$A$5:$A$8,$F$5:$F$8,""),"")</f>
        <v/>
      </c>
      <c r="J1098" s="38">
        <f t="shared" si="126"/>
        <v>44</v>
      </c>
      <c r="K1098" t="str">
        <f t="shared" si="127"/>
        <v>Per pay period</v>
      </c>
      <c r="L1098" t="str">
        <f t="shared" si="128"/>
        <v>Every pay period (ongoing)</v>
      </c>
      <c r="M1098" s="39">
        <f t="array" ref="M1098">MAX(_xlfn.XLOOKUP($A1098,TRIM(SUBSTITUTE('worker file'!$A$2:$A$406,_xlfn.UNICHAR(160)," ")),'worker file'!$M$2:$M$406,0),_xlfn.XLOOKUP($B1098,TRIM('pay group &amp; schedule'!$A$2:$A$6),'pay group &amp; schedule'!$D$2:$D$6,0))</f>
        <v>46313</v>
      </c>
      <c r="N1098" s="39" t="str">
        <f t="array" ref="N1098">_xlfn.LET(_xlpm.t,_xlfn.XLOOKUP($A1098,TRIM(SUBSTITUTE('worker file'!$A$2:$A$406,_xlfn.UNICHAR(160)," ")),'worker file'!$N$2:$N$406,""),IF(N(_xlpm.t)=0,"",_xlpm.t))</f>
        <v/>
      </c>
      <c r="O1098" t="s">
        <v>647</v>
      </c>
    </row>
    <row r="1099" spans="1:15" x14ac:dyDescent="0.2">
      <c r="A1099" s="35" t="s">
        <v>473</v>
      </c>
      <c r="B1099" s="36" t="str">
        <f t="array" ref="B1099">_xlfn.XLOOKUP($A1099,TRIM(SUBSTITUTE('worker file'!$A$2:$A$406,_xlfn.UNICHAR(160)," ")),'worker file'!$L$2:$L$406,"Not found")</f>
        <v>US Semi-monthly</v>
      </c>
      <c r="C1099" s="36" t="str">
        <f t="array" ref="C1099">_xlfn.XLOOKUP($A1099,TRIM(SUBSTITUTE('worker file'!$A$2:$A$406,_xlfn.UNICHAR(160)," ")),'worker file'!$D$2:$D$406,"Not found")</f>
        <v>TX</v>
      </c>
      <c r="D1099" s="36" t="str">
        <f t="array" ref="D1099">_xlfn.XLOOKUP($A1099,TRIM(SUBSTITUTE('worker file'!$A$2:$A$406,_xlfn.UNICHAR(160)," ")),'worker file'!$Q$2:$Q$406,"Not found")</f>
        <v>New Hire</v>
      </c>
      <c r="E1099" s="35" t="s">
        <v>634</v>
      </c>
      <c r="F1099" t="str">
        <f t="shared" si="123"/>
        <v>Vision – Employee</v>
      </c>
      <c r="G1099" t="str">
        <f t="shared" si="124"/>
        <v>Pre-tax Section 125 (exempt from FIT/SIT/FICA)</v>
      </c>
      <c r="H1099" t="str">
        <f t="shared" si="125"/>
        <v>Flat</v>
      </c>
      <c r="I1099" s="40" t="str">
        <f>IF($H1099="Percent",_xlfn.XLOOKUP($E1099,$A$5:$A$8,$F$5:$F$8,""),"")</f>
        <v/>
      </c>
      <c r="J1099" s="38">
        <f t="shared" si="126"/>
        <v>30</v>
      </c>
      <c r="K1099" t="str">
        <f t="shared" si="127"/>
        <v>Per pay period</v>
      </c>
      <c r="L1099" t="str">
        <f t="shared" si="128"/>
        <v>Every pay period (ongoing)</v>
      </c>
      <c r="M1099" s="39">
        <f t="array" ref="M1099">MAX(_xlfn.XLOOKUP($A1099,TRIM(SUBSTITUTE('worker file'!$A$2:$A$406,_xlfn.UNICHAR(160)," ")),'worker file'!$M$2:$M$406,0),_xlfn.XLOOKUP($B1099,TRIM('pay group &amp; schedule'!$A$2:$A$6),'pay group &amp; schedule'!$D$2:$D$6,0))</f>
        <v>46313</v>
      </c>
      <c r="N1099" s="39" t="str">
        <f t="array" ref="N1099">_xlfn.LET(_xlpm.t,_xlfn.XLOOKUP($A1099,TRIM(SUBSTITUTE('worker file'!$A$2:$A$406,_xlfn.UNICHAR(160)," ")),'worker file'!$N$2:$N$406,""),IF(N(_xlpm.t)=0,"",_xlpm.t))</f>
        <v/>
      </c>
      <c r="O1099" t="s">
        <v>647</v>
      </c>
    </row>
    <row r="1100" spans="1:15" x14ac:dyDescent="0.2">
      <c r="A1100" s="35" t="s">
        <v>474</v>
      </c>
      <c r="B1100" s="36" t="str">
        <f t="array" ref="B1100">_xlfn.XLOOKUP($A1100,TRIM(SUBSTITUTE('worker file'!$A$2:$A$406,_xlfn.UNICHAR(160)," ")),'worker file'!$L$2:$L$406,"Not found")</f>
        <v>US Semi-monthly</v>
      </c>
      <c r="C1100" s="36" t="str">
        <f t="array" ref="C1100">_xlfn.XLOOKUP($A1100,TRIM(SUBSTITUTE('worker file'!$A$2:$A$406,_xlfn.UNICHAR(160)," ")),'worker file'!$D$2:$D$406,"Not found")</f>
        <v>WA</v>
      </c>
      <c r="D1100" s="36" t="str">
        <f t="array" ref="D1100">_xlfn.XLOOKUP($A1100,TRIM(SUBSTITUTE('worker file'!$A$2:$A$406,_xlfn.UNICHAR(160)," ")),'worker file'!$Q$2:$Q$406,"Not found")</f>
        <v>New Hire</v>
      </c>
      <c r="E1100" s="35" t="s">
        <v>618</v>
      </c>
      <c r="F1100" t="str">
        <f t="shared" ref="F1100:F1123" si="130">_xlfn.XLOOKUP($E1100,$A$5:$A$8,$B$5:$B$8,"")</f>
        <v>401(k) Employee Deferral</v>
      </c>
      <c r="G1100" t="str">
        <f t="shared" ref="G1100:G1123" si="131">_xlfn.XLOOKUP($E1100,$A$5:$A$8,$D$5:$D$8,"")</f>
        <v>Pre-tax (exempt from FIT/SIT; subject to FICA)</v>
      </c>
      <c r="H1100" t="str">
        <f t="shared" ref="H1100:H1123" si="132">_xlfn.XLOOKUP($E1100,$A$5:$A$8,$E$5:$E$8,"")</f>
        <v>Percent</v>
      </c>
      <c r="I1100" s="37">
        <v>0.06</v>
      </c>
      <c r="J1100" s="38" t="str">
        <f t="shared" ref="J1100:J1123" si="133">IF($H1100="Flat",_xlfn.XLOOKUP($E1100,$A$5:$A$8,$F$5:$F$8,""),"")</f>
        <v/>
      </c>
      <c r="K1100" t="str">
        <f t="shared" ref="K1100:K1123" si="134">_xlfn.XLOOKUP($E1100,$A$5:$A$8,$G$5:$G$8,"")</f>
        <v>Gross pay</v>
      </c>
      <c r="L1100" t="str">
        <f t="shared" ref="L1100:L1123" si="135">_xlfn.XLOOKUP($E1100,$A$5:$A$8,$H$5:$H$8,"")</f>
        <v>Every pay period (ongoing)</v>
      </c>
      <c r="M1100" s="39">
        <f t="array" ref="M1100">MAX(_xlfn.XLOOKUP($A1100,TRIM(SUBSTITUTE('worker file'!$A$2:$A$406,_xlfn.UNICHAR(160)," ")),'worker file'!$M$2:$M$406,0),_xlfn.XLOOKUP($B1100,TRIM('pay group &amp; schedule'!$A$2:$A$6),'pay group &amp; schedule'!$D$2:$D$6,0))</f>
        <v>46315</v>
      </c>
      <c r="N1100" s="39" t="str">
        <f t="array" ref="N1100">_xlfn.LET(_xlpm.t,_xlfn.XLOOKUP($A1100,TRIM(SUBSTITUTE('worker file'!$A$2:$A$406,_xlfn.UNICHAR(160)," ")),'worker file'!$N$2:$N$406,""),IF(N(_xlpm.t)=0,"",_xlpm.t))</f>
        <v/>
      </c>
      <c r="O1100" t="s">
        <v>647</v>
      </c>
    </row>
    <row r="1101" spans="1:15" x14ac:dyDescent="0.2">
      <c r="A1101" s="35" t="s">
        <v>474</v>
      </c>
      <c r="B1101" s="36" t="str">
        <f t="array" ref="B1101">_xlfn.XLOOKUP($A1101,TRIM(SUBSTITUTE('worker file'!$A$2:$A$406,_xlfn.UNICHAR(160)," ")),'worker file'!$L$2:$L$406,"Not found")</f>
        <v>US Semi-monthly</v>
      </c>
      <c r="C1101" s="36" t="str">
        <f t="array" ref="C1101">_xlfn.XLOOKUP($A1101,TRIM(SUBSTITUTE('worker file'!$A$2:$A$406,_xlfn.UNICHAR(160)," ")),'worker file'!$D$2:$D$406,"Not found")</f>
        <v>WA</v>
      </c>
      <c r="D1101" s="36" t="str">
        <f t="array" ref="D1101">_xlfn.XLOOKUP($A1101,TRIM(SUBSTITUTE('worker file'!$A$2:$A$406,_xlfn.UNICHAR(160)," ")),'worker file'!$Q$2:$Q$406,"Not found")</f>
        <v>New Hire</v>
      </c>
      <c r="E1101" s="35" t="s">
        <v>626</v>
      </c>
      <c r="F1101" t="str">
        <f t="shared" si="130"/>
        <v>Medical (Health) – Employee</v>
      </c>
      <c r="G1101" t="str">
        <f t="shared" si="131"/>
        <v>Pre-tax Section 125 (exempt from FIT/SIT/FICA)</v>
      </c>
      <c r="H1101" t="str">
        <f t="shared" si="132"/>
        <v>Flat</v>
      </c>
      <c r="I1101" s="40" t="str">
        <f>IF($H1101="Percent",_xlfn.XLOOKUP($E1101,$A$5:$A$8,$F$5:$F$8,""),"")</f>
        <v/>
      </c>
      <c r="J1101" s="38">
        <f t="shared" si="133"/>
        <v>200</v>
      </c>
      <c r="K1101" t="str">
        <f t="shared" si="134"/>
        <v>Per pay period</v>
      </c>
      <c r="L1101" t="str">
        <f t="shared" si="135"/>
        <v>Every pay period (ongoing)</v>
      </c>
      <c r="M1101" s="39">
        <f t="array" ref="M1101">MAX(_xlfn.XLOOKUP($A1101,TRIM(SUBSTITUTE('worker file'!$A$2:$A$406,_xlfn.UNICHAR(160)," ")),'worker file'!$M$2:$M$406,0),_xlfn.XLOOKUP($B1101,TRIM('pay group &amp; schedule'!$A$2:$A$6),'pay group &amp; schedule'!$D$2:$D$6,0))</f>
        <v>46315</v>
      </c>
      <c r="N1101" s="39" t="str">
        <f t="array" ref="N1101">_xlfn.LET(_xlpm.t,_xlfn.XLOOKUP($A1101,TRIM(SUBSTITUTE('worker file'!$A$2:$A$406,_xlfn.UNICHAR(160)," ")),'worker file'!$N$2:$N$406,""),IF(N(_xlpm.t)=0,"",_xlpm.t))</f>
        <v/>
      </c>
      <c r="O1101" t="s">
        <v>647</v>
      </c>
    </row>
    <row r="1102" spans="1:15" x14ac:dyDescent="0.2">
      <c r="A1102" s="35" t="s">
        <v>474</v>
      </c>
      <c r="B1102" s="36" t="str">
        <f t="array" ref="B1102">_xlfn.XLOOKUP($A1102,TRIM(SUBSTITUTE('worker file'!$A$2:$A$406,_xlfn.UNICHAR(160)," ")),'worker file'!$L$2:$L$406,"Not found")</f>
        <v>US Semi-monthly</v>
      </c>
      <c r="C1102" s="36" t="str">
        <f t="array" ref="C1102">_xlfn.XLOOKUP($A1102,TRIM(SUBSTITUTE('worker file'!$A$2:$A$406,_xlfn.UNICHAR(160)," ")),'worker file'!$D$2:$D$406,"Not found")</f>
        <v>WA</v>
      </c>
      <c r="D1102" s="36" t="str">
        <f t="array" ref="D1102">_xlfn.XLOOKUP($A1102,TRIM(SUBSTITUTE('worker file'!$A$2:$A$406,_xlfn.UNICHAR(160)," ")),'worker file'!$Q$2:$Q$406,"Not found")</f>
        <v>New Hire</v>
      </c>
      <c r="E1102" s="35" t="s">
        <v>632</v>
      </c>
      <c r="F1102" t="str">
        <f t="shared" si="130"/>
        <v>Dental – Employee</v>
      </c>
      <c r="G1102" t="str">
        <f t="shared" si="131"/>
        <v>Pre-tax Section 125 (exempt from FIT/SIT/FICA)</v>
      </c>
      <c r="H1102" t="str">
        <f t="shared" si="132"/>
        <v>Flat</v>
      </c>
      <c r="I1102" s="40" t="str">
        <f>IF($H1102="Percent",_xlfn.XLOOKUP($E1102,$A$5:$A$8,$F$5:$F$8,""),"")</f>
        <v/>
      </c>
      <c r="J1102" s="38">
        <f t="shared" si="133"/>
        <v>44</v>
      </c>
      <c r="K1102" t="str">
        <f t="shared" si="134"/>
        <v>Per pay period</v>
      </c>
      <c r="L1102" t="str">
        <f t="shared" si="135"/>
        <v>Every pay period (ongoing)</v>
      </c>
      <c r="M1102" s="39">
        <f t="array" ref="M1102">MAX(_xlfn.XLOOKUP($A1102,TRIM(SUBSTITUTE('worker file'!$A$2:$A$406,_xlfn.UNICHAR(160)," ")),'worker file'!$M$2:$M$406,0),_xlfn.XLOOKUP($B1102,TRIM('pay group &amp; schedule'!$A$2:$A$6),'pay group &amp; schedule'!$D$2:$D$6,0))</f>
        <v>46315</v>
      </c>
      <c r="N1102" s="39" t="str">
        <f t="array" ref="N1102">_xlfn.LET(_xlpm.t,_xlfn.XLOOKUP($A1102,TRIM(SUBSTITUTE('worker file'!$A$2:$A$406,_xlfn.UNICHAR(160)," ")),'worker file'!$N$2:$N$406,""),IF(N(_xlpm.t)=0,"",_xlpm.t))</f>
        <v/>
      </c>
      <c r="O1102" t="s">
        <v>647</v>
      </c>
    </row>
    <row r="1103" spans="1:15" x14ac:dyDescent="0.2">
      <c r="A1103" s="35" t="s">
        <v>474</v>
      </c>
      <c r="B1103" s="36" t="str">
        <f t="array" ref="B1103">_xlfn.XLOOKUP($A1103,TRIM(SUBSTITUTE('worker file'!$A$2:$A$406,_xlfn.UNICHAR(160)," ")),'worker file'!$L$2:$L$406,"Not found")</f>
        <v>US Semi-monthly</v>
      </c>
      <c r="C1103" s="36" t="str">
        <f t="array" ref="C1103">_xlfn.XLOOKUP($A1103,TRIM(SUBSTITUTE('worker file'!$A$2:$A$406,_xlfn.UNICHAR(160)," ")),'worker file'!$D$2:$D$406,"Not found")</f>
        <v>WA</v>
      </c>
      <c r="D1103" s="36" t="str">
        <f t="array" ref="D1103">_xlfn.XLOOKUP($A1103,TRIM(SUBSTITUTE('worker file'!$A$2:$A$406,_xlfn.UNICHAR(160)," ")),'worker file'!$Q$2:$Q$406,"Not found")</f>
        <v>New Hire</v>
      </c>
      <c r="E1103" s="35" t="s">
        <v>634</v>
      </c>
      <c r="F1103" t="str">
        <f t="shared" si="130"/>
        <v>Vision – Employee</v>
      </c>
      <c r="G1103" t="str">
        <f t="shared" si="131"/>
        <v>Pre-tax Section 125 (exempt from FIT/SIT/FICA)</v>
      </c>
      <c r="H1103" t="str">
        <f t="shared" si="132"/>
        <v>Flat</v>
      </c>
      <c r="I1103" s="40" t="str">
        <f>IF($H1103="Percent",_xlfn.XLOOKUP($E1103,$A$5:$A$8,$F$5:$F$8,""),"")</f>
        <v/>
      </c>
      <c r="J1103" s="38">
        <f t="shared" si="133"/>
        <v>30</v>
      </c>
      <c r="K1103" t="str">
        <f t="shared" si="134"/>
        <v>Per pay period</v>
      </c>
      <c r="L1103" t="str">
        <f t="shared" si="135"/>
        <v>Every pay period (ongoing)</v>
      </c>
      <c r="M1103" s="39">
        <f t="array" ref="M1103">MAX(_xlfn.XLOOKUP($A1103,TRIM(SUBSTITUTE('worker file'!$A$2:$A$406,_xlfn.UNICHAR(160)," ")),'worker file'!$M$2:$M$406,0),_xlfn.XLOOKUP($B1103,TRIM('pay group &amp; schedule'!$A$2:$A$6),'pay group &amp; schedule'!$D$2:$D$6,0))</f>
        <v>46315</v>
      </c>
      <c r="N1103" s="39" t="str">
        <f t="array" ref="N1103">_xlfn.LET(_xlpm.t,_xlfn.XLOOKUP($A1103,TRIM(SUBSTITUTE('worker file'!$A$2:$A$406,_xlfn.UNICHAR(160)," ")),'worker file'!$N$2:$N$406,""),IF(N(_xlpm.t)=0,"",_xlpm.t))</f>
        <v/>
      </c>
      <c r="O1103" t="s">
        <v>647</v>
      </c>
    </row>
    <row r="1104" spans="1:15" x14ac:dyDescent="0.2">
      <c r="A1104" s="35" t="s">
        <v>475</v>
      </c>
      <c r="B1104" s="36" t="str">
        <f t="array" ref="B1104">_xlfn.XLOOKUP($A1104,TRIM(SUBSTITUTE('worker file'!$A$2:$A$406,_xlfn.UNICHAR(160)," ")),'worker file'!$L$2:$L$406,"Not found")</f>
        <v>US Semi-monthly</v>
      </c>
      <c r="C1104" s="36" t="str">
        <f t="array" ref="C1104">_xlfn.XLOOKUP($A1104,TRIM(SUBSTITUTE('worker file'!$A$2:$A$406,_xlfn.UNICHAR(160)," ")),'worker file'!$D$2:$D$406,"Not found")</f>
        <v>WA</v>
      </c>
      <c r="D1104" s="36" t="str">
        <f t="array" ref="D1104">_xlfn.XLOOKUP($A1104,TRIM(SUBSTITUTE('worker file'!$A$2:$A$406,_xlfn.UNICHAR(160)," ")),'worker file'!$Q$2:$Q$406,"Not found")</f>
        <v>New Hire</v>
      </c>
      <c r="E1104" s="35" t="s">
        <v>618</v>
      </c>
      <c r="F1104" t="str">
        <f t="shared" si="130"/>
        <v>401(k) Employee Deferral</v>
      </c>
      <c r="G1104" t="str">
        <f t="shared" si="131"/>
        <v>Pre-tax (exempt from FIT/SIT; subject to FICA)</v>
      </c>
      <c r="H1104" t="str">
        <f t="shared" si="132"/>
        <v>Percent</v>
      </c>
      <c r="I1104" s="37">
        <v>0.03</v>
      </c>
      <c r="J1104" s="38" t="str">
        <f t="shared" si="133"/>
        <v/>
      </c>
      <c r="K1104" t="str">
        <f t="shared" si="134"/>
        <v>Gross pay</v>
      </c>
      <c r="L1104" t="str">
        <f t="shared" si="135"/>
        <v>Every pay period (ongoing)</v>
      </c>
      <c r="M1104" s="39">
        <f t="array" ref="M1104">MAX(_xlfn.XLOOKUP($A1104,TRIM(SUBSTITUTE('worker file'!$A$2:$A$406,_xlfn.UNICHAR(160)," ")),'worker file'!$M$2:$M$406,0),_xlfn.XLOOKUP($B1104,TRIM('pay group &amp; schedule'!$A$2:$A$6),'pay group &amp; schedule'!$D$2:$D$6,0))</f>
        <v>46321</v>
      </c>
      <c r="N1104" s="39" t="str">
        <f t="array" ref="N1104">_xlfn.LET(_xlpm.t,_xlfn.XLOOKUP($A1104,TRIM(SUBSTITUTE('worker file'!$A$2:$A$406,_xlfn.UNICHAR(160)," ")),'worker file'!$N$2:$N$406,""),IF(N(_xlpm.t)=0,"",_xlpm.t))</f>
        <v/>
      </c>
      <c r="O1104" t="s">
        <v>647</v>
      </c>
    </row>
    <row r="1105" spans="1:15" x14ac:dyDescent="0.2">
      <c r="A1105" s="35" t="s">
        <v>475</v>
      </c>
      <c r="B1105" s="36" t="str">
        <f t="array" ref="B1105">_xlfn.XLOOKUP($A1105,TRIM(SUBSTITUTE('worker file'!$A$2:$A$406,_xlfn.UNICHAR(160)," ")),'worker file'!$L$2:$L$406,"Not found")</f>
        <v>US Semi-monthly</v>
      </c>
      <c r="C1105" s="36" t="str">
        <f t="array" ref="C1105">_xlfn.XLOOKUP($A1105,TRIM(SUBSTITUTE('worker file'!$A$2:$A$406,_xlfn.UNICHAR(160)," ")),'worker file'!$D$2:$D$406,"Not found")</f>
        <v>WA</v>
      </c>
      <c r="D1105" s="36" t="str">
        <f t="array" ref="D1105">_xlfn.XLOOKUP($A1105,TRIM(SUBSTITUTE('worker file'!$A$2:$A$406,_xlfn.UNICHAR(160)," ")),'worker file'!$Q$2:$Q$406,"Not found")</f>
        <v>New Hire</v>
      </c>
      <c r="E1105" s="35" t="s">
        <v>626</v>
      </c>
      <c r="F1105" t="str">
        <f t="shared" si="130"/>
        <v>Medical (Health) – Employee</v>
      </c>
      <c r="G1105" t="str">
        <f t="shared" si="131"/>
        <v>Pre-tax Section 125 (exempt from FIT/SIT/FICA)</v>
      </c>
      <c r="H1105" t="str">
        <f t="shared" si="132"/>
        <v>Flat</v>
      </c>
      <c r="I1105" s="40" t="str">
        <f>IF($H1105="Percent",_xlfn.XLOOKUP($E1105,$A$5:$A$8,$F$5:$F$8,""),"")</f>
        <v/>
      </c>
      <c r="J1105" s="38">
        <f t="shared" si="133"/>
        <v>200</v>
      </c>
      <c r="K1105" t="str">
        <f t="shared" si="134"/>
        <v>Per pay period</v>
      </c>
      <c r="L1105" t="str">
        <f t="shared" si="135"/>
        <v>Every pay period (ongoing)</v>
      </c>
      <c r="M1105" s="39">
        <f t="array" ref="M1105">MAX(_xlfn.XLOOKUP($A1105,TRIM(SUBSTITUTE('worker file'!$A$2:$A$406,_xlfn.UNICHAR(160)," ")),'worker file'!$M$2:$M$406,0),_xlfn.XLOOKUP($B1105,TRIM('pay group &amp; schedule'!$A$2:$A$6),'pay group &amp; schedule'!$D$2:$D$6,0))</f>
        <v>46321</v>
      </c>
      <c r="N1105" s="39" t="str">
        <f t="array" ref="N1105">_xlfn.LET(_xlpm.t,_xlfn.XLOOKUP($A1105,TRIM(SUBSTITUTE('worker file'!$A$2:$A$406,_xlfn.UNICHAR(160)," ")),'worker file'!$N$2:$N$406,""),IF(N(_xlpm.t)=0,"",_xlpm.t))</f>
        <v/>
      </c>
      <c r="O1105" t="s">
        <v>647</v>
      </c>
    </row>
    <row r="1106" spans="1:15" x14ac:dyDescent="0.2">
      <c r="A1106" s="35" t="s">
        <v>475</v>
      </c>
      <c r="B1106" s="36" t="str">
        <f t="array" ref="B1106">_xlfn.XLOOKUP($A1106,TRIM(SUBSTITUTE('worker file'!$A$2:$A$406,_xlfn.UNICHAR(160)," ")),'worker file'!$L$2:$L$406,"Not found")</f>
        <v>US Semi-monthly</v>
      </c>
      <c r="C1106" s="36" t="str">
        <f t="array" ref="C1106">_xlfn.XLOOKUP($A1106,TRIM(SUBSTITUTE('worker file'!$A$2:$A$406,_xlfn.UNICHAR(160)," ")),'worker file'!$D$2:$D$406,"Not found")</f>
        <v>WA</v>
      </c>
      <c r="D1106" s="36" t="str">
        <f t="array" ref="D1106">_xlfn.XLOOKUP($A1106,TRIM(SUBSTITUTE('worker file'!$A$2:$A$406,_xlfn.UNICHAR(160)," ")),'worker file'!$Q$2:$Q$406,"Not found")</f>
        <v>New Hire</v>
      </c>
      <c r="E1106" s="35" t="s">
        <v>632</v>
      </c>
      <c r="F1106" t="str">
        <f t="shared" si="130"/>
        <v>Dental – Employee</v>
      </c>
      <c r="G1106" t="str">
        <f t="shared" si="131"/>
        <v>Pre-tax Section 125 (exempt from FIT/SIT/FICA)</v>
      </c>
      <c r="H1106" t="str">
        <f t="shared" si="132"/>
        <v>Flat</v>
      </c>
      <c r="I1106" s="40" t="str">
        <f>IF($H1106="Percent",_xlfn.XLOOKUP($E1106,$A$5:$A$8,$F$5:$F$8,""),"")</f>
        <v/>
      </c>
      <c r="J1106" s="38">
        <f t="shared" si="133"/>
        <v>44</v>
      </c>
      <c r="K1106" t="str">
        <f t="shared" si="134"/>
        <v>Per pay period</v>
      </c>
      <c r="L1106" t="str">
        <f t="shared" si="135"/>
        <v>Every pay period (ongoing)</v>
      </c>
      <c r="M1106" s="39">
        <f t="array" ref="M1106">MAX(_xlfn.XLOOKUP($A1106,TRIM(SUBSTITUTE('worker file'!$A$2:$A$406,_xlfn.UNICHAR(160)," ")),'worker file'!$M$2:$M$406,0),_xlfn.XLOOKUP($B1106,TRIM('pay group &amp; schedule'!$A$2:$A$6),'pay group &amp; schedule'!$D$2:$D$6,0))</f>
        <v>46321</v>
      </c>
      <c r="N1106" s="39" t="str">
        <f t="array" ref="N1106">_xlfn.LET(_xlpm.t,_xlfn.XLOOKUP($A1106,TRIM(SUBSTITUTE('worker file'!$A$2:$A$406,_xlfn.UNICHAR(160)," ")),'worker file'!$N$2:$N$406,""),IF(N(_xlpm.t)=0,"",_xlpm.t))</f>
        <v/>
      </c>
      <c r="O1106" t="s">
        <v>647</v>
      </c>
    </row>
    <row r="1107" spans="1:15" x14ac:dyDescent="0.2">
      <c r="A1107" s="35" t="s">
        <v>475</v>
      </c>
      <c r="B1107" s="36" t="str">
        <f t="array" ref="B1107">_xlfn.XLOOKUP($A1107,TRIM(SUBSTITUTE('worker file'!$A$2:$A$406,_xlfn.UNICHAR(160)," ")),'worker file'!$L$2:$L$406,"Not found")</f>
        <v>US Semi-monthly</v>
      </c>
      <c r="C1107" s="36" t="str">
        <f t="array" ref="C1107">_xlfn.XLOOKUP($A1107,TRIM(SUBSTITUTE('worker file'!$A$2:$A$406,_xlfn.UNICHAR(160)," ")),'worker file'!$D$2:$D$406,"Not found")</f>
        <v>WA</v>
      </c>
      <c r="D1107" s="36" t="str">
        <f t="array" ref="D1107">_xlfn.XLOOKUP($A1107,TRIM(SUBSTITUTE('worker file'!$A$2:$A$406,_xlfn.UNICHAR(160)," ")),'worker file'!$Q$2:$Q$406,"Not found")</f>
        <v>New Hire</v>
      </c>
      <c r="E1107" s="35" t="s">
        <v>634</v>
      </c>
      <c r="F1107" t="str">
        <f t="shared" si="130"/>
        <v>Vision – Employee</v>
      </c>
      <c r="G1107" t="str">
        <f t="shared" si="131"/>
        <v>Pre-tax Section 125 (exempt from FIT/SIT/FICA)</v>
      </c>
      <c r="H1107" t="str">
        <f t="shared" si="132"/>
        <v>Flat</v>
      </c>
      <c r="I1107" s="40" t="str">
        <f>IF($H1107="Percent",_xlfn.XLOOKUP($E1107,$A$5:$A$8,$F$5:$F$8,""),"")</f>
        <v/>
      </c>
      <c r="J1107" s="38">
        <f t="shared" si="133"/>
        <v>30</v>
      </c>
      <c r="K1107" t="str">
        <f t="shared" si="134"/>
        <v>Per pay period</v>
      </c>
      <c r="L1107" t="str">
        <f t="shared" si="135"/>
        <v>Every pay period (ongoing)</v>
      </c>
      <c r="M1107" s="39">
        <f t="array" ref="M1107">MAX(_xlfn.XLOOKUP($A1107,TRIM(SUBSTITUTE('worker file'!$A$2:$A$406,_xlfn.UNICHAR(160)," ")),'worker file'!$M$2:$M$406,0),_xlfn.XLOOKUP($B1107,TRIM('pay group &amp; schedule'!$A$2:$A$6),'pay group &amp; schedule'!$D$2:$D$6,0))</f>
        <v>46321</v>
      </c>
      <c r="N1107" s="39" t="str">
        <f t="array" ref="N1107">_xlfn.LET(_xlpm.t,_xlfn.XLOOKUP($A1107,TRIM(SUBSTITUTE('worker file'!$A$2:$A$406,_xlfn.UNICHAR(160)," ")),'worker file'!$N$2:$N$406,""),IF(N(_xlpm.t)=0,"",_xlpm.t))</f>
        <v/>
      </c>
      <c r="O1107" t="s">
        <v>647</v>
      </c>
    </row>
    <row r="1108" spans="1:15" x14ac:dyDescent="0.2">
      <c r="A1108" s="35" t="s">
        <v>476</v>
      </c>
      <c r="B1108" s="36" t="str">
        <f t="array" ref="B1108">_xlfn.XLOOKUP($A1108,TRIM(SUBSTITUTE('worker file'!$A$2:$A$406,_xlfn.UNICHAR(160)," ")),'worker file'!$L$2:$L$406,"Not found")</f>
        <v>US Biweekly</v>
      </c>
      <c r="C1108" s="36" t="str">
        <f t="array" ref="C1108">_xlfn.XLOOKUP($A1108,TRIM(SUBSTITUTE('worker file'!$A$2:$A$406,_xlfn.UNICHAR(160)," ")),'worker file'!$D$2:$D$406,"Not found")</f>
        <v>TX</v>
      </c>
      <c r="D1108" s="36" t="str">
        <f t="array" ref="D1108">_xlfn.XLOOKUP($A1108,TRIM(SUBSTITUTE('worker file'!$A$2:$A$406,_xlfn.UNICHAR(160)," ")),'worker file'!$Q$2:$Q$406,"Not found")</f>
        <v>New Hire</v>
      </c>
      <c r="E1108" s="35" t="s">
        <v>618</v>
      </c>
      <c r="F1108" t="str">
        <f t="shared" si="130"/>
        <v>401(k) Employee Deferral</v>
      </c>
      <c r="G1108" t="str">
        <f t="shared" si="131"/>
        <v>Pre-tax (exempt from FIT/SIT; subject to FICA)</v>
      </c>
      <c r="H1108" t="str">
        <f t="shared" si="132"/>
        <v>Percent</v>
      </c>
      <c r="I1108" s="37">
        <v>0</v>
      </c>
      <c r="J1108" s="38" t="str">
        <f t="shared" si="133"/>
        <v/>
      </c>
      <c r="K1108" t="str">
        <f t="shared" si="134"/>
        <v>Gross pay</v>
      </c>
      <c r="L1108" t="str">
        <f t="shared" si="135"/>
        <v>Every pay period (ongoing)</v>
      </c>
      <c r="M1108" s="39">
        <f t="array" ref="M1108">MAX(_xlfn.XLOOKUP($A1108,TRIM(SUBSTITUTE('worker file'!$A$2:$A$406,_xlfn.UNICHAR(160)," ")),'worker file'!$M$2:$M$406,0),_xlfn.XLOOKUP($B1108,TRIM('pay group &amp; schedule'!$A$2:$A$6),'pay group &amp; schedule'!$D$2:$D$6,0))</f>
        <v>46302</v>
      </c>
      <c r="N1108" s="39" t="str">
        <f t="array" ref="N1108">_xlfn.LET(_xlpm.t,_xlfn.XLOOKUP($A1108,TRIM(SUBSTITUTE('worker file'!$A$2:$A$406,_xlfn.UNICHAR(160)," ")),'worker file'!$N$2:$N$406,""),IF(N(_xlpm.t)=0,"",_xlpm.t))</f>
        <v/>
      </c>
      <c r="O1108" t="s">
        <v>647</v>
      </c>
    </row>
    <row r="1109" spans="1:15" x14ac:dyDescent="0.2">
      <c r="A1109" s="35" t="s">
        <v>476</v>
      </c>
      <c r="B1109" s="36" t="str">
        <f t="array" ref="B1109">_xlfn.XLOOKUP($A1109,TRIM(SUBSTITUTE('worker file'!$A$2:$A$406,_xlfn.UNICHAR(160)," ")),'worker file'!$L$2:$L$406,"Not found")</f>
        <v>US Biweekly</v>
      </c>
      <c r="C1109" s="36" t="str">
        <f t="array" ref="C1109">_xlfn.XLOOKUP($A1109,TRIM(SUBSTITUTE('worker file'!$A$2:$A$406,_xlfn.UNICHAR(160)," ")),'worker file'!$D$2:$D$406,"Not found")</f>
        <v>TX</v>
      </c>
      <c r="D1109" s="36" t="str">
        <f t="array" ref="D1109">_xlfn.XLOOKUP($A1109,TRIM(SUBSTITUTE('worker file'!$A$2:$A$406,_xlfn.UNICHAR(160)," ")),'worker file'!$Q$2:$Q$406,"Not found")</f>
        <v>New Hire</v>
      </c>
      <c r="E1109" s="35" t="s">
        <v>626</v>
      </c>
      <c r="F1109" t="str">
        <f t="shared" si="130"/>
        <v>Medical (Health) – Employee</v>
      </c>
      <c r="G1109" t="str">
        <f t="shared" si="131"/>
        <v>Pre-tax Section 125 (exempt from FIT/SIT/FICA)</v>
      </c>
      <c r="H1109" t="str">
        <f t="shared" si="132"/>
        <v>Flat</v>
      </c>
      <c r="I1109" s="40" t="str">
        <f>IF($H1109="Percent",_xlfn.XLOOKUP($E1109,$A$5:$A$8,$F$5:$F$8,""),"")</f>
        <v/>
      </c>
      <c r="J1109" s="38">
        <f t="shared" si="133"/>
        <v>200</v>
      </c>
      <c r="K1109" t="str">
        <f t="shared" si="134"/>
        <v>Per pay period</v>
      </c>
      <c r="L1109" t="str">
        <f t="shared" si="135"/>
        <v>Every pay period (ongoing)</v>
      </c>
      <c r="M1109" s="39">
        <f t="array" ref="M1109">MAX(_xlfn.XLOOKUP($A1109,TRIM(SUBSTITUTE('worker file'!$A$2:$A$406,_xlfn.UNICHAR(160)," ")),'worker file'!$M$2:$M$406,0),_xlfn.XLOOKUP($B1109,TRIM('pay group &amp; schedule'!$A$2:$A$6),'pay group &amp; schedule'!$D$2:$D$6,0))</f>
        <v>46302</v>
      </c>
      <c r="N1109" s="39" t="str">
        <f t="array" ref="N1109">_xlfn.LET(_xlpm.t,_xlfn.XLOOKUP($A1109,TRIM(SUBSTITUTE('worker file'!$A$2:$A$406,_xlfn.UNICHAR(160)," ")),'worker file'!$N$2:$N$406,""),IF(N(_xlpm.t)=0,"",_xlpm.t))</f>
        <v/>
      </c>
      <c r="O1109" t="s">
        <v>647</v>
      </c>
    </row>
    <row r="1110" spans="1:15" x14ac:dyDescent="0.2">
      <c r="A1110" s="35" t="s">
        <v>476</v>
      </c>
      <c r="B1110" s="36" t="str">
        <f t="array" ref="B1110">_xlfn.XLOOKUP($A1110,TRIM(SUBSTITUTE('worker file'!$A$2:$A$406,_xlfn.UNICHAR(160)," ")),'worker file'!$L$2:$L$406,"Not found")</f>
        <v>US Biweekly</v>
      </c>
      <c r="C1110" s="36" t="str">
        <f t="array" ref="C1110">_xlfn.XLOOKUP($A1110,TRIM(SUBSTITUTE('worker file'!$A$2:$A$406,_xlfn.UNICHAR(160)," ")),'worker file'!$D$2:$D$406,"Not found")</f>
        <v>TX</v>
      </c>
      <c r="D1110" s="36" t="str">
        <f t="array" ref="D1110">_xlfn.XLOOKUP($A1110,TRIM(SUBSTITUTE('worker file'!$A$2:$A$406,_xlfn.UNICHAR(160)," ")),'worker file'!$Q$2:$Q$406,"Not found")</f>
        <v>New Hire</v>
      </c>
      <c r="E1110" s="35" t="s">
        <v>632</v>
      </c>
      <c r="F1110" t="str">
        <f t="shared" si="130"/>
        <v>Dental – Employee</v>
      </c>
      <c r="G1110" t="str">
        <f t="shared" si="131"/>
        <v>Pre-tax Section 125 (exempt from FIT/SIT/FICA)</v>
      </c>
      <c r="H1110" t="str">
        <f t="shared" si="132"/>
        <v>Flat</v>
      </c>
      <c r="I1110" s="40" t="str">
        <f>IF($H1110="Percent",_xlfn.XLOOKUP($E1110,$A$5:$A$8,$F$5:$F$8,""),"")</f>
        <v/>
      </c>
      <c r="J1110" s="38">
        <f t="shared" si="133"/>
        <v>44</v>
      </c>
      <c r="K1110" t="str">
        <f t="shared" si="134"/>
        <v>Per pay period</v>
      </c>
      <c r="L1110" t="str">
        <f t="shared" si="135"/>
        <v>Every pay period (ongoing)</v>
      </c>
      <c r="M1110" s="39">
        <f t="array" ref="M1110">MAX(_xlfn.XLOOKUP($A1110,TRIM(SUBSTITUTE('worker file'!$A$2:$A$406,_xlfn.UNICHAR(160)," ")),'worker file'!$M$2:$M$406,0),_xlfn.XLOOKUP($B1110,TRIM('pay group &amp; schedule'!$A$2:$A$6),'pay group &amp; schedule'!$D$2:$D$6,0))</f>
        <v>46302</v>
      </c>
      <c r="N1110" s="39" t="str">
        <f t="array" ref="N1110">_xlfn.LET(_xlpm.t,_xlfn.XLOOKUP($A1110,TRIM(SUBSTITUTE('worker file'!$A$2:$A$406,_xlfn.UNICHAR(160)," ")),'worker file'!$N$2:$N$406,""),IF(N(_xlpm.t)=0,"",_xlpm.t))</f>
        <v/>
      </c>
      <c r="O1110" t="s">
        <v>647</v>
      </c>
    </row>
    <row r="1111" spans="1:15" x14ac:dyDescent="0.2">
      <c r="A1111" s="35" t="s">
        <v>476</v>
      </c>
      <c r="B1111" s="36" t="str">
        <f t="array" ref="B1111">_xlfn.XLOOKUP($A1111,TRIM(SUBSTITUTE('worker file'!$A$2:$A$406,_xlfn.UNICHAR(160)," ")),'worker file'!$L$2:$L$406,"Not found")</f>
        <v>US Biweekly</v>
      </c>
      <c r="C1111" s="36" t="str">
        <f t="array" ref="C1111">_xlfn.XLOOKUP($A1111,TRIM(SUBSTITUTE('worker file'!$A$2:$A$406,_xlfn.UNICHAR(160)," ")),'worker file'!$D$2:$D$406,"Not found")</f>
        <v>TX</v>
      </c>
      <c r="D1111" s="36" t="str">
        <f t="array" ref="D1111">_xlfn.XLOOKUP($A1111,TRIM(SUBSTITUTE('worker file'!$A$2:$A$406,_xlfn.UNICHAR(160)," ")),'worker file'!$Q$2:$Q$406,"Not found")</f>
        <v>New Hire</v>
      </c>
      <c r="E1111" s="35" t="s">
        <v>634</v>
      </c>
      <c r="F1111" t="str">
        <f t="shared" si="130"/>
        <v>Vision – Employee</v>
      </c>
      <c r="G1111" t="str">
        <f t="shared" si="131"/>
        <v>Pre-tax Section 125 (exempt from FIT/SIT/FICA)</v>
      </c>
      <c r="H1111" t="str">
        <f t="shared" si="132"/>
        <v>Flat</v>
      </c>
      <c r="I1111" s="40" t="str">
        <f>IF($H1111="Percent",_xlfn.XLOOKUP($E1111,$A$5:$A$8,$F$5:$F$8,""),"")</f>
        <v/>
      </c>
      <c r="J1111" s="38">
        <f t="shared" si="133"/>
        <v>30</v>
      </c>
      <c r="K1111" t="str">
        <f t="shared" si="134"/>
        <v>Per pay period</v>
      </c>
      <c r="L1111" t="str">
        <f t="shared" si="135"/>
        <v>Every pay period (ongoing)</v>
      </c>
      <c r="M1111" s="39">
        <f t="array" ref="M1111">MAX(_xlfn.XLOOKUP($A1111,TRIM(SUBSTITUTE('worker file'!$A$2:$A$406,_xlfn.UNICHAR(160)," ")),'worker file'!$M$2:$M$406,0),_xlfn.XLOOKUP($B1111,TRIM('pay group &amp; schedule'!$A$2:$A$6),'pay group &amp; schedule'!$D$2:$D$6,0))</f>
        <v>46302</v>
      </c>
      <c r="N1111" s="39" t="str">
        <f t="array" ref="N1111">_xlfn.LET(_xlpm.t,_xlfn.XLOOKUP($A1111,TRIM(SUBSTITUTE('worker file'!$A$2:$A$406,_xlfn.UNICHAR(160)," ")),'worker file'!$N$2:$N$406,""),IF(N(_xlpm.t)=0,"",_xlpm.t))</f>
        <v/>
      </c>
      <c r="O1111" t="s">
        <v>647</v>
      </c>
    </row>
    <row r="1112" spans="1:15" x14ac:dyDescent="0.2">
      <c r="A1112" s="35" t="s">
        <v>477</v>
      </c>
      <c r="B1112" s="36" t="str">
        <f t="array" ref="B1112">_xlfn.XLOOKUP($A1112,TRIM(SUBSTITUTE('worker file'!$A$2:$A$406,_xlfn.UNICHAR(160)," ")),'worker file'!$L$2:$L$406,"Not found")</f>
        <v>US Semi-monthly</v>
      </c>
      <c r="C1112" s="36" t="str">
        <f t="array" ref="C1112">_xlfn.XLOOKUP($A1112,TRIM(SUBSTITUTE('worker file'!$A$2:$A$406,_xlfn.UNICHAR(160)," ")),'worker file'!$D$2:$D$406,"Not found")</f>
        <v>TX</v>
      </c>
      <c r="D1112" s="36" t="str">
        <f t="array" ref="D1112">_xlfn.XLOOKUP($A1112,TRIM(SUBSTITUTE('worker file'!$A$2:$A$406,_xlfn.UNICHAR(160)," ")),'worker file'!$Q$2:$Q$406,"Not found")</f>
        <v>New Hire</v>
      </c>
      <c r="E1112" s="35" t="s">
        <v>618</v>
      </c>
      <c r="F1112" t="str">
        <f t="shared" si="130"/>
        <v>401(k) Employee Deferral</v>
      </c>
      <c r="G1112" t="str">
        <f t="shared" si="131"/>
        <v>Pre-tax (exempt from FIT/SIT; subject to FICA)</v>
      </c>
      <c r="H1112" t="str">
        <f t="shared" si="132"/>
        <v>Percent</v>
      </c>
      <c r="I1112" s="37">
        <v>0.05</v>
      </c>
      <c r="J1112" s="38" t="str">
        <f t="shared" si="133"/>
        <v/>
      </c>
      <c r="K1112" t="str">
        <f t="shared" si="134"/>
        <v>Gross pay</v>
      </c>
      <c r="L1112" t="str">
        <f t="shared" si="135"/>
        <v>Every pay period (ongoing)</v>
      </c>
      <c r="M1112" s="39">
        <f t="array" ref="M1112">MAX(_xlfn.XLOOKUP($A1112,TRIM(SUBSTITUTE('worker file'!$A$2:$A$406,_xlfn.UNICHAR(160)," ")),'worker file'!$M$2:$M$406,0),_xlfn.XLOOKUP($B1112,TRIM('pay group &amp; schedule'!$A$2:$A$6),'pay group &amp; schedule'!$D$2:$D$6,0))</f>
        <v>46317</v>
      </c>
      <c r="N1112" s="39" t="str">
        <f t="array" ref="N1112">_xlfn.LET(_xlpm.t,_xlfn.XLOOKUP($A1112,TRIM(SUBSTITUTE('worker file'!$A$2:$A$406,_xlfn.UNICHAR(160)," ")),'worker file'!$N$2:$N$406,""),IF(N(_xlpm.t)=0,"",_xlpm.t))</f>
        <v/>
      </c>
      <c r="O1112" t="s">
        <v>647</v>
      </c>
    </row>
    <row r="1113" spans="1:15" x14ac:dyDescent="0.2">
      <c r="A1113" s="35" t="s">
        <v>477</v>
      </c>
      <c r="B1113" s="36" t="str">
        <f t="array" ref="B1113">_xlfn.XLOOKUP($A1113,TRIM(SUBSTITUTE('worker file'!$A$2:$A$406,_xlfn.UNICHAR(160)," ")),'worker file'!$L$2:$L$406,"Not found")</f>
        <v>US Semi-monthly</v>
      </c>
      <c r="C1113" s="36" t="str">
        <f t="array" ref="C1113">_xlfn.XLOOKUP($A1113,TRIM(SUBSTITUTE('worker file'!$A$2:$A$406,_xlfn.UNICHAR(160)," ")),'worker file'!$D$2:$D$406,"Not found")</f>
        <v>TX</v>
      </c>
      <c r="D1113" s="36" t="str">
        <f t="array" ref="D1113">_xlfn.XLOOKUP($A1113,TRIM(SUBSTITUTE('worker file'!$A$2:$A$406,_xlfn.UNICHAR(160)," ")),'worker file'!$Q$2:$Q$406,"Not found")</f>
        <v>New Hire</v>
      </c>
      <c r="E1113" s="35" t="s">
        <v>626</v>
      </c>
      <c r="F1113" t="str">
        <f t="shared" si="130"/>
        <v>Medical (Health) – Employee</v>
      </c>
      <c r="G1113" t="str">
        <f t="shared" si="131"/>
        <v>Pre-tax Section 125 (exempt from FIT/SIT/FICA)</v>
      </c>
      <c r="H1113" t="str">
        <f t="shared" si="132"/>
        <v>Flat</v>
      </c>
      <c r="I1113" s="40" t="str">
        <f>IF($H1113="Percent",_xlfn.XLOOKUP($E1113,$A$5:$A$8,$F$5:$F$8,""),"")</f>
        <v/>
      </c>
      <c r="J1113" s="38">
        <f t="shared" si="133"/>
        <v>200</v>
      </c>
      <c r="K1113" t="str">
        <f t="shared" si="134"/>
        <v>Per pay period</v>
      </c>
      <c r="L1113" t="str">
        <f t="shared" si="135"/>
        <v>Every pay period (ongoing)</v>
      </c>
      <c r="M1113" s="39">
        <f t="array" ref="M1113">MAX(_xlfn.XLOOKUP($A1113,TRIM(SUBSTITUTE('worker file'!$A$2:$A$406,_xlfn.UNICHAR(160)," ")),'worker file'!$M$2:$M$406,0),_xlfn.XLOOKUP($B1113,TRIM('pay group &amp; schedule'!$A$2:$A$6),'pay group &amp; schedule'!$D$2:$D$6,0))</f>
        <v>46317</v>
      </c>
      <c r="N1113" s="39" t="str">
        <f t="array" ref="N1113">_xlfn.LET(_xlpm.t,_xlfn.XLOOKUP($A1113,TRIM(SUBSTITUTE('worker file'!$A$2:$A$406,_xlfn.UNICHAR(160)," ")),'worker file'!$N$2:$N$406,""),IF(N(_xlpm.t)=0,"",_xlpm.t))</f>
        <v/>
      </c>
      <c r="O1113" t="s">
        <v>647</v>
      </c>
    </row>
    <row r="1114" spans="1:15" x14ac:dyDescent="0.2">
      <c r="A1114" s="35" t="s">
        <v>477</v>
      </c>
      <c r="B1114" s="36" t="str">
        <f t="array" ref="B1114">_xlfn.XLOOKUP($A1114,TRIM(SUBSTITUTE('worker file'!$A$2:$A$406,_xlfn.UNICHAR(160)," ")),'worker file'!$L$2:$L$406,"Not found")</f>
        <v>US Semi-monthly</v>
      </c>
      <c r="C1114" s="36" t="str">
        <f t="array" ref="C1114">_xlfn.XLOOKUP($A1114,TRIM(SUBSTITUTE('worker file'!$A$2:$A$406,_xlfn.UNICHAR(160)," ")),'worker file'!$D$2:$D$406,"Not found")</f>
        <v>TX</v>
      </c>
      <c r="D1114" s="36" t="str">
        <f t="array" ref="D1114">_xlfn.XLOOKUP($A1114,TRIM(SUBSTITUTE('worker file'!$A$2:$A$406,_xlfn.UNICHAR(160)," ")),'worker file'!$Q$2:$Q$406,"Not found")</f>
        <v>New Hire</v>
      </c>
      <c r="E1114" s="35" t="s">
        <v>632</v>
      </c>
      <c r="F1114" t="str">
        <f t="shared" si="130"/>
        <v>Dental – Employee</v>
      </c>
      <c r="G1114" t="str">
        <f t="shared" si="131"/>
        <v>Pre-tax Section 125 (exempt from FIT/SIT/FICA)</v>
      </c>
      <c r="H1114" t="str">
        <f t="shared" si="132"/>
        <v>Flat</v>
      </c>
      <c r="I1114" s="40" t="str">
        <f>IF($H1114="Percent",_xlfn.XLOOKUP($E1114,$A$5:$A$8,$F$5:$F$8,""),"")</f>
        <v/>
      </c>
      <c r="J1114" s="38">
        <f t="shared" si="133"/>
        <v>44</v>
      </c>
      <c r="K1114" t="str">
        <f t="shared" si="134"/>
        <v>Per pay period</v>
      </c>
      <c r="L1114" t="str">
        <f t="shared" si="135"/>
        <v>Every pay period (ongoing)</v>
      </c>
      <c r="M1114" s="39">
        <f t="array" ref="M1114">MAX(_xlfn.XLOOKUP($A1114,TRIM(SUBSTITUTE('worker file'!$A$2:$A$406,_xlfn.UNICHAR(160)," ")),'worker file'!$M$2:$M$406,0),_xlfn.XLOOKUP($B1114,TRIM('pay group &amp; schedule'!$A$2:$A$6),'pay group &amp; schedule'!$D$2:$D$6,0))</f>
        <v>46317</v>
      </c>
      <c r="N1114" s="39" t="str">
        <f t="array" ref="N1114">_xlfn.LET(_xlpm.t,_xlfn.XLOOKUP($A1114,TRIM(SUBSTITUTE('worker file'!$A$2:$A$406,_xlfn.UNICHAR(160)," ")),'worker file'!$N$2:$N$406,""),IF(N(_xlpm.t)=0,"",_xlpm.t))</f>
        <v/>
      </c>
      <c r="O1114" t="s">
        <v>647</v>
      </c>
    </row>
    <row r="1115" spans="1:15" x14ac:dyDescent="0.2">
      <c r="A1115" s="35" t="s">
        <v>477</v>
      </c>
      <c r="B1115" s="36" t="str">
        <f t="array" ref="B1115">_xlfn.XLOOKUP($A1115,TRIM(SUBSTITUTE('worker file'!$A$2:$A$406,_xlfn.UNICHAR(160)," ")),'worker file'!$L$2:$L$406,"Not found")</f>
        <v>US Semi-monthly</v>
      </c>
      <c r="C1115" s="36" t="str">
        <f t="array" ref="C1115">_xlfn.XLOOKUP($A1115,TRIM(SUBSTITUTE('worker file'!$A$2:$A$406,_xlfn.UNICHAR(160)," ")),'worker file'!$D$2:$D$406,"Not found")</f>
        <v>TX</v>
      </c>
      <c r="D1115" s="36" t="str">
        <f t="array" ref="D1115">_xlfn.XLOOKUP($A1115,TRIM(SUBSTITUTE('worker file'!$A$2:$A$406,_xlfn.UNICHAR(160)," ")),'worker file'!$Q$2:$Q$406,"Not found")</f>
        <v>New Hire</v>
      </c>
      <c r="E1115" s="35" t="s">
        <v>634</v>
      </c>
      <c r="F1115" t="str">
        <f t="shared" si="130"/>
        <v>Vision – Employee</v>
      </c>
      <c r="G1115" t="str">
        <f t="shared" si="131"/>
        <v>Pre-tax Section 125 (exempt from FIT/SIT/FICA)</v>
      </c>
      <c r="H1115" t="str">
        <f t="shared" si="132"/>
        <v>Flat</v>
      </c>
      <c r="I1115" s="40" t="str">
        <f>IF($H1115="Percent",_xlfn.XLOOKUP($E1115,$A$5:$A$8,$F$5:$F$8,""),"")</f>
        <v/>
      </c>
      <c r="J1115" s="38">
        <f t="shared" si="133"/>
        <v>30</v>
      </c>
      <c r="K1115" t="str">
        <f t="shared" si="134"/>
        <v>Per pay period</v>
      </c>
      <c r="L1115" t="str">
        <f t="shared" si="135"/>
        <v>Every pay period (ongoing)</v>
      </c>
      <c r="M1115" s="39">
        <f t="array" ref="M1115">MAX(_xlfn.XLOOKUP($A1115,TRIM(SUBSTITUTE('worker file'!$A$2:$A$406,_xlfn.UNICHAR(160)," ")),'worker file'!$M$2:$M$406,0),_xlfn.XLOOKUP($B1115,TRIM('pay group &amp; schedule'!$A$2:$A$6),'pay group &amp; schedule'!$D$2:$D$6,0))</f>
        <v>46317</v>
      </c>
      <c r="N1115" s="39" t="str">
        <f t="array" ref="N1115">_xlfn.LET(_xlpm.t,_xlfn.XLOOKUP($A1115,TRIM(SUBSTITUTE('worker file'!$A$2:$A$406,_xlfn.UNICHAR(160)," ")),'worker file'!$N$2:$N$406,""),IF(N(_xlpm.t)=0,"",_xlpm.t))</f>
        <v/>
      </c>
      <c r="O1115" t="s">
        <v>647</v>
      </c>
    </row>
    <row r="1116" spans="1:15" x14ac:dyDescent="0.2">
      <c r="A1116" s="35" t="s">
        <v>478</v>
      </c>
      <c r="B1116" s="36" t="str">
        <f t="array" ref="B1116">_xlfn.XLOOKUP($A1116,TRIM(SUBSTITUTE('worker file'!$A$2:$A$406,_xlfn.UNICHAR(160)," ")),'worker file'!$L$2:$L$406,"Not found")</f>
        <v>US Biweekly</v>
      </c>
      <c r="C1116" s="36" t="str">
        <f t="array" ref="C1116">_xlfn.XLOOKUP($A1116,TRIM(SUBSTITUTE('worker file'!$A$2:$A$406,_xlfn.UNICHAR(160)," ")),'worker file'!$D$2:$D$406,"Not found")</f>
        <v>TX</v>
      </c>
      <c r="D1116" s="36" t="str">
        <f t="array" ref="D1116">_xlfn.XLOOKUP($A1116,TRIM(SUBSTITUTE('worker file'!$A$2:$A$406,_xlfn.UNICHAR(160)," ")),'worker file'!$Q$2:$Q$406,"Not found")</f>
        <v>New Hire</v>
      </c>
      <c r="E1116" s="35" t="s">
        <v>618</v>
      </c>
      <c r="F1116" t="str">
        <f t="shared" si="130"/>
        <v>401(k) Employee Deferral</v>
      </c>
      <c r="G1116" t="str">
        <f t="shared" si="131"/>
        <v>Pre-tax (exempt from FIT/SIT; subject to FICA)</v>
      </c>
      <c r="H1116" t="str">
        <f t="shared" si="132"/>
        <v>Percent</v>
      </c>
      <c r="I1116" s="37">
        <v>0.02</v>
      </c>
      <c r="J1116" s="38" t="str">
        <f t="shared" si="133"/>
        <v/>
      </c>
      <c r="K1116" t="str">
        <f t="shared" si="134"/>
        <v>Gross pay</v>
      </c>
      <c r="L1116" t="str">
        <f t="shared" si="135"/>
        <v>Every pay period (ongoing)</v>
      </c>
      <c r="M1116" s="39">
        <f t="array" ref="M1116">MAX(_xlfn.XLOOKUP($A1116,TRIM(SUBSTITUTE('worker file'!$A$2:$A$406,_xlfn.UNICHAR(160)," ")),'worker file'!$M$2:$M$406,0),_xlfn.XLOOKUP($B1116,TRIM('pay group &amp; schedule'!$A$2:$A$6),'pay group &amp; schedule'!$D$2:$D$6,0))</f>
        <v>46309</v>
      </c>
      <c r="N1116" s="39" t="str">
        <f t="array" ref="N1116">_xlfn.LET(_xlpm.t,_xlfn.XLOOKUP($A1116,TRIM(SUBSTITUTE('worker file'!$A$2:$A$406,_xlfn.UNICHAR(160)," ")),'worker file'!$N$2:$N$406,""),IF(N(_xlpm.t)=0,"",_xlpm.t))</f>
        <v/>
      </c>
      <c r="O1116" t="s">
        <v>647</v>
      </c>
    </row>
    <row r="1117" spans="1:15" x14ac:dyDescent="0.2">
      <c r="A1117" s="35" t="s">
        <v>478</v>
      </c>
      <c r="B1117" s="36" t="str">
        <f t="array" ref="B1117">_xlfn.XLOOKUP($A1117,TRIM(SUBSTITUTE('worker file'!$A$2:$A$406,_xlfn.UNICHAR(160)," ")),'worker file'!$L$2:$L$406,"Not found")</f>
        <v>US Biweekly</v>
      </c>
      <c r="C1117" s="36" t="str">
        <f t="array" ref="C1117">_xlfn.XLOOKUP($A1117,TRIM(SUBSTITUTE('worker file'!$A$2:$A$406,_xlfn.UNICHAR(160)," ")),'worker file'!$D$2:$D$406,"Not found")</f>
        <v>TX</v>
      </c>
      <c r="D1117" s="36" t="str">
        <f t="array" ref="D1117">_xlfn.XLOOKUP($A1117,TRIM(SUBSTITUTE('worker file'!$A$2:$A$406,_xlfn.UNICHAR(160)," ")),'worker file'!$Q$2:$Q$406,"Not found")</f>
        <v>New Hire</v>
      </c>
      <c r="E1117" s="35" t="s">
        <v>626</v>
      </c>
      <c r="F1117" t="str">
        <f t="shared" si="130"/>
        <v>Medical (Health) – Employee</v>
      </c>
      <c r="G1117" t="str">
        <f t="shared" si="131"/>
        <v>Pre-tax Section 125 (exempt from FIT/SIT/FICA)</v>
      </c>
      <c r="H1117" t="str">
        <f t="shared" si="132"/>
        <v>Flat</v>
      </c>
      <c r="I1117" s="40" t="str">
        <f>IF($H1117="Percent",_xlfn.XLOOKUP($E1117,$A$5:$A$8,$F$5:$F$8,""),"")</f>
        <v/>
      </c>
      <c r="J1117" s="38">
        <f t="shared" si="133"/>
        <v>200</v>
      </c>
      <c r="K1117" t="str">
        <f t="shared" si="134"/>
        <v>Per pay period</v>
      </c>
      <c r="L1117" t="str">
        <f t="shared" si="135"/>
        <v>Every pay period (ongoing)</v>
      </c>
      <c r="M1117" s="39">
        <f t="array" ref="M1117">MAX(_xlfn.XLOOKUP($A1117,TRIM(SUBSTITUTE('worker file'!$A$2:$A$406,_xlfn.UNICHAR(160)," ")),'worker file'!$M$2:$M$406,0),_xlfn.XLOOKUP($B1117,TRIM('pay group &amp; schedule'!$A$2:$A$6),'pay group &amp; schedule'!$D$2:$D$6,0))</f>
        <v>46309</v>
      </c>
      <c r="N1117" s="39" t="str">
        <f t="array" ref="N1117">_xlfn.LET(_xlpm.t,_xlfn.XLOOKUP($A1117,TRIM(SUBSTITUTE('worker file'!$A$2:$A$406,_xlfn.UNICHAR(160)," ")),'worker file'!$N$2:$N$406,""),IF(N(_xlpm.t)=0,"",_xlpm.t))</f>
        <v/>
      </c>
      <c r="O1117" t="s">
        <v>647</v>
      </c>
    </row>
    <row r="1118" spans="1:15" x14ac:dyDescent="0.2">
      <c r="A1118" s="35" t="s">
        <v>478</v>
      </c>
      <c r="B1118" s="36" t="str">
        <f t="array" ref="B1118">_xlfn.XLOOKUP($A1118,TRIM(SUBSTITUTE('worker file'!$A$2:$A$406,_xlfn.UNICHAR(160)," ")),'worker file'!$L$2:$L$406,"Not found")</f>
        <v>US Biweekly</v>
      </c>
      <c r="C1118" s="36" t="str">
        <f t="array" ref="C1118">_xlfn.XLOOKUP($A1118,TRIM(SUBSTITUTE('worker file'!$A$2:$A$406,_xlfn.UNICHAR(160)," ")),'worker file'!$D$2:$D$406,"Not found")</f>
        <v>TX</v>
      </c>
      <c r="D1118" s="36" t="str">
        <f t="array" ref="D1118">_xlfn.XLOOKUP($A1118,TRIM(SUBSTITUTE('worker file'!$A$2:$A$406,_xlfn.UNICHAR(160)," ")),'worker file'!$Q$2:$Q$406,"Not found")</f>
        <v>New Hire</v>
      </c>
      <c r="E1118" s="35" t="s">
        <v>632</v>
      </c>
      <c r="F1118" t="str">
        <f t="shared" si="130"/>
        <v>Dental – Employee</v>
      </c>
      <c r="G1118" t="str">
        <f t="shared" si="131"/>
        <v>Pre-tax Section 125 (exempt from FIT/SIT/FICA)</v>
      </c>
      <c r="H1118" t="str">
        <f t="shared" si="132"/>
        <v>Flat</v>
      </c>
      <c r="I1118" s="40" t="str">
        <f>IF($H1118="Percent",_xlfn.XLOOKUP($E1118,$A$5:$A$8,$F$5:$F$8,""),"")</f>
        <v/>
      </c>
      <c r="J1118" s="38">
        <f t="shared" si="133"/>
        <v>44</v>
      </c>
      <c r="K1118" t="str">
        <f t="shared" si="134"/>
        <v>Per pay period</v>
      </c>
      <c r="L1118" t="str">
        <f t="shared" si="135"/>
        <v>Every pay period (ongoing)</v>
      </c>
      <c r="M1118" s="39">
        <f t="array" ref="M1118">MAX(_xlfn.XLOOKUP($A1118,TRIM(SUBSTITUTE('worker file'!$A$2:$A$406,_xlfn.UNICHAR(160)," ")),'worker file'!$M$2:$M$406,0),_xlfn.XLOOKUP($B1118,TRIM('pay group &amp; schedule'!$A$2:$A$6),'pay group &amp; schedule'!$D$2:$D$6,0))</f>
        <v>46309</v>
      </c>
      <c r="N1118" s="39" t="str">
        <f t="array" ref="N1118">_xlfn.LET(_xlpm.t,_xlfn.XLOOKUP($A1118,TRIM(SUBSTITUTE('worker file'!$A$2:$A$406,_xlfn.UNICHAR(160)," ")),'worker file'!$N$2:$N$406,""),IF(N(_xlpm.t)=0,"",_xlpm.t))</f>
        <v/>
      </c>
      <c r="O1118" t="s">
        <v>647</v>
      </c>
    </row>
    <row r="1119" spans="1:15" x14ac:dyDescent="0.2">
      <c r="A1119" s="35" t="s">
        <v>478</v>
      </c>
      <c r="B1119" s="36" t="str">
        <f t="array" ref="B1119">_xlfn.XLOOKUP($A1119,TRIM(SUBSTITUTE('worker file'!$A$2:$A$406,_xlfn.UNICHAR(160)," ")),'worker file'!$L$2:$L$406,"Not found")</f>
        <v>US Biweekly</v>
      </c>
      <c r="C1119" s="36" t="str">
        <f t="array" ref="C1119">_xlfn.XLOOKUP($A1119,TRIM(SUBSTITUTE('worker file'!$A$2:$A$406,_xlfn.UNICHAR(160)," ")),'worker file'!$D$2:$D$406,"Not found")</f>
        <v>TX</v>
      </c>
      <c r="D1119" s="36" t="str">
        <f t="array" ref="D1119">_xlfn.XLOOKUP($A1119,TRIM(SUBSTITUTE('worker file'!$A$2:$A$406,_xlfn.UNICHAR(160)," ")),'worker file'!$Q$2:$Q$406,"Not found")</f>
        <v>New Hire</v>
      </c>
      <c r="E1119" s="35" t="s">
        <v>634</v>
      </c>
      <c r="F1119" t="str">
        <f t="shared" si="130"/>
        <v>Vision – Employee</v>
      </c>
      <c r="G1119" t="str">
        <f t="shared" si="131"/>
        <v>Pre-tax Section 125 (exempt from FIT/SIT/FICA)</v>
      </c>
      <c r="H1119" t="str">
        <f t="shared" si="132"/>
        <v>Flat</v>
      </c>
      <c r="I1119" s="40" t="str">
        <f>IF($H1119="Percent",_xlfn.XLOOKUP($E1119,$A$5:$A$8,$F$5:$F$8,""),"")</f>
        <v/>
      </c>
      <c r="J1119" s="38">
        <f t="shared" si="133"/>
        <v>30</v>
      </c>
      <c r="K1119" t="str">
        <f t="shared" si="134"/>
        <v>Per pay period</v>
      </c>
      <c r="L1119" t="str">
        <f t="shared" si="135"/>
        <v>Every pay period (ongoing)</v>
      </c>
      <c r="M1119" s="39">
        <f t="array" ref="M1119">MAX(_xlfn.XLOOKUP($A1119,TRIM(SUBSTITUTE('worker file'!$A$2:$A$406,_xlfn.UNICHAR(160)," ")),'worker file'!$M$2:$M$406,0),_xlfn.XLOOKUP($B1119,TRIM('pay group &amp; schedule'!$A$2:$A$6),'pay group &amp; schedule'!$D$2:$D$6,0))</f>
        <v>46309</v>
      </c>
      <c r="N1119" s="39" t="str">
        <f t="array" ref="N1119">_xlfn.LET(_xlpm.t,_xlfn.XLOOKUP($A1119,TRIM(SUBSTITUTE('worker file'!$A$2:$A$406,_xlfn.UNICHAR(160)," ")),'worker file'!$N$2:$N$406,""),IF(N(_xlpm.t)=0,"",_xlpm.t))</f>
        <v/>
      </c>
      <c r="O1119" t="s">
        <v>647</v>
      </c>
    </row>
    <row r="1120" spans="1:15" x14ac:dyDescent="0.2">
      <c r="A1120" s="35" t="s">
        <v>479</v>
      </c>
      <c r="B1120" s="36" t="str">
        <f t="array" ref="B1120">_xlfn.XLOOKUP($A1120,TRIM(SUBSTITUTE('worker file'!$A$2:$A$406,_xlfn.UNICHAR(160)," ")),'worker file'!$L$2:$L$406,"Not found")</f>
        <v>US Semi-monthly</v>
      </c>
      <c r="C1120" s="36" t="str">
        <f t="array" ref="C1120">_xlfn.XLOOKUP($A1120,TRIM(SUBSTITUTE('worker file'!$A$2:$A$406,_xlfn.UNICHAR(160)," ")),'worker file'!$D$2:$D$406,"Not found")</f>
        <v>WA</v>
      </c>
      <c r="D1120" s="36" t="str">
        <f t="array" ref="D1120">_xlfn.XLOOKUP($A1120,TRIM(SUBSTITUTE('worker file'!$A$2:$A$406,_xlfn.UNICHAR(160)," ")),'worker file'!$Q$2:$Q$406,"Not found")</f>
        <v>New Hire</v>
      </c>
      <c r="E1120" s="35" t="s">
        <v>618</v>
      </c>
      <c r="F1120" t="str">
        <f t="shared" si="130"/>
        <v>401(k) Employee Deferral</v>
      </c>
      <c r="G1120" t="str">
        <f t="shared" si="131"/>
        <v>Pre-tax (exempt from FIT/SIT; subject to FICA)</v>
      </c>
      <c r="H1120" t="str">
        <f t="shared" si="132"/>
        <v>Percent</v>
      </c>
      <c r="I1120" s="37">
        <v>7.0000000000000007E-2</v>
      </c>
      <c r="J1120" s="38" t="str">
        <f t="shared" si="133"/>
        <v/>
      </c>
      <c r="K1120" t="str">
        <f t="shared" si="134"/>
        <v>Gross pay</v>
      </c>
      <c r="L1120" t="str">
        <f t="shared" si="135"/>
        <v>Every pay period (ongoing)</v>
      </c>
      <c r="M1120" s="39">
        <f t="array" ref="M1120">MAX(_xlfn.XLOOKUP($A1120,TRIM(SUBSTITUTE('worker file'!$A$2:$A$406,_xlfn.UNICHAR(160)," ")),'worker file'!$M$2:$M$406,0),_xlfn.XLOOKUP($B1120,TRIM('pay group &amp; schedule'!$A$2:$A$6),'pay group &amp; schedule'!$D$2:$D$6,0))</f>
        <v>46321</v>
      </c>
      <c r="N1120" s="39" t="str">
        <f t="array" ref="N1120">_xlfn.LET(_xlpm.t,_xlfn.XLOOKUP($A1120,TRIM(SUBSTITUTE('worker file'!$A$2:$A$406,_xlfn.UNICHAR(160)," ")),'worker file'!$N$2:$N$406,""),IF(N(_xlpm.t)=0,"",_xlpm.t))</f>
        <v/>
      </c>
      <c r="O1120" t="s">
        <v>647</v>
      </c>
    </row>
    <row r="1121" spans="1:15" x14ac:dyDescent="0.2">
      <c r="A1121" s="35" t="s">
        <v>479</v>
      </c>
      <c r="B1121" s="36" t="str">
        <f t="array" ref="B1121">_xlfn.XLOOKUP($A1121,TRIM(SUBSTITUTE('worker file'!$A$2:$A$406,_xlfn.UNICHAR(160)," ")),'worker file'!$L$2:$L$406,"Not found")</f>
        <v>US Semi-monthly</v>
      </c>
      <c r="C1121" s="36" t="str">
        <f t="array" ref="C1121">_xlfn.XLOOKUP($A1121,TRIM(SUBSTITUTE('worker file'!$A$2:$A$406,_xlfn.UNICHAR(160)," ")),'worker file'!$D$2:$D$406,"Not found")</f>
        <v>WA</v>
      </c>
      <c r="D1121" s="36" t="str">
        <f t="array" ref="D1121">_xlfn.XLOOKUP($A1121,TRIM(SUBSTITUTE('worker file'!$A$2:$A$406,_xlfn.UNICHAR(160)," ")),'worker file'!$Q$2:$Q$406,"Not found")</f>
        <v>New Hire</v>
      </c>
      <c r="E1121" s="35" t="s">
        <v>626</v>
      </c>
      <c r="F1121" t="str">
        <f t="shared" si="130"/>
        <v>Medical (Health) – Employee</v>
      </c>
      <c r="G1121" t="str">
        <f t="shared" si="131"/>
        <v>Pre-tax Section 125 (exempt from FIT/SIT/FICA)</v>
      </c>
      <c r="H1121" t="str">
        <f t="shared" si="132"/>
        <v>Flat</v>
      </c>
      <c r="I1121" s="40" t="str">
        <f>IF($H1121="Percent",_xlfn.XLOOKUP($E1121,$A$5:$A$8,$F$5:$F$8,""),"")</f>
        <v/>
      </c>
      <c r="J1121" s="38">
        <f t="shared" si="133"/>
        <v>200</v>
      </c>
      <c r="K1121" t="str">
        <f t="shared" si="134"/>
        <v>Per pay period</v>
      </c>
      <c r="L1121" t="str">
        <f t="shared" si="135"/>
        <v>Every pay period (ongoing)</v>
      </c>
      <c r="M1121" s="39">
        <f t="array" ref="M1121">MAX(_xlfn.XLOOKUP($A1121,TRIM(SUBSTITUTE('worker file'!$A$2:$A$406,_xlfn.UNICHAR(160)," ")),'worker file'!$M$2:$M$406,0),_xlfn.XLOOKUP($B1121,TRIM('pay group &amp; schedule'!$A$2:$A$6),'pay group &amp; schedule'!$D$2:$D$6,0))</f>
        <v>46321</v>
      </c>
      <c r="N1121" s="39" t="str">
        <f t="array" ref="N1121">_xlfn.LET(_xlpm.t,_xlfn.XLOOKUP($A1121,TRIM(SUBSTITUTE('worker file'!$A$2:$A$406,_xlfn.UNICHAR(160)," ")),'worker file'!$N$2:$N$406,""),IF(N(_xlpm.t)=0,"",_xlpm.t))</f>
        <v/>
      </c>
      <c r="O1121" t="s">
        <v>647</v>
      </c>
    </row>
    <row r="1122" spans="1:15" x14ac:dyDescent="0.2">
      <c r="A1122" s="35" t="s">
        <v>479</v>
      </c>
      <c r="B1122" s="36" t="str">
        <f t="array" ref="B1122">_xlfn.XLOOKUP($A1122,TRIM(SUBSTITUTE('worker file'!$A$2:$A$406,_xlfn.UNICHAR(160)," ")),'worker file'!$L$2:$L$406,"Not found")</f>
        <v>US Semi-monthly</v>
      </c>
      <c r="C1122" s="36" t="str">
        <f t="array" ref="C1122">_xlfn.XLOOKUP($A1122,TRIM(SUBSTITUTE('worker file'!$A$2:$A$406,_xlfn.UNICHAR(160)," ")),'worker file'!$D$2:$D$406,"Not found")</f>
        <v>WA</v>
      </c>
      <c r="D1122" s="36" t="str">
        <f t="array" ref="D1122">_xlfn.XLOOKUP($A1122,TRIM(SUBSTITUTE('worker file'!$A$2:$A$406,_xlfn.UNICHAR(160)," ")),'worker file'!$Q$2:$Q$406,"Not found")</f>
        <v>New Hire</v>
      </c>
      <c r="E1122" s="35" t="s">
        <v>632</v>
      </c>
      <c r="F1122" t="str">
        <f t="shared" si="130"/>
        <v>Dental – Employee</v>
      </c>
      <c r="G1122" t="str">
        <f t="shared" si="131"/>
        <v>Pre-tax Section 125 (exempt from FIT/SIT/FICA)</v>
      </c>
      <c r="H1122" t="str">
        <f t="shared" si="132"/>
        <v>Flat</v>
      </c>
      <c r="I1122" s="40" t="str">
        <f>IF($H1122="Percent",_xlfn.XLOOKUP($E1122,$A$5:$A$8,$F$5:$F$8,""),"")</f>
        <v/>
      </c>
      <c r="J1122" s="38">
        <f t="shared" si="133"/>
        <v>44</v>
      </c>
      <c r="K1122" t="str">
        <f t="shared" si="134"/>
        <v>Per pay period</v>
      </c>
      <c r="L1122" t="str">
        <f t="shared" si="135"/>
        <v>Every pay period (ongoing)</v>
      </c>
      <c r="M1122" s="39">
        <f t="array" ref="M1122">MAX(_xlfn.XLOOKUP($A1122,TRIM(SUBSTITUTE('worker file'!$A$2:$A$406,_xlfn.UNICHAR(160)," ")),'worker file'!$M$2:$M$406,0),_xlfn.XLOOKUP($B1122,TRIM('pay group &amp; schedule'!$A$2:$A$6),'pay group &amp; schedule'!$D$2:$D$6,0))</f>
        <v>46321</v>
      </c>
      <c r="N1122" s="39" t="str">
        <f t="array" ref="N1122">_xlfn.LET(_xlpm.t,_xlfn.XLOOKUP($A1122,TRIM(SUBSTITUTE('worker file'!$A$2:$A$406,_xlfn.UNICHAR(160)," ")),'worker file'!$N$2:$N$406,""),IF(N(_xlpm.t)=0,"",_xlpm.t))</f>
        <v/>
      </c>
      <c r="O1122" t="s">
        <v>647</v>
      </c>
    </row>
    <row r="1123" spans="1:15" x14ac:dyDescent="0.2">
      <c r="A1123" s="35" t="s">
        <v>479</v>
      </c>
      <c r="B1123" s="36" t="str">
        <f t="array" ref="B1123">_xlfn.XLOOKUP($A1123,TRIM(SUBSTITUTE('worker file'!$A$2:$A$406,_xlfn.UNICHAR(160)," ")),'worker file'!$L$2:$L$406,"Not found")</f>
        <v>US Semi-monthly</v>
      </c>
      <c r="C1123" s="36" t="str">
        <f t="array" ref="C1123">_xlfn.XLOOKUP($A1123,TRIM(SUBSTITUTE('worker file'!$A$2:$A$406,_xlfn.UNICHAR(160)," ")),'worker file'!$D$2:$D$406,"Not found")</f>
        <v>WA</v>
      </c>
      <c r="D1123" s="36" t="str">
        <f t="array" ref="D1123">_xlfn.XLOOKUP($A1123,TRIM(SUBSTITUTE('worker file'!$A$2:$A$406,_xlfn.UNICHAR(160)," ")),'worker file'!$Q$2:$Q$406,"Not found")</f>
        <v>New Hire</v>
      </c>
      <c r="E1123" s="35" t="s">
        <v>634</v>
      </c>
      <c r="F1123" t="str">
        <f t="shared" si="130"/>
        <v>Vision – Employee</v>
      </c>
      <c r="G1123" t="str">
        <f t="shared" si="131"/>
        <v>Pre-tax Section 125 (exempt from FIT/SIT/FICA)</v>
      </c>
      <c r="H1123" t="str">
        <f t="shared" si="132"/>
        <v>Flat</v>
      </c>
      <c r="I1123" s="40" t="str">
        <f>IF($H1123="Percent",_xlfn.XLOOKUP($E1123,$A$5:$A$8,$F$5:$F$8,""),"")</f>
        <v/>
      </c>
      <c r="J1123" s="38">
        <f t="shared" si="133"/>
        <v>30</v>
      </c>
      <c r="K1123" t="str">
        <f t="shared" si="134"/>
        <v>Per pay period</v>
      </c>
      <c r="L1123" t="str">
        <f t="shared" si="135"/>
        <v>Every pay period (ongoing)</v>
      </c>
      <c r="M1123" s="39">
        <f t="array" ref="M1123">MAX(_xlfn.XLOOKUP($A1123,TRIM(SUBSTITUTE('worker file'!$A$2:$A$406,_xlfn.UNICHAR(160)," ")),'worker file'!$M$2:$M$406,0),_xlfn.XLOOKUP($B1123,TRIM('pay group &amp; schedule'!$A$2:$A$6),'pay group &amp; schedule'!$D$2:$D$6,0))</f>
        <v>46321</v>
      </c>
      <c r="N1123" s="39" t="str">
        <f t="array" ref="N1123">_xlfn.LET(_xlpm.t,_xlfn.XLOOKUP($A1123,TRIM(SUBSTITUTE('worker file'!$A$2:$A$406,_xlfn.UNICHAR(160)," ")),'worker file'!$N$2:$N$406,""),IF(N(_xlpm.t)=0,"",_xlpm.t))</f>
        <v/>
      </c>
      <c r="O1123" t="s">
        <v>647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7"/>
  <sheetViews>
    <sheetView tabSelected="1" topLeftCell="I1" zoomScaleNormal="100" workbookViewId="0">
      <pane ySplit="1" topLeftCell="A45" activePane="bottomLeft" state="frozen"/>
      <selection activeCell="L1" sqref="L1"/>
      <selection pane="bottomLeft" activeCell="L63" sqref="L63"/>
    </sheetView>
  </sheetViews>
  <sheetFormatPr baseColWidth="10" defaultColWidth="10.5" defaultRowHeight="15" x14ac:dyDescent="0.2"/>
  <cols>
    <col min="1" max="1" width="11" customWidth="1"/>
    <col min="2" max="2" width="13.5" customWidth="1"/>
    <col min="3" max="5" width="14.1640625" customWidth="1"/>
    <col min="6" max="6" width="15.33203125" customWidth="1"/>
    <col min="7" max="7" width="16" customWidth="1"/>
    <col min="8" max="8" width="4.5" customWidth="1"/>
    <col min="9" max="9" width="20.1640625" customWidth="1"/>
    <col min="10" max="10" width="7.83203125" customWidth="1"/>
    <col min="11" max="11" width="4.6640625" customWidth="1"/>
    <col min="12" max="12" width="24.33203125" customWidth="1"/>
    <col min="13" max="13" width="8.33203125" customWidth="1"/>
    <col min="14" max="14" width="63.33203125" customWidth="1"/>
    <col min="15" max="15" width="17" customWidth="1"/>
    <col min="17" max="17" width="21.6640625" customWidth="1"/>
    <col min="19" max="19" width="34.1640625" customWidth="1"/>
    <col min="20" max="20" width="5" customWidth="1"/>
  </cols>
  <sheetData>
    <row r="1" spans="1:25" x14ac:dyDescent="0.2">
      <c r="A1" s="29" t="s">
        <v>637</v>
      </c>
      <c r="B1" s="29" t="s">
        <v>649</v>
      </c>
      <c r="C1" s="29" t="s">
        <v>11</v>
      </c>
      <c r="D1" s="29" t="s">
        <v>650</v>
      </c>
      <c r="E1" s="29" t="s">
        <v>651</v>
      </c>
      <c r="F1" s="29" t="s">
        <v>642</v>
      </c>
      <c r="G1" s="29" t="s">
        <v>643</v>
      </c>
      <c r="H1" s="29" t="s">
        <v>652</v>
      </c>
      <c r="I1" s="29" t="s">
        <v>653</v>
      </c>
      <c r="J1" s="29" t="s">
        <v>654</v>
      </c>
      <c r="K1" s="29" t="s">
        <v>546</v>
      </c>
      <c r="L1" s="29" t="s">
        <v>655</v>
      </c>
      <c r="M1" s="29" t="s">
        <v>16</v>
      </c>
      <c r="N1" s="29" t="s">
        <v>24</v>
      </c>
      <c r="O1" s="29" t="s">
        <v>656</v>
      </c>
      <c r="P1" s="29" t="s">
        <v>657</v>
      </c>
      <c r="Q1" s="29" t="s">
        <v>658</v>
      </c>
      <c r="R1" s="76"/>
      <c r="S1" s="76"/>
      <c r="T1" s="76"/>
      <c r="U1" s="76"/>
      <c r="V1" s="76"/>
      <c r="W1" s="76"/>
      <c r="X1" s="76"/>
      <c r="Y1" s="76"/>
    </row>
    <row r="2" spans="1:25" x14ac:dyDescent="0.2">
      <c r="A2" s="35" t="s">
        <v>98</v>
      </c>
      <c r="B2" s="35" t="s">
        <v>659</v>
      </c>
      <c r="C2" s="36" t="str">
        <f t="array" ref="C2">_xlfn.XLOOKUP(A2,TRIM(SUBSTITUTE('worker file'!$A$2:$A$406,_xlfn.UNICHAR(160)," ")),'worker file'!$L$2:$L$406,"Not found")</f>
        <v>US Semi-monthly</v>
      </c>
      <c r="D2" s="41">
        <f t="array" ref="D2">_xlfn.XLOOKUP(C2,TRIM('pay group &amp; schedule'!$A$2:$A$6),'pay group &amp; schedule'!$D$2:$D$6,"")</f>
        <v>46311</v>
      </c>
      <c r="E2" s="41">
        <f t="array" ref="E2">_xlfn.XLOOKUP(C2,TRIM('pay group &amp; schedule'!$A$2:$A$6),'pay group &amp; schedule'!$E$2:$E$6,"")</f>
        <v>46326</v>
      </c>
      <c r="F2" s="42">
        <v>46315</v>
      </c>
      <c r="G2" s="39">
        <f t="shared" ref="G2:G14" si="0">F2</f>
        <v>46315</v>
      </c>
      <c r="H2" t="str">
        <f t="shared" ref="H2:H33" si="1">TEXT(F2,"ddd")</f>
        <v>Tue</v>
      </c>
      <c r="I2" s="35" t="s">
        <v>566</v>
      </c>
      <c r="J2" s="43">
        <v>8</v>
      </c>
      <c r="K2" s="36" t="str">
        <f t="array" ref="K2">IF(I2="","",_xlfn.LET(_xlpm.u,_xlfn.XLOOKUP(A2&amp;"|"&amp;I2,TRIM(SUBSTITUTE('absence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2" t="str">
        <f t="shared" ref="L2:L33" si="2">IF(F2&gt;E2,"Future period",IF(AND(G2&lt;&gt;"",G2&lt;D2),"Prior period",IF(F2&lt;D2,"Started prior period – continues",IF(OR(G2="",G2&gt;E2),"Starts this period – continues","Current period"))))</f>
        <v>Current period</v>
      </c>
      <c r="M2" s="35" t="s">
        <v>660</v>
      </c>
      <c r="N2" s="35" t="s">
        <v>661</v>
      </c>
      <c r="O2" s="35"/>
      <c r="P2" s="35"/>
      <c r="Q2" s="35"/>
    </row>
    <row r="3" spans="1:25" x14ac:dyDescent="0.2">
      <c r="A3" s="35" t="s">
        <v>662</v>
      </c>
      <c r="B3" s="35" t="s">
        <v>659</v>
      </c>
      <c r="C3" s="36" t="str">
        <f t="array" ref="C3">_xlfn.XLOOKUP(A3,TRIM(SUBSTITUTE('worker file'!$A$2:$A$406,_xlfn.UNICHAR(160)," ")),'worker file'!$L$2:$L$406,"Not found")</f>
        <v>Canada Monthly</v>
      </c>
      <c r="D3" s="41">
        <f t="array" ref="D3">_xlfn.XLOOKUP(C3,TRIM('pay group &amp; schedule'!$A$2:$A$6),'pay group &amp; schedule'!$D$2:$D$6,"")</f>
        <v>46296</v>
      </c>
      <c r="E3" s="41">
        <f t="array" ref="E3">_xlfn.XLOOKUP(C3,TRIM('pay group &amp; schedule'!$A$2:$A$6),'pay group &amp; schedule'!$E$2:$E$6,"")</f>
        <v>46326</v>
      </c>
      <c r="F3" s="42">
        <v>46308</v>
      </c>
      <c r="G3" s="39">
        <f t="shared" si="0"/>
        <v>46308</v>
      </c>
      <c r="H3" t="str">
        <f t="shared" si="1"/>
        <v>Tue</v>
      </c>
      <c r="I3" s="35" t="s">
        <v>600</v>
      </c>
      <c r="J3" s="43">
        <v>1</v>
      </c>
      <c r="K3" s="36" t="str">
        <f t="array" ref="K3">IF(I3="","",_xlfn.LET(_xlpm.u,_xlfn.XLOOKUP(A3&amp;"|"&amp;I3,TRIM(SUBSTITUTE('absence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3" t="str">
        <f t="shared" si="2"/>
        <v>Current period</v>
      </c>
      <c r="M3" s="35" t="s">
        <v>660</v>
      </c>
      <c r="N3" s="35" t="s">
        <v>663</v>
      </c>
      <c r="O3" s="35"/>
      <c r="P3" s="35"/>
      <c r="Q3" s="35"/>
    </row>
    <row r="4" spans="1:25" x14ac:dyDescent="0.2">
      <c r="A4" s="35" t="s">
        <v>662</v>
      </c>
      <c r="B4" s="35" t="s">
        <v>659</v>
      </c>
      <c r="C4" s="36" t="str">
        <f t="array" ref="C4">_xlfn.XLOOKUP(A4,TRIM(SUBSTITUTE('worker file'!$A$2:$A$406,_xlfn.UNICHAR(160)," ")),'worker file'!$L$2:$L$406,"Not found")</f>
        <v>Canada Monthly</v>
      </c>
      <c r="D4" s="41">
        <f t="array" ref="D4">_xlfn.XLOOKUP(C4,TRIM('pay group &amp; schedule'!$A$2:$A$6),'pay group &amp; schedule'!$D$2:$D$6,"")</f>
        <v>46296</v>
      </c>
      <c r="E4" s="41">
        <f t="array" ref="E4">_xlfn.XLOOKUP(C4,TRIM('pay group &amp; schedule'!$A$2:$A$6),'pay group &amp; schedule'!$E$2:$E$6,"")</f>
        <v>46326</v>
      </c>
      <c r="F4" s="42">
        <v>46309</v>
      </c>
      <c r="G4" s="39">
        <f t="shared" si="0"/>
        <v>46309</v>
      </c>
      <c r="H4" t="str">
        <f t="shared" si="1"/>
        <v>Wed</v>
      </c>
      <c r="I4" s="35" t="s">
        <v>600</v>
      </c>
      <c r="J4" s="43">
        <v>1</v>
      </c>
      <c r="K4" s="36" t="str">
        <f t="array" ref="K4">IF(I4="","",_xlfn.LET(_xlpm.u,_xlfn.XLOOKUP(A4&amp;"|"&amp;I4,TRIM(SUBSTITUTE('absence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4" t="str">
        <f t="shared" si="2"/>
        <v>Current period</v>
      </c>
      <c r="M4" s="35" t="s">
        <v>660</v>
      </c>
      <c r="N4" s="35" t="s">
        <v>663</v>
      </c>
      <c r="O4" s="35"/>
      <c r="P4" s="35"/>
      <c r="Q4" s="35"/>
      <c r="T4" s="40"/>
    </row>
    <row r="5" spans="1:25" x14ac:dyDescent="0.2">
      <c r="A5" s="35" t="s">
        <v>171</v>
      </c>
      <c r="B5" s="35" t="s">
        <v>659</v>
      </c>
      <c r="C5" s="36" t="str">
        <f t="array" ref="C5">_xlfn.XLOOKUP(A5,TRIM(SUBSTITUTE('worker file'!$A$2:$A$406,_xlfn.UNICHAR(160)," ")),'worker file'!$L$2:$L$406,"Not found")</f>
        <v>India Monthly</v>
      </c>
      <c r="D5" s="41">
        <f t="array" ref="D5">_xlfn.XLOOKUP(C5,TRIM('pay group &amp; schedule'!$A$2:$A$6),'pay group &amp; schedule'!$D$2:$D$6,"")</f>
        <v>46296</v>
      </c>
      <c r="E5" s="41">
        <f t="array" ref="E5">_xlfn.XLOOKUP(C5,TRIM('pay group &amp; schedule'!$A$2:$A$6),'pay group &amp; schedule'!$E$2:$E$6,"")</f>
        <v>46326</v>
      </c>
      <c r="F5" s="42">
        <v>46302</v>
      </c>
      <c r="G5" s="39">
        <f t="shared" si="0"/>
        <v>46302</v>
      </c>
      <c r="H5" t="str">
        <f t="shared" si="1"/>
        <v>Wed</v>
      </c>
      <c r="I5" s="35" t="s">
        <v>586</v>
      </c>
      <c r="J5" s="43">
        <v>1</v>
      </c>
      <c r="K5" s="36" t="str">
        <f t="array" ref="K5">IF(I5="","",_xlfn.LET(_xlpm.u,_xlfn.XLOOKUP(A5&amp;"|"&amp;I5,TRIM(SUBSTITUTE('absence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5" t="str">
        <f t="shared" si="2"/>
        <v>Current period</v>
      </c>
      <c r="M5" s="35" t="s">
        <v>660</v>
      </c>
      <c r="N5" s="35" t="s">
        <v>661</v>
      </c>
      <c r="O5" s="35"/>
      <c r="P5" s="35"/>
      <c r="Q5" s="35"/>
    </row>
    <row r="6" spans="1:25" x14ac:dyDescent="0.2">
      <c r="A6" s="35" t="s">
        <v>171</v>
      </c>
      <c r="B6" s="35" t="s">
        <v>659</v>
      </c>
      <c r="C6" s="36" t="str">
        <f t="array" ref="C6">_xlfn.XLOOKUP(A6,TRIM(SUBSTITUTE('worker file'!$A$2:$A$406,_xlfn.UNICHAR(160)," ")),'worker file'!$L$2:$L$406,"Not found")</f>
        <v>India Monthly</v>
      </c>
      <c r="D6" s="41">
        <f t="array" ref="D6">_xlfn.XLOOKUP(C6,TRIM('pay group &amp; schedule'!$A$2:$A$6),'pay group &amp; schedule'!$D$2:$D$6,"")</f>
        <v>46296</v>
      </c>
      <c r="E6" s="41">
        <f t="array" ref="E6">_xlfn.XLOOKUP(C6,TRIM('pay group &amp; schedule'!$A$2:$A$6),'pay group &amp; schedule'!$E$2:$E$6,"")</f>
        <v>46326</v>
      </c>
      <c r="F6" s="42">
        <v>46317</v>
      </c>
      <c r="G6" s="39">
        <f t="shared" si="0"/>
        <v>46317</v>
      </c>
      <c r="H6" t="str">
        <f t="shared" si="1"/>
        <v>Thu</v>
      </c>
      <c r="I6" s="35" t="s">
        <v>584</v>
      </c>
      <c r="J6" s="43">
        <v>0.5</v>
      </c>
      <c r="K6" s="36" t="str">
        <f t="array" ref="K6">IF(I6="","",_xlfn.LET(_xlpm.u,_xlfn.XLOOKUP(A6&amp;"|"&amp;I6,TRIM(SUBSTITUTE('absence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" t="str">
        <f t="shared" si="2"/>
        <v>Current period</v>
      </c>
      <c r="M6" s="35" t="s">
        <v>660</v>
      </c>
      <c r="N6" s="35" t="s">
        <v>664</v>
      </c>
      <c r="O6" s="35"/>
      <c r="P6" s="35"/>
      <c r="Q6" s="35"/>
    </row>
    <row r="7" spans="1:25" x14ac:dyDescent="0.2">
      <c r="A7" s="35" t="s">
        <v>179</v>
      </c>
      <c r="B7" s="35" t="s">
        <v>659</v>
      </c>
      <c r="C7" s="36" t="str">
        <f t="array" ref="C7">_xlfn.XLOOKUP(A7,TRIM(SUBSTITUTE('worker file'!$A$2:$A$406,_xlfn.UNICHAR(160)," ")),'worker file'!$L$2:$L$406,"Not found")</f>
        <v>UK Monthly</v>
      </c>
      <c r="D7" s="41">
        <f t="array" ref="D7">_xlfn.XLOOKUP(C7,TRIM('pay group &amp; schedule'!$A$2:$A$6),'pay group &amp; schedule'!$D$2:$D$6,"")</f>
        <v>46296</v>
      </c>
      <c r="E7" s="41">
        <f t="array" ref="E7">_xlfn.XLOOKUP(C7,TRIM('pay group &amp; schedule'!$A$2:$A$6),'pay group &amp; schedule'!$E$2:$E$6,"")</f>
        <v>46326</v>
      </c>
      <c r="F7" s="42">
        <v>46324</v>
      </c>
      <c r="G7" s="39">
        <f t="shared" si="0"/>
        <v>46324</v>
      </c>
      <c r="H7" t="str">
        <f t="shared" si="1"/>
        <v>Thu</v>
      </c>
      <c r="I7" s="35" t="s">
        <v>588</v>
      </c>
      <c r="J7" s="43">
        <v>1</v>
      </c>
      <c r="K7" s="36" t="str">
        <f t="array" ref="K7">IF(I7="","",_xlfn.LET(_xlpm.u,_xlfn.XLOOKUP(A7&amp;"|"&amp;I7,TRIM(SUBSTITUTE('absence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7" t="str">
        <f t="shared" si="2"/>
        <v>Current period</v>
      </c>
      <c r="M7" s="35" t="s">
        <v>660</v>
      </c>
      <c r="N7" s="35" t="s">
        <v>665</v>
      </c>
      <c r="O7" s="35"/>
      <c r="P7" s="35"/>
      <c r="Q7" s="35"/>
    </row>
    <row r="8" spans="1:25" x14ac:dyDescent="0.2">
      <c r="A8" s="35" t="s">
        <v>179</v>
      </c>
      <c r="B8" s="35" t="s">
        <v>659</v>
      </c>
      <c r="C8" s="36" t="str">
        <f t="array" ref="C8">_xlfn.XLOOKUP(A8,TRIM(SUBSTITUTE('worker file'!$A$2:$A$406,_xlfn.UNICHAR(160)," ")),'worker file'!$L$2:$L$406,"Not found")</f>
        <v>UK Monthly</v>
      </c>
      <c r="D8" s="41">
        <f t="array" ref="D8">_xlfn.XLOOKUP(C8,TRIM('pay group &amp; schedule'!$A$2:$A$6),'pay group &amp; schedule'!$D$2:$D$6,"")</f>
        <v>46296</v>
      </c>
      <c r="E8" s="41">
        <f t="array" ref="E8">_xlfn.XLOOKUP(C8,TRIM('pay group &amp; schedule'!$A$2:$A$6),'pay group &amp; schedule'!$E$2:$E$6,"")</f>
        <v>46326</v>
      </c>
      <c r="F8" s="42">
        <v>46325</v>
      </c>
      <c r="G8" s="39">
        <f t="shared" si="0"/>
        <v>46325</v>
      </c>
      <c r="H8" t="str">
        <f t="shared" si="1"/>
        <v>Fri</v>
      </c>
      <c r="I8" s="35" t="s">
        <v>588</v>
      </c>
      <c r="J8" s="43">
        <v>1</v>
      </c>
      <c r="K8" s="36" t="str">
        <f t="array" ref="K8">IF(I8="","",_xlfn.LET(_xlpm.u,_xlfn.XLOOKUP(A8&amp;"|"&amp;I8,TRIM(SUBSTITUTE('absence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8" t="str">
        <f t="shared" si="2"/>
        <v>Current period</v>
      </c>
      <c r="M8" s="35" t="s">
        <v>660</v>
      </c>
      <c r="N8" s="35" t="s">
        <v>665</v>
      </c>
      <c r="O8" s="35"/>
      <c r="P8" s="35"/>
      <c r="Q8" s="35"/>
    </row>
    <row r="9" spans="1:25" x14ac:dyDescent="0.2">
      <c r="A9" s="35" t="s">
        <v>196</v>
      </c>
      <c r="B9" s="35" t="s">
        <v>659</v>
      </c>
      <c r="C9" s="36" t="str">
        <f t="array" ref="C9">_xlfn.XLOOKUP(A9,TRIM(SUBSTITUTE('worker file'!$A$2:$A$406,_xlfn.UNICHAR(160)," ")),'worker file'!$L$2:$L$406,"Not found")</f>
        <v>US Biweekly</v>
      </c>
      <c r="D9" s="41">
        <f t="array" ref="D9">_xlfn.XLOOKUP(C9,TRIM('pay group &amp; schedule'!$A$2:$A$6),'pay group &amp; schedule'!$D$2:$D$6,"")</f>
        <v>46299</v>
      </c>
      <c r="E9" s="41">
        <f t="array" ref="E9">_xlfn.XLOOKUP(C9,TRIM('pay group &amp; schedule'!$A$2:$A$6),'pay group &amp; schedule'!$E$2:$E$6,"")</f>
        <v>46312</v>
      </c>
      <c r="F9" s="42">
        <v>46302</v>
      </c>
      <c r="G9" s="39">
        <f t="shared" si="0"/>
        <v>46302</v>
      </c>
      <c r="H9" t="str">
        <f t="shared" si="1"/>
        <v>Wed</v>
      </c>
      <c r="I9" s="35" t="s">
        <v>573</v>
      </c>
      <c r="J9" s="43">
        <v>8</v>
      </c>
      <c r="K9" s="36" t="str">
        <f t="array" ref="K9">IF(I9="","",_xlfn.LET(_xlpm.u,_xlfn.XLOOKUP(A9&amp;"|"&amp;I9,TRIM(SUBSTITUTE('absence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9" t="str">
        <f t="shared" si="2"/>
        <v>Current period</v>
      </c>
      <c r="M9" s="35" t="s">
        <v>660</v>
      </c>
      <c r="N9" s="35" t="s">
        <v>666</v>
      </c>
      <c r="O9" s="35"/>
      <c r="P9" s="35"/>
      <c r="Q9" s="35"/>
    </row>
    <row r="10" spans="1:25" x14ac:dyDescent="0.2">
      <c r="A10" s="35" t="s">
        <v>196</v>
      </c>
      <c r="B10" s="35" t="s">
        <v>659</v>
      </c>
      <c r="C10" s="36" t="str">
        <f t="array" ref="C10">_xlfn.XLOOKUP(A10,TRIM(SUBSTITUTE('worker file'!$A$2:$A$406,_xlfn.UNICHAR(160)," ")),'worker file'!$L$2:$L$406,"Not found")</f>
        <v>US Biweekly</v>
      </c>
      <c r="D10" s="41">
        <f t="array" ref="D10">_xlfn.XLOOKUP(C10,TRIM('pay group &amp; schedule'!$A$2:$A$6),'pay group &amp; schedule'!$D$2:$D$6,"")</f>
        <v>46299</v>
      </c>
      <c r="E10" s="41">
        <f t="array" ref="E10">_xlfn.XLOOKUP(C10,TRIM('pay group &amp; schedule'!$A$2:$A$6),'pay group &amp; schedule'!$E$2:$E$6,"")</f>
        <v>46312</v>
      </c>
      <c r="F10" s="42">
        <v>46307</v>
      </c>
      <c r="G10" s="39">
        <f t="shared" si="0"/>
        <v>46307</v>
      </c>
      <c r="H10" t="str">
        <f t="shared" si="1"/>
        <v>Mon</v>
      </c>
      <c r="I10" s="35" t="s">
        <v>575</v>
      </c>
      <c r="J10" s="43">
        <v>4</v>
      </c>
      <c r="K10" s="36" t="str">
        <f t="array" ref="K10">IF(I10="","",_xlfn.LET(_xlpm.u,_xlfn.XLOOKUP(A10&amp;"|"&amp;I10,TRIM(SUBSTITUTE('absence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0" t="str">
        <f t="shared" si="2"/>
        <v>Current period</v>
      </c>
      <c r="M10" s="35" t="s">
        <v>660</v>
      </c>
      <c r="N10" s="35" t="s">
        <v>667</v>
      </c>
      <c r="O10" s="35"/>
      <c r="P10" s="35"/>
      <c r="Q10" s="35"/>
    </row>
    <row r="11" spans="1:25" x14ac:dyDescent="0.2">
      <c r="A11" s="35" t="s">
        <v>196</v>
      </c>
      <c r="B11" s="35" t="s">
        <v>659</v>
      </c>
      <c r="C11" s="36" t="str">
        <f t="array" ref="C11">_xlfn.XLOOKUP(A11,TRIM(SUBSTITUTE('worker file'!$A$2:$A$406,_xlfn.UNICHAR(160)," ")),'worker file'!$L$2:$L$406,"Not found")</f>
        <v>US Biweekly</v>
      </c>
      <c r="D11" s="41">
        <f t="array" ref="D11">_xlfn.XLOOKUP(C11,TRIM('pay group &amp; schedule'!$A$2:$A$6),'pay group &amp; schedule'!$D$2:$D$6,"")</f>
        <v>46299</v>
      </c>
      <c r="E11" s="41">
        <f t="array" ref="E11">_xlfn.XLOOKUP(C11,TRIM('pay group &amp; schedule'!$A$2:$A$6),'pay group &amp; schedule'!$E$2:$E$6,"")</f>
        <v>46312</v>
      </c>
      <c r="F11" s="42">
        <v>46314</v>
      </c>
      <c r="G11" s="39">
        <f t="shared" si="0"/>
        <v>46314</v>
      </c>
      <c r="H11" t="str">
        <f t="shared" si="1"/>
        <v>Mon</v>
      </c>
      <c r="I11" s="35" t="s">
        <v>573</v>
      </c>
      <c r="J11" s="43">
        <v>8</v>
      </c>
      <c r="K11" s="36" t="str">
        <f t="array" ref="K11">IF(I11="","",_xlfn.LET(_xlpm.u,_xlfn.XLOOKUP(A11&amp;"|"&amp;I11,TRIM(SUBSTITUTE('absence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1" t="str">
        <f t="shared" si="2"/>
        <v>Future period</v>
      </c>
      <c r="M11" s="35" t="s">
        <v>660</v>
      </c>
      <c r="N11" s="35" t="s">
        <v>668</v>
      </c>
      <c r="O11" s="35"/>
      <c r="P11" s="35"/>
      <c r="Q11" s="35"/>
    </row>
    <row r="12" spans="1:25" x14ac:dyDescent="0.2">
      <c r="A12" s="35" t="s">
        <v>211</v>
      </c>
      <c r="B12" s="35" t="s">
        <v>659</v>
      </c>
      <c r="C12" s="36" t="str">
        <f t="array" ref="C12">_xlfn.XLOOKUP(A12,TRIM(SUBSTITUTE('worker file'!$A$2:$A$406,_xlfn.UNICHAR(160)," ")),'worker file'!$L$2:$L$406,"Not found")</f>
        <v>US Biweekly</v>
      </c>
      <c r="D12" s="41">
        <f t="array" ref="D12">_xlfn.XLOOKUP(C12,TRIM('pay group &amp; schedule'!$A$2:$A$6),'pay group &amp; schedule'!$D$2:$D$6,"")</f>
        <v>46299</v>
      </c>
      <c r="E12" s="41">
        <f t="array" ref="E12">_xlfn.XLOOKUP(C12,TRIM('pay group &amp; schedule'!$A$2:$A$6),'pay group &amp; schedule'!$E$2:$E$6,"")</f>
        <v>46312</v>
      </c>
      <c r="F12" s="42">
        <v>46304</v>
      </c>
      <c r="G12" s="39">
        <f t="shared" si="0"/>
        <v>46304</v>
      </c>
      <c r="H12" t="str">
        <f t="shared" si="1"/>
        <v>Fri</v>
      </c>
      <c r="I12" s="35" t="s">
        <v>573</v>
      </c>
      <c r="J12" s="43">
        <v>12</v>
      </c>
      <c r="K12" s="36" t="str">
        <f t="array" ref="K12">IF(I12="","",_xlfn.LET(_xlpm.u,_xlfn.XLOOKUP(A12&amp;"|"&amp;I12,TRIM(SUBSTITUTE('absence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2" t="str">
        <f t="shared" si="2"/>
        <v>Current period</v>
      </c>
      <c r="M12" s="35" t="s">
        <v>660</v>
      </c>
      <c r="N12" s="35" t="s">
        <v>669</v>
      </c>
      <c r="O12" s="35"/>
      <c r="P12" s="35"/>
      <c r="Q12" s="35"/>
    </row>
    <row r="13" spans="1:25" x14ac:dyDescent="0.2">
      <c r="A13" s="35" t="s">
        <v>211</v>
      </c>
      <c r="B13" s="35" t="s">
        <v>659</v>
      </c>
      <c r="C13" s="36" t="str">
        <f t="array" ref="C13">_xlfn.XLOOKUP(A13,TRIM(SUBSTITUTE('worker file'!$A$2:$A$406,_xlfn.UNICHAR(160)," ")),'worker file'!$L$2:$L$406,"Not found")</f>
        <v>US Biweekly</v>
      </c>
      <c r="D13" s="41">
        <f t="array" ref="D13">_xlfn.XLOOKUP(C13,TRIM('pay group &amp; schedule'!$A$2:$A$6),'pay group &amp; schedule'!$D$2:$D$6,"")</f>
        <v>46299</v>
      </c>
      <c r="E13" s="41">
        <f t="array" ref="E13">_xlfn.XLOOKUP(C13,TRIM('pay group &amp; schedule'!$A$2:$A$6),'pay group &amp; schedule'!$E$2:$E$6,"")</f>
        <v>46312</v>
      </c>
      <c r="F13" s="42">
        <v>46311</v>
      </c>
      <c r="G13" s="39">
        <f t="shared" si="0"/>
        <v>46311</v>
      </c>
      <c r="H13" t="str">
        <f t="shared" si="1"/>
        <v>Fri</v>
      </c>
      <c r="I13" s="35" t="s">
        <v>573</v>
      </c>
      <c r="J13" s="43">
        <v>12</v>
      </c>
      <c r="K13" s="36" t="str">
        <f t="array" ref="K13">IF(I13="","",_xlfn.LET(_xlpm.u,_xlfn.XLOOKUP(A13&amp;"|"&amp;I13,TRIM(SUBSTITUTE('absence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3" t="str">
        <f t="shared" si="2"/>
        <v>Current period</v>
      </c>
      <c r="M13" s="35" t="s">
        <v>660</v>
      </c>
      <c r="N13" s="35" t="s">
        <v>669</v>
      </c>
      <c r="O13" s="35"/>
      <c r="P13" s="35"/>
      <c r="Q13" s="35"/>
    </row>
    <row r="14" spans="1:25" x14ac:dyDescent="0.2">
      <c r="A14" s="35" t="s">
        <v>219</v>
      </c>
      <c r="B14" s="35" t="s">
        <v>659</v>
      </c>
      <c r="C14" s="36" t="str">
        <f t="array" ref="C14">_xlfn.XLOOKUP(A14,TRIM(SUBSTITUTE('worker file'!$A$2:$A$406,_xlfn.UNICHAR(160)," ")),'worker file'!$L$2:$L$406,"Not found")</f>
        <v>US Biweekly</v>
      </c>
      <c r="D14" s="41">
        <f t="array" ref="D14">_xlfn.XLOOKUP(C14,TRIM('pay group &amp; schedule'!$A$2:$A$6),'pay group &amp; schedule'!$D$2:$D$6,"")</f>
        <v>46299</v>
      </c>
      <c r="E14" s="41">
        <f t="array" ref="E14">_xlfn.XLOOKUP(C14,TRIM('pay group &amp; schedule'!$A$2:$A$6),'pay group &amp; schedule'!$E$2:$E$6,"")</f>
        <v>46312</v>
      </c>
      <c r="F14" s="42">
        <v>46311</v>
      </c>
      <c r="G14" s="39">
        <f t="shared" si="0"/>
        <v>46311</v>
      </c>
      <c r="H14" t="str">
        <f t="shared" si="1"/>
        <v>Fri</v>
      </c>
      <c r="I14" s="35" t="s">
        <v>575</v>
      </c>
      <c r="J14" s="43">
        <v>3</v>
      </c>
      <c r="K14" s="36" t="str">
        <f t="array" ref="K14">IF(I14="","",_xlfn.LET(_xlpm.u,_xlfn.XLOOKUP(A14&amp;"|"&amp;I14,TRIM(SUBSTITUTE('absence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4" t="str">
        <f t="shared" si="2"/>
        <v>Current period</v>
      </c>
      <c r="M14" s="35" t="s">
        <v>660</v>
      </c>
      <c r="N14" s="35" t="s">
        <v>670</v>
      </c>
      <c r="O14" s="35"/>
      <c r="P14" s="35"/>
      <c r="Q14" s="35"/>
    </row>
    <row r="15" spans="1:25" x14ac:dyDescent="0.2">
      <c r="A15" s="35" t="s">
        <v>594</v>
      </c>
      <c r="B15" s="35" t="s">
        <v>671</v>
      </c>
      <c r="C15" s="36" t="str">
        <f t="array" ref="C15">_xlfn.XLOOKUP(A15,TRIM(SUBSTITUTE('worker file'!$A$2:$A$406,_xlfn.UNICHAR(160)," ")),'worker file'!$L$2:$L$406,"Not found")</f>
        <v>US Semi-monthly</v>
      </c>
      <c r="D15" s="41">
        <f t="array" ref="D15">_xlfn.XLOOKUP(C15,TRIM('pay group &amp; schedule'!$A$2:$A$6),'pay group &amp; schedule'!$D$2:$D$6,"")</f>
        <v>46311</v>
      </c>
      <c r="E15" s="41">
        <f t="array" ref="E15">_xlfn.XLOOKUP(C15,TRIM('pay group &amp; schedule'!$A$2:$A$6),'pay group &amp; schedule'!$E$2:$E$6,"")</f>
        <v>46326</v>
      </c>
      <c r="F15" s="42">
        <v>46297</v>
      </c>
      <c r="G15" s="42"/>
      <c r="H15" t="str">
        <f t="shared" si="1"/>
        <v>Fri</v>
      </c>
      <c r="I15" s="35"/>
      <c r="J15" s="35"/>
      <c r="K15" s="36" t="str">
        <f t="array" ref="K15">IF(I15="","",_xlfn.LET(_xlpm.u,_xlfn.XLOOKUP(A15&amp;"|"&amp;I15,TRIM(SUBSTITUTE('absence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5" t="str">
        <f t="shared" si="2"/>
        <v>Started prior period – continues</v>
      </c>
      <c r="M15" s="35" t="s">
        <v>660</v>
      </c>
      <c r="N15" s="35" t="s">
        <v>672</v>
      </c>
      <c r="O15" s="35"/>
      <c r="P15" s="35"/>
      <c r="Q15" s="35"/>
    </row>
    <row r="16" spans="1:25" x14ac:dyDescent="0.2">
      <c r="A16" s="35" t="s">
        <v>144</v>
      </c>
      <c r="B16" s="35" t="s">
        <v>671</v>
      </c>
      <c r="C16" s="36" t="str">
        <f t="array" ref="C16">_xlfn.XLOOKUP(A16,TRIM(SUBSTITUTE('worker file'!$A$2:$A$406,_xlfn.UNICHAR(160)," ")),'worker file'!$L$2:$L$406,"Not found")</f>
        <v>US Semi-monthly</v>
      </c>
      <c r="D16" s="41">
        <f t="array" ref="D16">_xlfn.XLOOKUP(C16,TRIM('pay group &amp; schedule'!$A$2:$A$6),'pay group &amp; schedule'!$D$2:$D$6,"")</f>
        <v>46311</v>
      </c>
      <c r="E16" s="41">
        <f t="array" ref="E16">_xlfn.XLOOKUP(C16,TRIM('pay group &amp; schedule'!$A$2:$A$6),'pay group &amp; schedule'!$E$2:$E$6,"")</f>
        <v>46326</v>
      </c>
      <c r="F16" s="42">
        <v>46316</v>
      </c>
      <c r="G16" s="42">
        <v>46346</v>
      </c>
      <c r="H16" t="str">
        <f t="shared" si="1"/>
        <v>Wed</v>
      </c>
      <c r="I16" s="35"/>
      <c r="J16" s="35"/>
      <c r="K16" s="36" t="str">
        <f t="array" ref="K16">IF(I16="","",_xlfn.LET(_xlpm.u,_xlfn.XLOOKUP(A16&amp;"|"&amp;I16,TRIM(SUBSTITUTE('absence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6" t="str">
        <f t="shared" si="2"/>
        <v>Starts this period – continues</v>
      </c>
      <c r="M16" s="35" t="s">
        <v>660</v>
      </c>
      <c r="N16" s="35" t="s">
        <v>673</v>
      </c>
      <c r="O16" s="35"/>
      <c r="P16" s="35"/>
      <c r="Q16" s="35"/>
    </row>
    <row r="17" spans="1:17" x14ac:dyDescent="0.2">
      <c r="A17" s="35" t="s">
        <v>261</v>
      </c>
      <c r="B17" s="35" t="s">
        <v>671</v>
      </c>
      <c r="C17" s="36" t="str">
        <f t="array" ref="C17">_xlfn.XLOOKUP(A17,TRIM(SUBSTITUTE('worker file'!$A$2:$A$406,_xlfn.UNICHAR(160)," ")),'worker file'!$L$2:$L$406,"Not found")</f>
        <v>US Biweekly</v>
      </c>
      <c r="D17" s="41">
        <f t="array" ref="D17">_xlfn.XLOOKUP(C17,TRIM('pay group &amp; schedule'!$A$2:$A$6),'pay group &amp; schedule'!$D$2:$D$6,"")</f>
        <v>46299</v>
      </c>
      <c r="E17" s="41">
        <f t="array" ref="E17">_xlfn.XLOOKUP(C17,TRIM('pay group &amp; schedule'!$A$2:$A$6),'pay group &amp; schedule'!$E$2:$E$6,"")</f>
        <v>46312</v>
      </c>
      <c r="F17" s="42">
        <v>46304</v>
      </c>
      <c r="G17" s="42">
        <v>46320</v>
      </c>
      <c r="H17" t="str">
        <f t="shared" si="1"/>
        <v>Fri</v>
      </c>
      <c r="I17" s="35"/>
      <c r="J17" s="35"/>
      <c r="K17" s="36" t="str">
        <f t="array" ref="K17">IF(I17="","",_xlfn.LET(_xlpm.u,_xlfn.XLOOKUP(A17&amp;"|"&amp;I17,TRIM(SUBSTITUTE('absence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7" t="str">
        <f t="shared" si="2"/>
        <v>Starts this period – continues</v>
      </c>
      <c r="M17" s="35" t="s">
        <v>660</v>
      </c>
      <c r="N17" s="35" t="s">
        <v>674</v>
      </c>
      <c r="O17" s="35"/>
      <c r="P17" s="35"/>
      <c r="Q17" s="35"/>
    </row>
    <row r="18" spans="1:17" x14ac:dyDescent="0.2">
      <c r="A18" s="35" t="s">
        <v>193</v>
      </c>
      <c r="B18" s="35" t="s">
        <v>671</v>
      </c>
      <c r="C18" s="36" t="str">
        <f t="array" ref="C18">_xlfn.XLOOKUP(A18,TRIM(SUBSTITUTE('worker file'!$A$2:$A$406,_xlfn.UNICHAR(160)," ")),'worker file'!$L$2:$L$406,"Not found")</f>
        <v>UK Monthly</v>
      </c>
      <c r="D18" s="41">
        <f t="array" ref="D18">_xlfn.XLOOKUP(C18,TRIM('pay group &amp; schedule'!$A$2:$A$6),'pay group &amp; schedule'!$D$2:$D$6,"")</f>
        <v>46296</v>
      </c>
      <c r="E18" s="41">
        <f t="array" ref="E18">_xlfn.XLOOKUP(C18,TRIM('pay group &amp; schedule'!$A$2:$A$6),'pay group &amp; schedule'!$E$2:$E$6,"")</f>
        <v>46326</v>
      </c>
      <c r="F18" s="42">
        <v>46314</v>
      </c>
      <c r="G18" s="42">
        <v>46339</v>
      </c>
      <c r="H18" t="str">
        <f t="shared" si="1"/>
        <v>Mon</v>
      </c>
      <c r="I18" s="35"/>
      <c r="J18" s="35"/>
      <c r="K18" s="36" t="str">
        <f t="array" ref="K18">IF(I18="","",_xlfn.LET(_xlpm.u,_xlfn.XLOOKUP(A18&amp;"|"&amp;I18,TRIM(SUBSTITUTE('absence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8" t="str">
        <f t="shared" si="2"/>
        <v>Starts this period – continues</v>
      </c>
      <c r="M18" s="35" t="s">
        <v>660</v>
      </c>
      <c r="N18" s="35" t="s">
        <v>675</v>
      </c>
      <c r="O18" s="35"/>
      <c r="P18" s="35"/>
      <c r="Q18" s="35"/>
    </row>
    <row r="19" spans="1:17" x14ac:dyDescent="0.2">
      <c r="A19" s="35" t="s">
        <v>579</v>
      </c>
      <c r="B19" s="35" t="s">
        <v>676</v>
      </c>
      <c r="C19" s="36" t="str">
        <f t="array" ref="C19">_xlfn.XLOOKUP(A19,TRIM(SUBSTITUTE('worker file'!$A$2:$A$406,_xlfn.UNICHAR(160)," ")),'worker file'!$L$2:$L$406,"Not found")</f>
        <v>US Biweekly</v>
      </c>
      <c r="D19" s="41">
        <f t="array" ref="D19">_xlfn.XLOOKUP(C19,TRIM('pay group &amp; schedule'!$A$2:$A$6),'pay group &amp; schedule'!$D$2:$D$6,"")</f>
        <v>46299</v>
      </c>
      <c r="E19" s="41">
        <f t="array" ref="E19">_xlfn.XLOOKUP(C19,TRIM('pay group &amp; schedule'!$A$2:$A$6),'pay group &amp; schedule'!$E$2:$E$6,"")</f>
        <v>46312</v>
      </c>
      <c r="F19" s="42">
        <v>46305</v>
      </c>
      <c r="G19" s="42"/>
      <c r="H19" t="str">
        <f t="shared" si="1"/>
        <v>Sat</v>
      </c>
      <c r="K19" s="36" t="str">
        <f t="array" ref="K19">IF(I19="","",_xlfn.LET(_xlpm.u,_xlfn.XLOOKUP(A19&amp;"|"&amp;I19,TRIM(SUBSTITUTE('absence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9" t="str">
        <f t="shared" si="2"/>
        <v>Starts this period – continues</v>
      </c>
      <c r="M19" s="35" t="s">
        <v>660</v>
      </c>
      <c r="N19" s="35" t="s">
        <v>677</v>
      </c>
      <c r="O19" s="35" t="s">
        <v>678</v>
      </c>
      <c r="P19" s="31">
        <v>38</v>
      </c>
      <c r="Q19" s="31">
        <v>40</v>
      </c>
    </row>
    <row r="20" spans="1:17" x14ac:dyDescent="0.2">
      <c r="A20" s="35" t="s">
        <v>108</v>
      </c>
      <c r="B20" s="35" t="s">
        <v>679</v>
      </c>
      <c r="C20" s="36" t="str">
        <f t="array" ref="C20">_xlfn.XLOOKUP(A20,TRIM(SUBSTITUTE('worker file'!$A$2:$A$406,_xlfn.UNICHAR(160)," ")),'worker file'!$L$2:$L$406,"Not found")</f>
        <v>US Semi-monthly</v>
      </c>
      <c r="D20" s="41">
        <f t="array" ref="D20">_xlfn.XLOOKUP(C20,TRIM('pay group &amp; schedule'!$A$2:$A$6),'pay group &amp; schedule'!$D$2:$D$6,"")</f>
        <v>46311</v>
      </c>
      <c r="E20" s="41">
        <f t="array" ref="E20">_xlfn.XLOOKUP(C20,TRIM('pay group &amp; schedule'!$A$2:$A$6),'pay group &amp; schedule'!$E$2:$E$6,"")</f>
        <v>46326</v>
      </c>
      <c r="F20" s="42">
        <v>46318</v>
      </c>
      <c r="G20" s="42"/>
      <c r="H20" t="str">
        <f t="shared" si="1"/>
        <v>Fri</v>
      </c>
      <c r="K20" s="36" t="str">
        <f t="array" ref="K20">IF(I20="","",_xlfn.LET(_xlpm.u,_xlfn.XLOOKUP(A20&amp;"|"&amp;I20,TRIM(SUBSTITUTE('absence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0" t="str">
        <f t="shared" si="2"/>
        <v>Starts this period – continues</v>
      </c>
      <c r="M20" s="35" t="s">
        <v>660</v>
      </c>
      <c r="N20" s="35" t="s">
        <v>839</v>
      </c>
      <c r="O20" s="35" t="s">
        <v>680</v>
      </c>
      <c r="P20" s="35" t="s">
        <v>681</v>
      </c>
      <c r="Q20" s="35" t="s">
        <v>682</v>
      </c>
    </row>
    <row r="21" spans="1:17" x14ac:dyDescent="0.2">
      <c r="A21" s="35" t="s">
        <v>147</v>
      </c>
      <c r="B21" s="35" t="s">
        <v>683</v>
      </c>
      <c r="C21" s="36" t="str">
        <f t="array" ref="C21">_xlfn.XLOOKUP(A21,TRIM(SUBSTITUTE('worker file'!$A$2:$A$406,_xlfn.UNICHAR(160)," ")),'worker file'!$L$2:$L$406,"Not found")</f>
        <v>US Biweekly</v>
      </c>
      <c r="D21" s="41">
        <f t="array" ref="D21">_xlfn.XLOOKUP(C21,TRIM('pay group &amp; schedule'!$A$2:$A$6),'pay group &amp; schedule'!$D$2:$D$6,"")</f>
        <v>46299</v>
      </c>
      <c r="E21" s="41">
        <f t="array" ref="E21">_xlfn.XLOOKUP(C21,TRIM('pay group &amp; schedule'!$A$2:$A$6),'pay group &amp; schedule'!$E$2:$E$6,"")</f>
        <v>46312</v>
      </c>
      <c r="F21" s="42">
        <v>46235</v>
      </c>
      <c r="G21" s="42"/>
      <c r="H21" t="str">
        <f t="shared" si="1"/>
        <v>Sat</v>
      </c>
      <c r="K21" s="36" t="str">
        <f t="array" ref="K21">IF(I21="","",_xlfn.LET(_xlpm.u,_xlfn.XLOOKUP(A21&amp;"|"&amp;I21,TRIM(SUBSTITUTE('absence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1" t="str">
        <f t="shared" si="2"/>
        <v>Started prior period – continues</v>
      </c>
      <c r="M21" s="35" t="s">
        <v>36</v>
      </c>
      <c r="N21" s="35" t="s">
        <v>684</v>
      </c>
      <c r="O21" s="35" t="s">
        <v>685</v>
      </c>
      <c r="P21" s="35"/>
      <c r="Q21" s="35" t="s">
        <v>686</v>
      </c>
    </row>
    <row r="22" spans="1:17" x14ac:dyDescent="0.2">
      <c r="A22" s="35" t="s">
        <v>148</v>
      </c>
      <c r="B22" s="35" t="s">
        <v>683</v>
      </c>
      <c r="C22" s="36" t="str">
        <f t="array" ref="C22">_xlfn.XLOOKUP(A22,TRIM(SUBSTITUTE('worker file'!$A$2:$A$406,_xlfn.UNICHAR(160)," ")),'worker file'!$L$2:$L$406,"Not found")</f>
        <v>US Semi-monthly</v>
      </c>
      <c r="D22" s="41">
        <f t="array" ref="D22">_xlfn.XLOOKUP(C22,TRIM('pay group &amp; schedule'!$A$2:$A$6),'pay group &amp; schedule'!$D$2:$D$6,"")</f>
        <v>46311</v>
      </c>
      <c r="E22" s="41">
        <f t="array" ref="E22">_xlfn.XLOOKUP(C22,TRIM('pay group &amp; schedule'!$A$2:$A$6),'pay group &amp; schedule'!$E$2:$E$6,"")</f>
        <v>46326</v>
      </c>
      <c r="F22" s="42">
        <v>46266</v>
      </c>
      <c r="G22" s="42"/>
      <c r="H22" t="str">
        <f t="shared" si="1"/>
        <v>Tue</v>
      </c>
      <c r="K22" s="36" t="str">
        <f t="array" ref="K22">IF(I22="","",_xlfn.LET(_xlpm.u,_xlfn.XLOOKUP(A22&amp;"|"&amp;I22,TRIM(SUBSTITUTE('absence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2" t="str">
        <f t="shared" si="2"/>
        <v>Started prior period – continues</v>
      </c>
      <c r="M22" s="35" t="s">
        <v>36</v>
      </c>
      <c r="N22" s="35" t="s">
        <v>687</v>
      </c>
      <c r="O22" s="35" t="s">
        <v>688</v>
      </c>
      <c r="P22" s="35"/>
      <c r="Q22" s="35" t="s">
        <v>689</v>
      </c>
    </row>
    <row r="23" spans="1:17" x14ac:dyDescent="0.2">
      <c r="A23" s="35" t="s">
        <v>123</v>
      </c>
      <c r="B23" s="35" t="s">
        <v>683</v>
      </c>
      <c r="C23" s="36" t="str">
        <f t="array" ref="C23">_xlfn.XLOOKUP(A23,TRIM(SUBSTITUTE('worker file'!$A$2:$A$406,_xlfn.UNICHAR(160)," ")),'worker file'!$L$2:$L$406,"Not found")</f>
        <v>US Semi-monthly</v>
      </c>
      <c r="D23" s="41">
        <f t="array" ref="D23">_xlfn.XLOOKUP(C23,TRIM('pay group &amp; schedule'!$A$2:$A$6),'pay group &amp; schedule'!$D$2:$D$6,"")</f>
        <v>46311</v>
      </c>
      <c r="E23" s="41">
        <f t="array" ref="E23">_xlfn.XLOOKUP(C23,TRIM('pay group &amp; schedule'!$A$2:$A$6),'pay group &amp; schedule'!$E$2:$E$6,"")</f>
        <v>46326</v>
      </c>
      <c r="F23" s="42">
        <v>46023</v>
      </c>
      <c r="G23" s="42"/>
      <c r="H23" t="str">
        <f t="shared" si="1"/>
        <v>Thu</v>
      </c>
      <c r="K23" s="36" t="str">
        <f t="array" ref="K23">IF(I23="","",_xlfn.LET(_xlpm.u,_xlfn.XLOOKUP(A23&amp;"|"&amp;I23,TRIM(SUBSTITUTE('absence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3" t="str">
        <f t="shared" si="2"/>
        <v>Started prior period – continues</v>
      </c>
      <c r="M23" s="35" t="s">
        <v>36</v>
      </c>
      <c r="N23" s="35" t="s">
        <v>690</v>
      </c>
      <c r="O23" s="35" t="s">
        <v>685</v>
      </c>
      <c r="P23" s="35"/>
      <c r="Q23" s="35" t="s">
        <v>691</v>
      </c>
    </row>
    <row r="24" spans="1:17" x14ac:dyDescent="0.2">
      <c r="A24" s="35" t="s">
        <v>120</v>
      </c>
      <c r="B24" s="35" t="s">
        <v>676</v>
      </c>
      <c r="C24" s="36" t="str">
        <f t="array" ref="C24">_xlfn.XLOOKUP(A24,TRIM(SUBSTITUTE('worker file'!$A$2:$A$406,_xlfn.UNICHAR(160)," ")),'worker file'!$L$2:$L$406,"Not found")</f>
        <v>US Biweekly</v>
      </c>
      <c r="D24" s="41">
        <f t="array" ref="D24">_xlfn.XLOOKUP(C24,TRIM('pay group &amp; schedule'!$A$2:$A$6),'pay group &amp; schedule'!$D$2:$D$6,"")</f>
        <v>46299</v>
      </c>
      <c r="E24" s="41">
        <f t="array" ref="E24">_xlfn.XLOOKUP(C24,TRIM('pay group &amp; schedule'!$A$2:$A$6),'pay group &amp; schedule'!$E$2:$E$6,"")</f>
        <v>46312</v>
      </c>
      <c r="F24" s="42">
        <v>46307</v>
      </c>
      <c r="G24" s="42"/>
      <c r="H24" t="str">
        <f t="shared" si="1"/>
        <v>Mon</v>
      </c>
      <c r="K24" s="36" t="str">
        <f t="array" ref="K24">IF(I24="","",_xlfn.LET(_xlpm.u,_xlfn.XLOOKUP(A24&amp;"|"&amp;I24,TRIM(SUBSTITUTE('absence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4" t="str">
        <f t="shared" si="2"/>
        <v>Starts this period – continues</v>
      </c>
      <c r="M24" s="35" t="s">
        <v>660</v>
      </c>
      <c r="N24" s="35" t="s">
        <v>692</v>
      </c>
      <c r="O24" s="35" t="s">
        <v>678</v>
      </c>
      <c r="P24" s="31">
        <v>33</v>
      </c>
      <c r="Q24" s="31">
        <v>35</v>
      </c>
    </row>
    <row r="25" spans="1:17" x14ac:dyDescent="0.2">
      <c r="A25" s="35" t="s">
        <v>102</v>
      </c>
      <c r="B25" s="35" t="s">
        <v>676</v>
      </c>
      <c r="C25" s="36" t="str">
        <f t="array" ref="C25">_xlfn.XLOOKUP(A25,TRIM(SUBSTITUTE('worker file'!$A$2:$A$406,_xlfn.UNICHAR(160)," ")),'worker file'!$L$2:$L$406,"Not found")</f>
        <v>US Semi-monthly</v>
      </c>
      <c r="D25" s="41">
        <f t="array" ref="D25">_xlfn.XLOOKUP(C25,TRIM('pay group &amp; schedule'!$A$2:$A$6),'pay group &amp; schedule'!$D$2:$D$6,"")</f>
        <v>46311</v>
      </c>
      <c r="E25" s="41">
        <f t="array" ref="E25">_xlfn.XLOOKUP(C25,TRIM('pay group &amp; schedule'!$A$2:$A$6),'pay group &amp; schedule'!$E$2:$E$6,"")</f>
        <v>46326</v>
      </c>
      <c r="F25" s="42">
        <v>46314</v>
      </c>
      <c r="G25" s="42"/>
      <c r="H25" t="str">
        <f t="shared" si="1"/>
        <v>Mon</v>
      </c>
      <c r="K25" s="36" t="str">
        <f t="array" ref="K25">IF(I25="","",_xlfn.LET(_xlpm.u,_xlfn.XLOOKUP(A25&amp;"|"&amp;I25,TRIM(SUBSTITUTE('absence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5" t="str">
        <f t="shared" si="2"/>
        <v>Starts this period – continues</v>
      </c>
      <c r="M25" s="35" t="s">
        <v>660</v>
      </c>
      <c r="N25" s="35" t="s">
        <v>693</v>
      </c>
      <c r="O25" s="35" t="s">
        <v>694</v>
      </c>
      <c r="P25" s="44">
        <v>353000</v>
      </c>
      <c r="Q25" s="44">
        <v>370000</v>
      </c>
    </row>
    <row r="26" spans="1:17" x14ac:dyDescent="0.2">
      <c r="A26" s="35" t="s">
        <v>207</v>
      </c>
      <c r="B26" s="35" t="s">
        <v>676</v>
      </c>
      <c r="C26" s="36" t="str">
        <f t="array" ref="C26">_xlfn.XLOOKUP(A26,TRIM(SUBSTITUTE('worker file'!$A$2:$A$406,_xlfn.UNICHAR(160)," ")),'worker file'!$L$2:$L$406,"Not found")</f>
        <v>UK Monthly</v>
      </c>
      <c r="D26" s="41">
        <f t="array" ref="D26">_xlfn.XLOOKUP(C26,TRIM('pay group &amp; schedule'!$A$2:$A$6),'pay group &amp; schedule'!$D$2:$D$6,"")</f>
        <v>46296</v>
      </c>
      <c r="E26" s="41">
        <f t="array" ref="E26">_xlfn.XLOOKUP(C26,TRIM('pay group &amp; schedule'!$A$2:$A$6),'pay group &amp; schedule'!$E$2:$E$6,"")</f>
        <v>46326</v>
      </c>
      <c r="F26" s="42">
        <v>46307</v>
      </c>
      <c r="G26" s="42"/>
      <c r="H26" t="str">
        <f t="shared" si="1"/>
        <v>Mon</v>
      </c>
      <c r="K26" s="36" t="str">
        <f t="array" ref="K26">IF(I26="","",_xlfn.LET(_xlpm.u,_xlfn.XLOOKUP(A26&amp;"|"&amp;I26,TRIM(SUBSTITUTE('absence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6" t="str">
        <f t="shared" si="2"/>
        <v>Starts this period – continues</v>
      </c>
      <c r="M26" s="35" t="s">
        <v>660</v>
      </c>
      <c r="N26" s="35" t="s">
        <v>695</v>
      </c>
      <c r="O26" s="35" t="s">
        <v>696</v>
      </c>
      <c r="P26" s="45">
        <v>81000</v>
      </c>
      <c r="Q26" s="45">
        <v>88000</v>
      </c>
    </row>
    <row r="27" spans="1:17" x14ac:dyDescent="0.2">
      <c r="A27" s="35" t="s">
        <v>209</v>
      </c>
      <c r="B27" s="35" t="s">
        <v>676</v>
      </c>
      <c r="C27" s="36" t="str">
        <f t="array" ref="C27">_xlfn.XLOOKUP(A27,TRIM(SUBSTITUTE('worker file'!$A$2:$A$406,_xlfn.UNICHAR(160)," ")),'worker file'!$L$2:$L$406,"Not found")</f>
        <v>India Monthly</v>
      </c>
      <c r="D27" s="41">
        <f t="array" ref="D27">_xlfn.XLOOKUP(C27,TRIM('pay group &amp; schedule'!$A$2:$A$6),'pay group &amp; schedule'!$D$2:$D$6,"")</f>
        <v>46296</v>
      </c>
      <c r="E27" s="41">
        <f t="array" ref="E27">_xlfn.XLOOKUP(C27,TRIM('pay group &amp; schedule'!$A$2:$A$6),'pay group &amp; schedule'!$E$2:$E$6,"")</f>
        <v>46326</v>
      </c>
      <c r="F27" s="42">
        <v>46314</v>
      </c>
      <c r="G27" s="42"/>
      <c r="H27" t="str">
        <f t="shared" si="1"/>
        <v>Mon</v>
      </c>
      <c r="K27" s="36" t="str">
        <f t="array" ref="K27">IF(I27="","",_xlfn.LET(_xlpm.u,_xlfn.XLOOKUP(A27&amp;"|"&amp;I27,TRIM(SUBSTITUTE('absence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7" t="str">
        <f t="shared" si="2"/>
        <v>Starts this period – continues</v>
      </c>
      <c r="M27" s="35" t="s">
        <v>660</v>
      </c>
      <c r="N27" s="35" t="s">
        <v>697</v>
      </c>
      <c r="O27" s="35" t="s">
        <v>698</v>
      </c>
      <c r="P27" s="46">
        <v>6760000</v>
      </c>
      <c r="Q27" s="46">
        <v>7300000</v>
      </c>
    </row>
    <row r="28" spans="1:17" x14ac:dyDescent="0.2">
      <c r="A28" s="35" t="s">
        <v>118</v>
      </c>
      <c r="B28" s="35" t="s">
        <v>679</v>
      </c>
      <c r="C28" s="36" t="str">
        <f t="array" ref="C28">_xlfn.XLOOKUP(A28,TRIM(SUBSTITUTE('worker file'!$A$2:$A$406,_xlfn.UNICHAR(160)," ")),'worker file'!$L$2:$L$406,"Not found")</f>
        <v>US Semi-monthly</v>
      </c>
      <c r="D28" s="41">
        <f t="array" ref="D28">_xlfn.XLOOKUP(C28,TRIM('pay group &amp; schedule'!$A$2:$A$6),'pay group &amp; schedule'!$D$2:$D$6,"")</f>
        <v>46311</v>
      </c>
      <c r="E28" s="41">
        <f t="array" ref="E28">_xlfn.XLOOKUP(C28,TRIM('pay group &amp; schedule'!$A$2:$A$6),'pay group &amp; schedule'!$E$2:$E$6,"")</f>
        <v>46326</v>
      </c>
      <c r="F28" s="42">
        <v>46314</v>
      </c>
      <c r="G28" s="42"/>
      <c r="H28" t="str">
        <f t="shared" si="1"/>
        <v>Mon</v>
      </c>
      <c r="K28" s="36" t="str">
        <f t="array" ref="K28">IF(I28="","",_xlfn.LET(_xlpm.u,_xlfn.XLOOKUP(A28&amp;"|"&amp;I28,TRIM(SUBSTITUTE('absence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8" t="str">
        <f t="shared" si="2"/>
        <v>Starts this period – continues</v>
      </c>
      <c r="M28" s="35" t="s">
        <v>660</v>
      </c>
      <c r="N28" s="35" t="s">
        <v>699</v>
      </c>
      <c r="O28" s="35" t="s">
        <v>680</v>
      </c>
      <c r="P28" s="47" t="s">
        <v>700</v>
      </c>
      <c r="Q28" s="47" t="s">
        <v>681</v>
      </c>
    </row>
    <row r="29" spans="1:17" x14ac:dyDescent="0.2">
      <c r="A29" s="35" t="s">
        <v>111</v>
      </c>
      <c r="B29" s="35" t="s">
        <v>679</v>
      </c>
      <c r="C29" s="36" t="str">
        <f t="array" ref="C29">_xlfn.XLOOKUP(A29,TRIM(SUBSTITUTE('worker file'!$A$2:$A$406,_xlfn.UNICHAR(160)," ")),'worker file'!$L$2:$L$406,"Not found")</f>
        <v>US Semi-monthly</v>
      </c>
      <c r="D29" s="41">
        <f t="array" ref="D29">_xlfn.XLOOKUP(C29,TRIM('pay group &amp; schedule'!$A$2:$A$6),'pay group &amp; schedule'!$D$2:$D$6,"")</f>
        <v>46311</v>
      </c>
      <c r="E29" s="41">
        <f t="array" ref="E29">_xlfn.XLOOKUP(C29,TRIM('pay group &amp; schedule'!$A$2:$A$6),'pay group &amp; schedule'!$E$2:$E$6,"")</f>
        <v>46326</v>
      </c>
      <c r="F29" s="42">
        <v>46321</v>
      </c>
      <c r="G29" s="42"/>
      <c r="H29" t="str">
        <f t="shared" si="1"/>
        <v>Mon</v>
      </c>
      <c r="K29" s="36" t="str">
        <f t="array" ref="K29">IF(I29="","",_xlfn.LET(_xlpm.u,_xlfn.XLOOKUP(A29&amp;"|"&amp;I29,TRIM(SUBSTITUTE('absence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9" t="str">
        <f t="shared" si="2"/>
        <v>Starts this period – continues</v>
      </c>
      <c r="M29" s="35" t="s">
        <v>660</v>
      </c>
      <c r="N29" s="35" t="s">
        <v>701</v>
      </c>
      <c r="O29" s="35" t="s">
        <v>680</v>
      </c>
      <c r="P29" s="47" t="s">
        <v>702</v>
      </c>
      <c r="Q29" s="47" t="s">
        <v>700</v>
      </c>
    </row>
    <row r="30" spans="1:17" x14ac:dyDescent="0.2">
      <c r="A30" s="35" t="s">
        <v>115</v>
      </c>
      <c r="B30" s="35" t="s">
        <v>679</v>
      </c>
      <c r="C30" s="36" t="str">
        <f t="array" ref="C30">_xlfn.XLOOKUP(A30,TRIM(SUBSTITUTE('worker file'!$A$2:$A$406,_xlfn.UNICHAR(160)," ")),'worker file'!$L$2:$L$406,"Not found")</f>
        <v>US Semi-monthly</v>
      </c>
      <c r="D30" s="41">
        <f t="array" ref="D30">_xlfn.XLOOKUP(C30,TRIM('pay group &amp; schedule'!$A$2:$A$6),'pay group &amp; schedule'!$D$2:$D$6,"")</f>
        <v>46311</v>
      </c>
      <c r="E30" s="41">
        <f t="array" ref="E30">_xlfn.XLOOKUP(C30,TRIM('pay group &amp; schedule'!$A$2:$A$6),'pay group &amp; schedule'!$E$2:$E$6,"")</f>
        <v>46326</v>
      </c>
      <c r="F30" s="42">
        <v>46314</v>
      </c>
      <c r="G30" s="42"/>
      <c r="H30" t="str">
        <f t="shared" si="1"/>
        <v>Mon</v>
      </c>
      <c r="K30" s="36" t="str">
        <f t="array" ref="K30">IF(I30="","",_xlfn.LET(_xlpm.u,_xlfn.XLOOKUP(A30&amp;"|"&amp;I30,TRIM(SUBSTITUTE('absence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0" t="str">
        <f t="shared" si="2"/>
        <v>Starts this period – continues</v>
      </c>
      <c r="M30" s="35" t="s">
        <v>660</v>
      </c>
      <c r="N30" s="35" t="s">
        <v>703</v>
      </c>
      <c r="O30" s="35" t="s">
        <v>704</v>
      </c>
      <c r="P30" s="47" t="s">
        <v>681</v>
      </c>
      <c r="Q30" s="47" t="s">
        <v>702</v>
      </c>
    </row>
    <row r="31" spans="1:17" x14ac:dyDescent="0.2">
      <c r="A31" s="35" t="s">
        <v>596</v>
      </c>
      <c r="B31" s="35" t="s">
        <v>705</v>
      </c>
      <c r="C31" s="36" t="str">
        <f t="array" ref="C31">_xlfn.XLOOKUP(A31,TRIM(SUBSTITUTE('worker file'!$A$2:$A$406,_xlfn.UNICHAR(160)," ")),'worker file'!$L$2:$L$406,"Not found")</f>
        <v>US Semi-monthly</v>
      </c>
      <c r="D31" s="41">
        <f t="array" ref="D31">_xlfn.XLOOKUP(C31,TRIM('pay group &amp; schedule'!$A$2:$A$6),'pay group &amp; schedule'!$D$2:$D$6,"")</f>
        <v>46311</v>
      </c>
      <c r="E31" s="41">
        <f t="array" ref="E31">_xlfn.XLOOKUP(C31,TRIM('pay group &amp; schedule'!$A$2:$A$6),'pay group &amp; schedule'!$E$2:$E$6,"")</f>
        <v>46326</v>
      </c>
      <c r="F31" s="42">
        <v>46316</v>
      </c>
      <c r="G31" s="39">
        <f t="shared" ref="G31:G70" si="3">F31</f>
        <v>46316</v>
      </c>
      <c r="H31" t="str">
        <f t="shared" si="1"/>
        <v>Wed</v>
      </c>
      <c r="K31" s="36" t="str">
        <f t="array" ref="K31">IF(I31="","",_xlfn.LET(_xlpm.u,_xlfn.XLOOKUP(A31&amp;"|"&amp;I31,TRIM(SUBSTITUTE('absence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1" t="str">
        <f t="shared" si="2"/>
        <v>Current period</v>
      </c>
      <c r="M31" s="35" t="s">
        <v>660</v>
      </c>
      <c r="N31" s="35" t="s">
        <v>706</v>
      </c>
      <c r="O31" s="35" t="s">
        <v>707</v>
      </c>
      <c r="P31" s="47"/>
      <c r="Q31" s="48">
        <v>15000</v>
      </c>
    </row>
    <row r="32" spans="1:17" x14ac:dyDescent="0.2">
      <c r="A32" s="35" t="s">
        <v>472</v>
      </c>
      <c r="B32" s="35" t="s">
        <v>705</v>
      </c>
      <c r="C32" s="36" t="str">
        <f t="array" ref="C32">_xlfn.XLOOKUP(A32,TRIM(SUBSTITUTE('worker file'!$A$2:$A$406,_xlfn.UNICHAR(160)," ")),'worker file'!$L$2:$L$406,"Not found")</f>
        <v>US Semi-monthly</v>
      </c>
      <c r="D32" s="41">
        <f t="array" ref="D32">_xlfn.XLOOKUP(C32,TRIM('pay group &amp; schedule'!$A$2:$A$6),'pay group &amp; schedule'!$D$2:$D$6,"")</f>
        <v>46311</v>
      </c>
      <c r="E32" s="41">
        <f t="array" ref="E32">_xlfn.XLOOKUP(C32,TRIM('pay group &amp; schedule'!$A$2:$A$6),'pay group &amp; schedule'!$E$2:$E$6,"")</f>
        <v>46326</v>
      </c>
      <c r="F32" s="42">
        <v>46314</v>
      </c>
      <c r="G32" s="39">
        <f t="shared" si="3"/>
        <v>46314</v>
      </c>
      <c r="H32" t="str">
        <f t="shared" si="1"/>
        <v>Mon</v>
      </c>
      <c r="K32" s="36" t="str">
        <f t="array" ref="K32">IF(I32="","",_xlfn.LET(_xlpm.u,_xlfn.XLOOKUP(A32&amp;"|"&amp;I32,TRIM(SUBSTITUTE('absence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2" t="str">
        <f t="shared" si="2"/>
        <v>Current period</v>
      </c>
      <c r="M32" s="35" t="s">
        <v>660</v>
      </c>
      <c r="N32" s="35" t="s">
        <v>708</v>
      </c>
      <c r="O32" s="35" t="s">
        <v>707</v>
      </c>
      <c r="P32" s="47"/>
      <c r="Q32" s="48">
        <v>10000</v>
      </c>
    </row>
    <row r="33" spans="1:17" x14ac:dyDescent="0.2">
      <c r="A33" s="35" t="s">
        <v>474</v>
      </c>
      <c r="B33" s="35" t="s">
        <v>705</v>
      </c>
      <c r="C33" s="36" t="str">
        <f t="array" ref="C33">_xlfn.XLOOKUP(A33,TRIM(SUBSTITUTE('worker file'!$A$2:$A$406,_xlfn.UNICHAR(160)," ")),'worker file'!$L$2:$L$406,"Not found")</f>
        <v>US Semi-monthly</v>
      </c>
      <c r="D33" s="41">
        <f t="array" ref="D33">_xlfn.XLOOKUP(C33,TRIM('pay group &amp; schedule'!$A$2:$A$6),'pay group &amp; schedule'!$D$2:$D$6,"")</f>
        <v>46311</v>
      </c>
      <c r="E33" s="41">
        <f t="array" ref="E33">_xlfn.XLOOKUP(C33,TRIM('pay group &amp; schedule'!$A$2:$A$6),'pay group &amp; schedule'!$E$2:$E$6,"")</f>
        <v>46326</v>
      </c>
      <c r="F33" s="42">
        <v>46315</v>
      </c>
      <c r="G33" s="39">
        <f t="shared" si="3"/>
        <v>46315</v>
      </c>
      <c r="H33" t="str">
        <f t="shared" si="1"/>
        <v>Tue</v>
      </c>
      <c r="K33" s="36" t="str">
        <f t="array" ref="K33">IF(I33="","",_xlfn.LET(_xlpm.u,_xlfn.XLOOKUP(A33&amp;"|"&amp;I33,TRIM(SUBSTITUTE('absence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3" t="str">
        <f t="shared" si="2"/>
        <v>Current period</v>
      </c>
      <c r="M33" s="35" t="s">
        <v>660</v>
      </c>
      <c r="N33" s="35" t="s">
        <v>709</v>
      </c>
      <c r="O33" s="35" t="s">
        <v>707</v>
      </c>
      <c r="P33" s="47"/>
      <c r="Q33" s="48">
        <v>12500</v>
      </c>
    </row>
    <row r="34" spans="1:17" x14ac:dyDescent="0.2">
      <c r="A34" s="35" t="s">
        <v>477</v>
      </c>
      <c r="B34" s="35" t="s">
        <v>705</v>
      </c>
      <c r="C34" s="36" t="str">
        <f t="array" ref="C34">_xlfn.XLOOKUP(A34,TRIM(SUBSTITUTE('worker file'!$A$2:$A$406,_xlfn.UNICHAR(160)," ")),'worker file'!$L$2:$L$406,"Not found")</f>
        <v>US Semi-monthly</v>
      </c>
      <c r="D34" s="41">
        <f t="array" ref="D34">_xlfn.XLOOKUP(C34,TRIM('pay group &amp; schedule'!$A$2:$A$6),'pay group &amp; schedule'!$D$2:$D$6,"")</f>
        <v>46311</v>
      </c>
      <c r="E34" s="41">
        <f t="array" ref="E34">_xlfn.XLOOKUP(C34,TRIM('pay group &amp; schedule'!$A$2:$A$6),'pay group &amp; schedule'!$E$2:$E$6,"")</f>
        <v>46326</v>
      </c>
      <c r="F34" s="42">
        <v>46317</v>
      </c>
      <c r="G34" s="39">
        <f t="shared" si="3"/>
        <v>46317</v>
      </c>
      <c r="H34" t="str">
        <f t="shared" ref="H34:H65" si="4">TEXT(F34,"ddd")</f>
        <v>Thu</v>
      </c>
      <c r="K34" s="36" t="str">
        <f t="array" ref="K34">IF(I34="","",_xlfn.LET(_xlpm.u,_xlfn.XLOOKUP(A34&amp;"|"&amp;I34,TRIM(SUBSTITUTE('absence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4" t="str">
        <f t="shared" ref="L34:L65" si="5">IF(F34&gt;E34,"Future period",IF(AND(G34&lt;&gt;"",G34&lt;D34),"Prior period",IF(F34&lt;D34,"Started prior period – continues",IF(OR(G34="",G34&gt;E34),"Starts this period – continues","Current period"))))</f>
        <v>Current period</v>
      </c>
      <c r="M34" s="35" t="s">
        <v>660</v>
      </c>
      <c r="N34" s="35" t="s">
        <v>710</v>
      </c>
      <c r="O34" s="35" t="s">
        <v>707</v>
      </c>
      <c r="P34" s="47"/>
      <c r="Q34" s="48">
        <v>7500</v>
      </c>
    </row>
    <row r="35" spans="1:17" x14ac:dyDescent="0.2">
      <c r="A35" s="35" t="s">
        <v>479</v>
      </c>
      <c r="B35" s="35" t="s">
        <v>705</v>
      </c>
      <c r="C35" s="36" t="str">
        <f t="array" ref="C35">_xlfn.XLOOKUP(A35,TRIM(SUBSTITUTE('worker file'!$A$2:$A$406,_xlfn.UNICHAR(160)," ")),'worker file'!$L$2:$L$406,"Not found")</f>
        <v>US Semi-monthly</v>
      </c>
      <c r="D35" s="41">
        <f t="array" ref="D35">_xlfn.XLOOKUP(C35,TRIM('pay group &amp; schedule'!$A$2:$A$6),'pay group &amp; schedule'!$D$2:$D$6,"")</f>
        <v>46311</v>
      </c>
      <c r="E35" s="41">
        <f t="array" ref="E35">_xlfn.XLOOKUP(C35,TRIM('pay group &amp; schedule'!$A$2:$A$6),'pay group &amp; schedule'!$E$2:$E$6,"")</f>
        <v>46326</v>
      </c>
      <c r="F35" s="42">
        <v>46321</v>
      </c>
      <c r="G35" s="39">
        <f t="shared" si="3"/>
        <v>46321</v>
      </c>
      <c r="H35" t="str">
        <f t="shared" si="4"/>
        <v>Mon</v>
      </c>
      <c r="K35" s="36" t="str">
        <f t="array" ref="K35">IF(I35="","",_xlfn.LET(_xlpm.u,_xlfn.XLOOKUP(A35&amp;"|"&amp;I35,TRIM(SUBSTITUTE('absence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5" t="str">
        <f t="shared" si="5"/>
        <v>Current period</v>
      </c>
      <c r="M35" s="35" t="s">
        <v>660</v>
      </c>
      <c r="N35" s="35" t="s">
        <v>711</v>
      </c>
      <c r="O35" s="35" t="s">
        <v>707</v>
      </c>
      <c r="P35" s="47"/>
      <c r="Q35" s="48">
        <v>10000</v>
      </c>
    </row>
    <row r="36" spans="1:17" x14ac:dyDescent="0.2">
      <c r="A36" s="35" t="s">
        <v>466</v>
      </c>
      <c r="B36" s="35" t="s">
        <v>705</v>
      </c>
      <c r="C36" s="36" t="str">
        <f t="array" ref="C36">_xlfn.XLOOKUP(A36,TRIM(SUBSTITUTE('worker file'!$A$2:$A$406,_xlfn.UNICHAR(160)," ")),'worker file'!$L$2:$L$406,"Not found")</f>
        <v>US Semi-monthly</v>
      </c>
      <c r="D36" s="41">
        <f t="array" ref="D36">_xlfn.XLOOKUP(C36,TRIM('pay group &amp; schedule'!$A$2:$A$6),'pay group &amp; schedule'!$D$2:$D$6,"")</f>
        <v>46311</v>
      </c>
      <c r="E36" s="41">
        <f t="array" ref="E36">_xlfn.XLOOKUP(C36,TRIM('pay group &amp; schedule'!$A$2:$A$6),'pay group &amp; schedule'!$E$2:$E$6,"")</f>
        <v>46326</v>
      </c>
      <c r="F36" s="42">
        <v>46311</v>
      </c>
      <c r="G36" s="39">
        <f t="shared" si="3"/>
        <v>46311</v>
      </c>
      <c r="H36" t="str">
        <f t="shared" si="4"/>
        <v>Fri</v>
      </c>
      <c r="K36" s="36" t="str">
        <f t="array" ref="K36">IF(I36="","",_xlfn.LET(_xlpm.u,_xlfn.XLOOKUP(A36&amp;"|"&amp;I36,TRIM(SUBSTITUTE('absence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6" t="str">
        <f t="shared" si="5"/>
        <v>Current period</v>
      </c>
      <c r="M36" s="35" t="s">
        <v>660</v>
      </c>
      <c r="N36" s="35" t="s">
        <v>712</v>
      </c>
      <c r="O36" s="35" t="s">
        <v>707</v>
      </c>
      <c r="P36" s="47"/>
      <c r="Q36" s="48">
        <v>5000</v>
      </c>
    </row>
    <row r="37" spans="1:17" x14ac:dyDescent="0.2">
      <c r="A37" s="35" t="s">
        <v>476</v>
      </c>
      <c r="B37" s="35" t="s">
        <v>705</v>
      </c>
      <c r="C37" s="36" t="str">
        <f t="array" ref="C37">_xlfn.XLOOKUP(A37,TRIM(SUBSTITUTE('worker file'!$A$2:$A$406,_xlfn.UNICHAR(160)," ")),'worker file'!$L$2:$L$406,"Not found")</f>
        <v>US Biweekly</v>
      </c>
      <c r="D37" s="41">
        <f t="array" ref="D37">_xlfn.XLOOKUP(C37,TRIM('pay group &amp; schedule'!$A$2:$A$6),'pay group &amp; schedule'!$D$2:$D$6,"")</f>
        <v>46299</v>
      </c>
      <c r="E37" s="41">
        <f t="array" ref="E37">_xlfn.XLOOKUP(C37,TRIM('pay group &amp; schedule'!$A$2:$A$6),'pay group &amp; schedule'!$E$2:$E$6,"")</f>
        <v>46312</v>
      </c>
      <c r="F37" s="42">
        <v>46302</v>
      </c>
      <c r="G37" s="39">
        <f t="shared" si="3"/>
        <v>46302</v>
      </c>
      <c r="H37" t="str">
        <f t="shared" si="4"/>
        <v>Wed</v>
      </c>
      <c r="K37" s="36" t="str">
        <f t="array" ref="K37">IF(I37="","",_xlfn.LET(_xlpm.u,_xlfn.XLOOKUP(A37&amp;"|"&amp;I37,TRIM(SUBSTITUTE('absence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7" t="str">
        <f t="shared" si="5"/>
        <v>Current period</v>
      </c>
      <c r="M37" s="35" t="s">
        <v>660</v>
      </c>
      <c r="N37" s="35" t="s">
        <v>713</v>
      </c>
      <c r="O37" s="35" t="s">
        <v>707</v>
      </c>
      <c r="P37" s="47"/>
      <c r="Q37" s="48">
        <v>2000</v>
      </c>
    </row>
    <row r="38" spans="1:17" x14ac:dyDescent="0.2">
      <c r="A38" s="35" t="s">
        <v>478</v>
      </c>
      <c r="B38" s="35" t="s">
        <v>705</v>
      </c>
      <c r="C38" s="36" t="str">
        <f t="array" ref="C38">_xlfn.XLOOKUP(A38,TRIM(SUBSTITUTE('worker file'!$A$2:$A$406,_xlfn.UNICHAR(160)," ")),'worker file'!$L$2:$L$406,"Not found")</f>
        <v>US Biweekly</v>
      </c>
      <c r="D38" s="41">
        <f t="array" ref="D38">_xlfn.XLOOKUP(C38,TRIM('pay group &amp; schedule'!$A$2:$A$6),'pay group &amp; schedule'!$D$2:$D$6,"")</f>
        <v>46299</v>
      </c>
      <c r="E38" s="41">
        <f t="array" ref="E38">_xlfn.XLOOKUP(C38,TRIM('pay group &amp; schedule'!$A$2:$A$6),'pay group &amp; schedule'!$E$2:$E$6,"")</f>
        <v>46312</v>
      </c>
      <c r="F38" s="42">
        <v>46309</v>
      </c>
      <c r="G38" s="39">
        <f t="shared" si="3"/>
        <v>46309</v>
      </c>
      <c r="H38" t="str">
        <f t="shared" si="4"/>
        <v>Wed</v>
      </c>
      <c r="K38" s="36" t="str">
        <f t="array" ref="K38">IF(I38="","",_xlfn.LET(_xlpm.u,_xlfn.XLOOKUP(A38&amp;"|"&amp;I38,TRIM(SUBSTITUTE('absence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8" t="str">
        <f t="shared" si="5"/>
        <v>Current period</v>
      </c>
      <c r="M38" s="35" t="s">
        <v>660</v>
      </c>
      <c r="N38" s="35" t="s">
        <v>714</v>
      </c>
      <c r="O38" s="35" t="s">
        <v>707</v>
      </c>
      <c r="P38" s="47"/>
      <c r="Q38" s="48">
        <v>1500</v>
      </c>
    </row>
    <row r="39" spans="1:17" x14ac:dyDescent="0.2">
      <c r="A39" s="35" t="s">
        <v>470</v>
      </c>
      <c r="B39" s="35" t="s">
        <v>705</v>
      </c>
      <c r="C39" s="36" t="str">
        <f t="array" ref="C39">_xlfn.XLOOKUP(A39,TRIM(SUBSTITUTE('worker file'!$A$2:$A$406,_xlfn.UNICHAR(160)," ")),'worker file'!$L$2:$L$406,"Not found")</f>
        <v>UK Monthly</v>
      </c>
      <c r="D39" s="41">
        <f t="array" ref="D39">_xlfn.XLOOKUP(C39,TRIM('pay group &amp; schedule'!$A$2:$A$6),'pay group &amp; schedule'!$D$2:$D$6,"")</f>
        <v>46296</v>
      </c>
      <c r="E39" s="41">
        <f t="array" ref="E39">_xlfn.XLOOKUP(C39,TRIM('pay group &amp; schedule'!$A$2:$A$6),'pay group &amp; schedule'!$E$2:$E$6,"")</f>
        <v>46326</v>
      </c>
      <c r="F39" s="42">
        <v>46296</v>
      </c>
      <c r="G39" s="39">
        <f t="shared" si="3"/>
        <v>46296</v>
      </c>
      <c r="H39" t="str">
        <f t="shared" si="4"/>
        <v>Thu</v>
      </c>
      <c r="K39" s="36" t="str">
        <f t="array" ref="K39">IF(I39="","",_xlfn.LET(_xlpm.u,_xlfn.XLOOKUP(A39&amp;"|"&amp;I39,TRIM(SUBSTITUTE('absence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9" t="str">
        <f t="shared" si="5"/>
        <v>Current period</v>
      </c>
      <c r="M39" s="35" t="s">
        <v>660</v>
      </c>
      <c r="N39" s="35" t="s">
        <v>715</v>
      </c>
      <c r="O39" s="35" t="s">
        <v>716</v>
      </c>
      <c r="P39" s="47"/>
      <c r="Q39" s="49">
        <v>7500</v>
      </c>
    </row>
    <row r="40" spans="1:17" x14ac:dyDescent="0.2">
      <c r="A40" s="35" t="s">
        <v>471</v>
      </c>
      <c r="B40" s="35" t="s">
        <v>705</v>
      </c>
      <c r="C40" s="36" t="str">
        <f t="array" ref="C40">_xlfn.XLOOKUP(A40,TRIM(SUBSTITUTE('worker file'!$A$2:$A$406,_xlfn.UNICHAR(160)," ")),'worker file'!$L$2:$L$406,"Not found")</f>
        <v>UK Monthly</v>
      </c>
      <c r="D40" s="41">
        <f t="array" ref="D40">_xlfn.XLOOKUP(C40,TRIM('pay group &amp; schedule'!$A$2:$A$6),'pay group &amp; schedule'!$D$2:$D$6,"")</f>
        <v>46296</v>
      </c>
      <c r="E40" s="41">
        <f t="array" ref="E40">_xlfn.XLOOKUP(C40,TRIM('pay group &amp; schedule'!$A$2:$A$6),'pay group &amp; schedule'!$E$2:$E$6,"")</f>
        <v>46326</v>
      </c>
      <c r="F40" s="42">
        <v>46296</v>
      </c>
      <c r="G40" s="39">
        <f t="shared" si="3"/>
        <v>46296</v>
      </c>
      <c r="H40" t="str">
        <f t="shared" si="4"/>
        <v>Thu</v>
      </c>
      <c r="K40" s="36" t="str">
        <f t="array" ref="K40">IF(I40="","",_xlfn.LET(_xlpm.u,_xlfn.XLOOKUP(A40&amp;"|"&amp;I40,TRIM(SUBSTITUTE('absence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0" t="str">
        <f t="shared" si="5"/>
        <v>Current period</v>
      </c>
      <c r="M40" s="35" t="s">
        <v>660</v>
      </c>
      <c r="N40" s="35" t="s">
        <v>717</v>
      </c>
      <c r="O40" s="35" t="s">
        <v>716</v>
      </c>
      <c r="P40" s="47"/>
      <c r="Q40" s="49">
        <v>5000</v>
      </c>
    </row>
    <row r="41" spans="1:17" x14ac:dyDescent="0.2">
      <c r="A41" s="35" t="s">
        <v>468</v>
      </c>
      <c r="B41" s="35" t="s">
        <v>705</v>
      </c>
      <c r="C41" s="36" t="str">
        <f t="array" ref="C41">_xlfn.XLOOKUP(A41,TRIM(SUBSTITUTE('worker file'!$A$2:$A$406,_xlfn.UNICHAR(160)," ")),'worker file'!$L$2:$L$406,"Not found")</f>
        <v>India Monthly</v>
      </c>
      <c r="D41" s="41">
        <f t="array" ref="D41">_xlfn.XLOOKUP(C41,TRIM('pay group &amp; schedule'!$A$2:$A$6),'pay group &amp; schedule'!$D$2:$D$6,"")</f>
        <v>46296</v>
      </c>
      <c r="E41" s="41">
        <f t="array" ref="E41">_xlfn.XLOOKUP(C41,TRIM('pay group &amp; schedule'!$A$2:$A$6),'pay group &amp; schedule'!$E$2:$E$6,"")</f>
        <v>46326</v>
      </c>
      <c r="F41" s="42">
        <v>46296</v>
      </c>
      <c r="G41" s="39">
        <f t="shared" si="3"/>
        <v>46296</v>
      </c>
      <c r="H41" t="str">
        <f t="shared" si="4"/>
        <v>Thu</v>
      </c>
      <c r="K41" s="36" t="str">
        <f t="array" ref="K41">IF(I41="","",_xlfn.LET(_xlpm.u,_xlfn.XLOOKUP(A41&amp;"|"&amp;I41,TRIM(SUBSTITUTE('absence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1" t="str">
        <f t="shared" si="5"/>
        <v>Current period</v>
      </c>
      <c r="M41" s="35" t="s">
        <v>660</v>
      </c>
      <c r="N41" s="35" t="s">
        <v>718</v>
      </c>
      <c r="O41" s="35" t="s">
        <v>719</v>
      </c>
      <c r="P41" s="47"/>
      <c r="Q41" s="50">
        <v>500000</v>
      </c>
    </row>
    <row r="42" spans="1:17" x14ac:dyDescent="0.2">
      <c r="A42" s="35" t="s">
        <v>469</v>
      </c>
      <c r="B42" s="35" t="s">
        <v>705</v>
      </c>
      <c r="C42" s="36" t="str">
        <f t="array" ref="C42">_xlfn.XLOOKUP(A42,TRIM(SUBSTITUTE('worker file'!$A$2:$A$406,_xlfn.UNICHAR(160)," ")),'worker file'!$L$2:$L$406,"Not found")</f>
        <v>India Monthly</v>
      </c>
      <c r="D42" s="41">
        <f t="array" ref="D42">_xlfn.XLOOKUP(C42,TRIM('pay group &amp; schedule'!$A$2:$A$6),'pay group &amp; schedule'!$D$2:$D$6,"")</f>
        <v>46296</v>
      </c>
      <c r="E42" s="41">
        <f t="array" ref="E42">_xlfn.XLOOKUP(C42,TRIM('pay group &amp; schedule'!$A$2:$A$6),'pay group &amp; schedule'!$E$2:$E$6,"")</f>
        <v>46326</v>
      </c>
      <c r="F42" s="42">
        <v>46296</v>
      </c>
      <c r="G42" s="39">
        <f t="shared" si="3"/>
        <v>46296</v>
      </c>
      <c r="H42" t="str">
        <f t="shared" si="4"/>
        <v>Thu</v>
      </c>
      <c r="K42" s="36" t="str">
        <f t="array" ref="K42">IF(I42="","",_xlfn.LET(_xlpm.u,_xlfn.XLOOKUP(A42&amp;"|"&amp;I42,TRIM(SUBSTITUTE('absence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2" t="str">
        <f t="shared" si="5"/>
        <v>Current period</v>
      </c>
      <c r="M42" s="35" t="s">
        <v>660</v>
      </c>
      <c r="N42" s="35" t="s">
        <v>720</v>
      </c>
      <c r="O42" s="35" t="s">
        <v>719</v>
      </c>
      <c r="P42" s="47"/>
      <c r="Q42" s="50">
        <v>300000</v>
      </c>
    </row>
    <row r="43" spans="1:17" x14ac:dyDescent="0.2">
      <c r="A43" s="35" t="s">
        <v>176</v>
      </c>
      <c r="B43" s="35" t="s">
        <v>705</v>
      </c>
      <c r="C43" s="36" t="str">
        <f t="array" ref="C43">_xlfn.XLOOKUP(A43,TRIM(SUBSTITUTE('worker file'!$A$2:$A$406,_xlfn.UNICHAR(160)," ")),'worker file'!$L$2:$L$406,"Not found")</f>
        <v>US Semi-monthly</v>
      </c>
      <c r="D43" s="41">
        <f t="array" ref="D43">_xlfn.XLOOKUP(C43,TRIM('pay group &amp; schedule'!$A$2:$A$6),'pay group &amp; schedule'!$D$2:$D$6,"")</f>
        <v>46311</v>
      </c>
      <c r="E43" s="41">
        <f t="array" ref="E43">_xlfn.XLOOKUP(C43,TRIM('pay group &amp; schedule'!$A$2:$A$6),'pay group &amp; schedule'!$E$2:$E$6,"")</f>
        <v>46326</v>
      </c>
      <c r="F43" s="42">
        <v>46311</v>
      </c>
      <c r="G43" s="39">
        <f t="shared" si="3"/>
        <v>46311</v>
      </c>
      <c r="H43" t="str">
        <f t="shared" si="4"/>
        <v>Fri</v>
      </c>
      <c r="K43" s="36" t="str">
        <f t="array" ref="K43">IF(I43="","",_xlfn.LET(_xlpm.u,_xlfn.XLOOKUP(A43&amp;"|"&amp;I43,TRIM(SUBSTITUTE('absence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3" t="str">
        <f t="shared" si="5"/>
        <v>Current period</v>
      </c>
      <c r="M43" s="35" t="s">
        <v>660</v>
      </c>
      <c r="N43" s="35" t="s">
        <v>721</v>
      </c>
      <c r="O43" s="35" t="s">
        <v>722</v>
      </c>
      <c r="P43" s="47"/>
      <c r="Q43" s="48">
        <v>2500</v>
      </c>
    </row>
    <row r="44" spans="1:17" x14ac:dyDescent="0.2">
      <c r="A44" s="35" t="s">
        <v>114</v>
      </c>
      <c r="B44" s="35" t="s">
        <v>705</v>
      </c>
      <c r="C44" s="36" t="str">
        <f t="array" ref="C44">_xlfn.XLOOKUP(A44,TRIM(SUBSTITUTE('worker file'!$A$2:$A$406,_xlfn.UNICHAR(160)," ")),'worker file'!$L$2:$L$406,"Not found")</f>
        <v>US Semi-monthly</v>
      </c>
      <c r="D44" s="41">
        <f t="array" ref="D44">_xlfn.XLOOKUP(C44,TRIM('pay group &amp; schedule'!$A$2:$A$6),'pay group &amp; schedule'!$D$2:$D$6,"")</f>
        <v>46311</v>
      </c>
      <c r="E44" s="41">
        <f t="array" ref="E44">_xlfn.XLOOKUP(C44,TRIM('pay group &amp; schedule'!$A$2:$A$6),'pay group &amp; schedule'!$E$2:$E$6,"")</f>
        <v>46326</v>
      </c>
      <c r="F44" s="42">
        <v>46311</v>
      </c>
      <c r="G44" s="39">
        <f t="shared" si="3"/>
        <v>46311</v>
      </c>
      <c r="H44" t="str">
        <f t="shared" si="4"/>
        <v>Fri</v>
      </c>
      <c r="K44" s="36" t="str">
        <f t="array" ref="K44">IF(I44="","",_xlfn.LET(_xlpm.u,_xlfn.XLOOKUP(A44&amp;"|"&amp;I44,TRIM(SUBSTITUTE('absence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4" t="str">
        <f t="shared" si="5"/>
        <v>Current period</v>
      </c>
      <c r="M44" s="35" t="s">
        <v>660</v>
      </c>
      <c r="N44" s="35" t="s">
        <v>723</v>
      </c>
      <c r="O44" s="35" t="s">
        <v>722</v>
      </c>
      <c r="P44" s="47"/>
      <c r="Q44" s="48">
        <v>2000</v>
      </c>
    </row>
    <row r="45" spans="1:17" x14ac:dyDescent="0.2">
      <c r="A45" s="35" t="s">
        <v>116</v>
      </c>
      <c r="B45" s="35" t="s">
        <v>705</v>
      </c>
      <c r="C45" s="36" t="str">
        <f t="array" ref="C45">_xlfn.XLOOKUP(A45,TRIM(SUBSTITUTE('worker file'!$A$2:$A$406,_xlfn.UNICHAR(160)," ")),'worker file'!$L$2:$L$406,"Not found")</f>
        <v>US Semi-monthly</v>
      </c>
      <c r="D45" s="41">
        <f t="array" ref="D45">_xlfn.XLOOKUP(C45,TRIM('pay group &amp; schedule'!$A$2:$A$6),'pay group &amp; schedule'!$D$2:$D$6,"")</f>
        <v>46311</v>
      </c>
      <c r="E45" s="41">
        <f t="array" ref="E45">_xlfn.XLOOKUP(C45,TRIM('pay group &amp; schedule'!$A$2:$A$6),'pay group &amp; schedule'!$E$2:$E$6,"")</f>
        <v>46326</v>
      </c>
      <c r="F45" s="42">
        <v>46311</v>
      </c>
      <c r="G45" s="39">
        <f t="shared" si="3"/>
        <v>46311</v>
      </c>
      <c r="H45" t="str">
        <f t="shared" si="4"/>
        <v>Fri</v>
      </c>
      <c r="K45" s="36" t="str">
        <f t="array" ref="K45">IF(I45="","",_xlfn.LET(_xlpm.u,_xlfn.XLOOKUP(A45&amp;"|"&amp;I45,TRIM(SUBSTITUTE('absence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5" t="str">
        <f t="shared" si="5"/>
        <v>Current period</v>
      </c>
      <c r="M45" s="35" t="s">
        <v>660</v>
      </c>
      <c r="N45" s="35" t="s">
        <v>723</v>
      </c>
      <c r="O45" s="35" t="s">
        <v>722</v>
      </c>
      <c r="P45" s="47"/>
      <c r="Q45" s="48">
        <v>1500</v>
      </c>
    </row>
    <row r="46" spans="1:17" x14ac:dyDescent="0.2">
      <c r="A46" s="35" t="s">
        <v>122</v>
      </c>
      <c r="B46" s="35" t="s">
        <v>705</v>
      </c>
      <c r="C46" s="36" t="str">
        <f t="array" ref="C46">_xlfn.XLOOKUP(A46,TRIM(SUBSTITUTE('worker file'!$A$2:$A$406,_xlfn.UNICHAR(160)," ")),'worker file'!$L$2:$L$406,"Not found")</f>
        <v>US Semi-monthly</v>
      </c>
      <c r="D46" s="41">
        <f t="array" ref="D46">_xlfn.XLOOKUP(C46,TRIM('pay group &amp; schedule'!$A$2:$A$6),'pay group &amp; schedule'!$D$2:$D$6,"")</f>
        <v>46311</v>
      </c>
      <c r="E46" s="41">
        <f t="array" ref="E46">_xlfn.XLOOKUP(C46,TRIM('pay group &amp; schedule'!$A$2:$A$6),'pay group &amp; schedule'!$E$2:$E$6,"")</f>
        <v>46326</v>
      </c>
      <c r="F46" s="42">
        <v>46311</v>
      </c>
      <c r="G46" s="39">
        <f t="shared" si="3"/>
        <v>46311</v>
      </c>
      <c r="H46" t="str">
        <f t="shared" si="4"/>
        <v>Fri</v>
      </c>
      <c r="K46" s="36" t="str">
        <f t="array" ref="K46">IF(I46="","",_xlfn.LET(_xlpm.u,_xlfn.XLOOKUP(A46&amp;"|"&amp;I46,TRIM(SUBSTITUTE('absence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6" t="str">
        <f t="shared" si="5"/>
        <v>Current period</v>
      </c>
      <c r="M46" s="35" t="s">
        <v>660</v>
      </c>
      <c r="N46" s="35" t="s">
        <v>723</v>
      </c>
      <c r="O46" s="35" t="s">
        <v>722</v>
      </c>
      <c r="P46" s="47"/>
      <c r="Q46" s="48">
        <v>1000</v>
      </c>
    </row>
    <row r="47" spans="1:17" x14ac:dyDescent="0.2">
      <c r="A47" s="35" t="s">
        <v>126</v>
      </c>
      <c r="B47" s="35" t="s">
        <v>705</v>
      </c>
      <c r="C47" s="36" t="str">
        <f t="array" ref="C47">_xlfn.XLOOKUP(A47,TRIM(SUBSTITUTE('worker file'!$A$2:$A$406,_xlfn.UNICHAR(160)," ")),'worker file'!$L$2:$L$406,"Not found")</f>
        <v>US Semi-monthly</v>
      </c>
      <c r="D47" s="41">
        <f t="array" ref="D47">_xlfn.XLOOKUP(C47,TRIM('pay group &amp; schedule'!$A$2:$A$6),'pay group &amp; schedule'!$D$2:$D$6,"")</f>
        <v>46311</v>
      </c>
      <c r="E47" s="41">
        <f t="array" ref="E47">_xlfn.XLOOKUP(C47,TRIM('pay group &amp; schedule'!$A$2:$A$6),'pay group &amp; schedule'!$E$2:$E$6,"")</f>
        <v>46326</v>
      </c>
      <c r="F47" s="42">
        <v>46311</v>
      </c>
      <c r="G47" s="39">
        <f t="shared" si="3"/>
        <v>46311</v>
      </c>
      <c r="H47" t="str">
        <f t="shared" si="4"/>
        <v>Fri</v>
      </c>
      <c r="K47" s="36" t="str">
        <f t="array" ref="K47">IF(I47="","",_xlfn.LET(_xlpm.u,_xlfn.XLOOKUP(A47&amp;"|"&amp;I47,TRIM(SUBSTITUTE('absence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7" t="str">
        <f t="shared" si="5"/>
        <v>Current period</v>
      </c>
      <c r="M47" s="35" t="s">
        <v>660</v>
      </c>
      <c r="N47" s="35" t="s">
        <v>723</v>
      </c>
      <c r="O47" s="35" t="s">
        <v>722</v>
      </c>
      <c r="P47" s="47"/>
      <c r="Q47" s="48">
        <v>1500</v>
      </c>
    </row>
    <row r="48" spans="1:17" x14ac:dyDescent="0.2">
      <c r="A48" s="35" t="s">
        <v>133</v>
      </c>
      <c r="B48" s="35" t="s">
        <v>705</v>
      </c>
      <c r="C48" s="36" t="str">
        <f t="array" ref="C48">_xlfn.XLOOKUP(A48,TRIM(SUBSTITUTE('worker file'!$A$2:$A$406,_xlfn.UNICHAR(160)," ")),'worker file'!$L$2:$L$406,"Not found")</f>
        <v>US Semi-monthly</v>
      </c>
      <c r="D48" s="41">
        <f t="array" ref="D48">_xlfn.XLOOKUP(C48,TRIM('pay group &amp; schedule'!$A$2:$A$6),'pay group &amp; schedule'!$D$2:$D$6,"")</f>
        <v>46311</v>
      </c>
      <c r="E48" s="41">
        <f t="array" ref="E48">_xlfn.XLOOKUP(C48,TRIM('pay group &amp; schedule'!$A$2:$A$6),'pay group &amp; schedule'!$E$2:$E$6,"")</f>
        <v>46326</v>
      </c>
      <c r="F48" s="42">
        <v>46311</v>
      </c>
      <c r="G48" s="39">
        <f t="shared" si="3"/>
        <v>46311</v>
      </c>
      <c r="H48" t="str">
        <f t="shared" si="4"/>
        <v>Fri</v>
      </c>
      <c r="K48" s="36" t="str">
        <f t="array" ref="K48">IF(I48="","",_xlfn.LET(_xlpm.u,_xlfn.XLOOKUP(A48&amp;"|"&amp;I48,TRIM(SUBSTITUTE('absence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8" t="str">
        <f t="shared" si="5"/>
        <v>Current period</v>
      </c>
      <c r="M48" s="35" t="s">
        <v>660</v>
      </c>
      <c r="N48" s="35" t="s">
        <v>723</v>
      </c>
      <c r="O48" s="35" t="s">
        <v>722</v>
      </c>
      <c r="P48" s="47"/>
      <c r="Q48" s="48">
        <v>2000</v>
      </c>
    </row>
    <row r="49" spans="1:17" x14ac:dyDescent="0.2">
      <c r="A49" s="35" t="s">
        <v>135</v>
      </c>
      <c r="B49" s="35" t="s">
        <v>705</v>
      </c>
      <c r="C49" s="36" t="str">
        <f t="array" ref="C49">_xlfn.XLOOKUP(A49,TRIM(SUBSTITUTE('worker file'!$A$2:$A$406,_xlfn.UNICHAR(160)," ")),'worker file'!$L$2:$L$406,"Not found")</f>
        <v>US Semi-monthly</v>
      </c>
      <c r="D49" s="41">
        <f t="array" ref="D49">_xlfn.XLOOKUP(C49,TRIM('pay group &amp; schedule'!$A$2:$A$6),'pay group &amp; schedule'!$D$2:$D$6,"")</f>
        <v>46311</v>
      </c>
      <c r="E49" s="41">
        <f t="array" ref="E49">_xlfn.XLOOKUP(C49,TRIM('pay group &amp; schedule'!$A$2:$A$6),'pay group &amp; schedule'!$E$2:$E$6,"")</f>
        <v>46326</v>
      </c>
      <c r="F49" s="42">
        <v>46311</v>
      </c>
      <c r="G49" s="39">
        <f t="shared" si="3"/>
        <v>46311</v>
      </c>
      <c r="H49" t="str">
        <f t="shared" si="4"/>
        <v>Fri</v>
      </c>
      <c r="K49" s="36" t="str">
        <f t="array" ref="K49">IF(I49="","",_xlfn.LET(_xlpm.u,_xlfn.XLOOKUP(A49&amp;"|"&amp;I49,TRIM(SUBSTITUTE('absence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9" t="str">
        <f t="shared" si="5"/>
        <v>Current period</v>
      </c>
      <c r="M49" s="35" t="s">
        <v>660</v>
      </c>
      <c r="N49" s="35" t="s">
        <v>723</v>
      </c>
      <c r="O49" s="35" t="s">
        <v>722</v>
      </c>
      <c r="P49" s="47"/>
      <c r="Q49" s="48">
        <v>1000</v>
      </c>
    </row>
    <row r="50" spans="1:17" x14ac:dyDescent="0.2">
      <c r="A50" s="35" t="s">
        <v>129</v>
      </c>
      <c r="B50" s="35" t="s">
        <v>705</v>
      </c>
      <c r="C50" s="36" t="str">
        <f t="array" ref="C50">_xlfn.XLOOKUP(A50,TRIM(SUBSTITUTE('worker file'!$A$2:$A$406,_xlfn.UNICHAR(160)," ")),'worker file'!$L$2:$L$406,"Not found")</f>
        <v>US Biweekly</v>
      </c>
      <c r="D50" s="41">
        <f t="array" ref="D50">_xlfn.XLOOKUP(C50,TRIM('pay group &amp; schedule'!$A$2:$A$6),'pay group &amp; schedule'!$D$2:$D$6,"")</f>
        <v>46299</v>
      </c>
      <c r="E50" s="41">
        <f t="array" ref="E50">_xlfn.XLOOKUP(C50,TRIM('pay group &amp; schedule'!$A$2:$A$6),'pay group &amp; schedule'!$E$2:$E$6,"")</f>
        <v>46312</v>
      </c>
      <c r="F50" s="42">
        <v>46299</v>
      </c>
      <c r="G50" s="39">
        <f t="shared" si="3"/>
        <v>46299</v>
      </c>
      <c r="H50" t="str">
        <f t="shared" si="4"/>
        <v>Sun</v>
      </c>
      <c r="K50" s="36" t="str">
        <f t="array" ref="K50">IF(I50="","",_xlfn.LET(_xlpm.u,_xlfn.XLOOKUP(A50&amp;"|"&amp;I50,TRIM(SUBSTITUTE('absence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0" t="str">
        <f t="shared" si="5"/>
        <v>Current period</v>
      </c>
      <c r="M50" s="35" t="s">
        <v>660</v>
      </c>
      <c r="N50" s="35" t="s">
        <v>724</v>
      </c>
      <c r="O50" s="35" t="s">
        <v>722</v>
      </c>
      <c r="P50" s="47"/>
      <c r="Q50" s="48">
        <v>500</v>
      </c>
    </row>
    <row r="51" spans="1:17" x14ac:dyDescent="0.2">
      <c r="A51" s="35" t="s">
        <v>131</v>
      </c>
      <c r="B51" s="35" t="s">
        <v>705</v>
      </c>
      <c r="C51" s="36" t="str">
        <f t="array" ref="C51">_xlfn.XLOOKUP(A51,TRIM(SUBSTITUTE('worker file'!$A$2:$A$406,_xlfn.UNICHAR(160)," ")),'worker file'!$L$2:$L$406,"Not found")</f>
        <v>US Biweekly</v>
      </c>
      <c r="D51" s="41">
        <f t="array" ref="D51">_xlfn.XLOOKUP(C51,TRIM('pay group &amp; schedule'!$A$2:$A$6),'pay group &amp; schedule'!$D$2:$D$6,"")</f>
        <v>46299</v>
      </c>
      <c r="E51" s="41">
        <f t="array" ref="E51">_xlfn.XLOOKUP(C51,TRIM('pay group &amp; schedule'!$A$2:$A$6),'pay group &amp; schedule'!$E$2:$E$6,"")</f>
        <v>46312</v>
      </c>
      <c r="F51" s="42">
        <v>46299</v>
      </c>
      <c r="G51" s="39">
        <f t="shared" si="3"/>
        <v>46299</v>
      </c>
      <c r="H51" t="str">
        <f t="shared" si="4"/>
        <v>Sun</v>
      </c>
      <c r="K51" s="36" t="str">
        <f t="array" ref="K51">IF(I51="","",_xlfn.LET(_xlpm.u,_xlfn.XLOOKUP(A51&amp;"|"&amp;I51,TRIM(SUBSTITUTE('absence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1" t="str">
        <f t="shared" si="5"/>
        <v>Current period</v>
      </c>
      <c r="M51" s="35" t="s">
        <v>660</v>
      </c>
      <c r="N51" s="35" t="s">
        <v>724</v>
      </c>
      <c r="O51" s="35" t="s">
        <v>722</v>
      </c>
      <c r="P51" s="47"/>
      <c r="Q51" s="48">
        <v>750</v>
      </c>
    </row>
    <row r="52" spans="1:17" x14ac:dyDescent="0.2">
      <c r="A52" s="35" t="s">
        <v>150</v>
      </c>
      <c r="B52" s="35" t="s">
        <v>705</v>
      </c>
      <c r="C52" s="36" t="str">
        <f t="array" ref="C52">_xlfn.XLOOKUP(A52,TRIM(SUBSTITUTE('worker file'!$A$2:$A$406,_xlfn.UNICHAR(160)," ")),'worker file'!$L$2:$L$406,"Not found")</f>
        <v>US Biweekly</v>
      </c>
      <c r="D52" s="41">
        <f t="array" ref="D52">_xlfn.XLOOKUP(C52,TRIM('pay group &amp; schedule'!$A$2:$A$6),'pay group &amp; schedule'!$D$2:$D$6,"")</f>
        <v>46299</v>
      </c>
      <c r="E52" s="41">
        <f t="array" ref="E52">_xlfn.XLOOKUP(C52,TRIM('pay group &amp; schedule'!$A$2:$A$6),'pay group &amp; schedule'!$E$2:$E$6,"")</f>
        <v>46312</v>
      </c>
      <c r="F52" s="42">
        <v>46299</v>
      </c>
      <c r="G52" s="39">
        <f t="shared" si="3"/>
        <v>46299</v>
      </c>
      <c r="H52" t="str">
        <f t="shared" si="4"/>
        <v>Sun</v>
      </c>
      <c r="K52" s="36" t="str">
        <f t="array" ref="K52">IF(I52="","",_xlfn.LET(_xlpm.u,_xlfn.XLOOKUP(A52&amp;"|"&amp;I52,TRIM(SUBSTITUTE('absence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2" t="str">
        <f t="shared" si="5"/>
        <v>Current period</v>
      </c>
      <c r="M52" s="35" t="s">
        <v>660</v>
      </c>
      <c r="N52" s="35" t="s">
        <v>724</v>
      </c>
      <c r="O52" s="35" t="s">
        <v>722</v>
      </c>
      <c r="P52" s="47"/>
      <c r="Q52" s="48">
        <v>500</v>
      </c>
    </row>
    <row r="53" spans="1:17" x14ac:dyDescent="0.2">
      <c r="A53" s="35" t="s">
        <v>194</v>
      </c>
      <c r="B53" s="35" t="s">
        <v>705</v>
      </c>
      <c r="C53" s="36" t="str">
        <f t="array" ref="C53">_xlfn.XLOOKUP(A53,TRIM(SUBSTITUTE('worker file'!$A$2:$A$406,_xlfn.UNICHAR(160)," ")),'worker file'!$L$2:$L$406,"Not found")</f>
        <v>US Biweekly</v>
      </c>
      <c r="D53" s="41">
        <f t="array" ref="D53">_xlfn.XLOOKUP(C53,TRIM('pay group &amp; schedule'!$A$2:$A$6),'pay group &amp; schedule'!$D$2:$D$6,"")</f>
        <v>46299</v>
      </c>
      <c r="E53" s="41">
        <f t="array" ref="E53">_xlfn.XLOOKUP(C53,TRIM('pay group &amp; schedule'!$A$2:$A$6),'pay group &amp; schedule'!$E$2:$E$6,"")</f>
        <v>46312</v>
      </c>
      <c r="F53" s="42">
        <v>46299</v>
      </c>
      <c r="G53" s="39">
        <f t="shared" si="3"/>
        <v>46299</v>
      </c>
      <c r="H53" t="str">
        <f t="shared" si="4"/>
        <v>Sun</v>
      </c>
      <c r="K53" s="36" t="str">
        <f t="array" ref="K53">IF(I53="","",_xlfn.LET(_xlpm.u,_xlfn.XLOOKUP(A53&amp;"|"&amp;I53,TRIM(SUBSTITUTE('absence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3" t="str">
        <f t="shared" si="5"/>
        <v>Current period</v>
      </c>
      <c r="M53" s="35" t="s">
        <v>660</v>
      </c>
      <c r="N53" s="35" t="s">
        <v>724</v>
      </c>
      <c r="O53" s="35" t="s">
        <v>722</v>
      </c>
      <c r="P53" s="47"/>
      <c r="Q53" s="48">
        <v>750</v>
      </c>
    </row>
    <row r="54" spans="1:17" x14ac:dyDescent="0.2">
      <c r="A54" s="35" t="s">
        <v>240</v>
      </c>
      <c r="B54" s="35" t="s">
        <v>705</v>
      </c>
      <c r="C54" s="36" t="str">
        <f t="array" ref="C54">_xlfn.XLOOKUP(A54,TRIM(SUBSTITUTE('worker file'!$A$2:$A$406,_xlfn.UNICHAR(160)," ")),'worker file'!$L$2:$L$406,"Not found")</f>
        <v>US Biweekly</v>
      </c>
      <c r="D54" s="41">
        <f t="array" ref="D54">_xlfn.XLOOKUP(C54,TRIM('pay group &amp; schedule'!$A$2:$A$6),'pay group &amp; schedule'!$D$2:$D$6,"")</f>
        <v>46299</v>
      </c>
      <c r="E54" s="41">
        <f t="array" ref="E54">_xlfn.XLOOKUP(C54,TRIM('pay group &amp; schedule'!$A$2:$A$6),'pay group &amp; schedule'!$E$2:$E$6,"")</f>
        <v>46312</v>
      </c>
      <c r="F54" s="42">
        <v>46299</v>
      </c>
      <c r="G54" s="39">
        <f t="shared" si="3"/>
        <v>46299</v>
      </c>
      <c r="H54" t="str">
        <f t="shared" si="4"/>
        <v>Sun</v>
      </c>
      <c r="K54" s="36" t="str">
        <f t="array" ref="K54">IF(I54="","",_xlfn.LET(_xlpm.u,_xlfn.XLOOKUP(A54&amp;"|"&amp;I54,TRIM(SUBSTITUTE('absence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4" t="str">
        <f t="shared" si="5"/>
        <v>Current period</v>
      </c>
      <c r="M54" s="35" t="s">
        <v>660</v>
      </c>
      <c r="N54" s="35" t="s">
        <v>724</v>
      </c>
      <c r="O54" s="35" t="s">
        <v>722</v>
      </c>
      <c r="P54" s="47"/>
      <c r="Q54" s="48">
        <v>500</v>
      </c>
    </row>
    <row r="55" spans="1:17" x14ac:dyDescent="0.2">
      <c r="A55" s="35" t="s">
        <v>191</v>
      </c>
      <c r="B55" s="35" t="s">
        <v>705</v>
      </c>
      <c r="C55" s="36" t="str">
        <f t="array" ref="C55">_xlfn.XLOOKUP(A55,TRIM(SUBSTITUTE('worker file'!$A$2:$A$406,_xlfn.UNICHAR(160)," ")),'worker file'!$L$2:$L$406,"Not found")</f>
        <v>UK Monthly</v>
      </c>
      <c r="D55" s="41">
        <f t="array" ref="D55">_xlfn.XLOOKUP(C55,TRIM('pay group &amp; schedule'!$A$2:$A$6),'pay group &amp; schedule'!$D$2:$D$6,"")</f>
        <v>46296</v>
      </c>
      <c r="E55" s="41">
        <f t="array" ref="E55">_xlfn.XLOOKUP(C55,TRIM('pay group &amp; schedule'!$A$2:$A$6),'pay group &amp; schedule'!$E$2:$E$6,"")</f>
        <v>46326</v>
      </c>
      <c r="F55" s="42">
        <v>46296</v>
      </c>
      <c r="G55" s="39">
        <f t="shared" si="3"/>
        <v>46296</v>
      </c>
      <c r="H55" t="str">
        <f t="shared" si="4"/>
        <v>Thu</v>
      </c>
      <c r="K55" s="36" t="str">
        <f t="array" ref="K55">IF(I55="","",_xlfn.LET(_xlpm.u,_xlfn.XLOOKUP(A55&amp;"|"&amp;I55,TRIM(SUBSTITUTE('absence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5" t="str">
        <f t="shared" si="5"/>
        <v>Current period</v>
      </c>
      <c r="M55" s="35" t="s">
        <v>660</v>
      </c>
      <c r="N55" s="35" t="s">
        <v>725</v>
      </c>
      <c r="O55" s="35" t="s">
        <v>726</v>
      </c>
      <c r="P55" s="47"/>
      <c r="Q55" s="49">
        <v>1000</v>
      </c>
    </row>
    <row r="56" spans="1:17" x14ac:dyDescent="0.2">
      <c r="A56" s="35" t="s">
        <v>218</v>
      </c>
      <c r="B56" s="35" t="s">
        <v>705</v>
      </c>
      <c r="C56" s="36" t="str">
        <f t="array" ref="C56">_xlfn.XLOOKUP(A56,TRIM(SUBSTITUTE('worker file'!$A$2:$A$406,_xlfn.UNICHAR(160)," ")),'worker file'!$L$2:$L$406,"Not found")</f>
        <v>UK Monthly</v>
      </c>
      <c r="D56" s="41">
        <f t="array" ref="D56">_xlfn.XLOOKUP(C56,TRIM('pay group &amp; schedule'!$A$2:$A$6),'pay group &amp; schedule'!$D$2:$D$6,"")</f>
        <v>46296</v>
      </c>
      <c r="E56" s="41">
        <f t="array" ref="E56">_xlfn.XLOOKUP(C56,TRIM('pay group &amp; schedule'!$A$2:$A$6),'pay group &amp; schedule'!$E$2:$E$6,"")</f>
        <v>46326</v>
      </c>
      <c r="F56" s="42">
        <v>46296</v>
      </c>
      <c r="G56" s="39">
        <f t="shared" si="3"/>
        <v>46296</v>
      </c>
      <c r="H56" t="str">
        <f t="shared" si="4"/>
        <v>Thu</v>
      </c>
      <c r="K56" s="36" t="str">
        <f t="array" ref="K56">IF(I56="","",_xlfn.LET(_xlpm.u,_xlfn.XLOOKUP(A56&amp;"|"&amp;I56,TRIM(SUBSTITUTE('absence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6" t="str">
        <f t="shared" si="5"/>
        <v>Current period</v>
      </c>
      <c r="M56" s="35" t="s">
        <v>660</v>
      </c>
      <c r="N56" s="35" t="s">
        <v>725</v>
      </c>
      <c r="O56" s="35" t="s">
        <v>726</v>
      </c>
      <c r="P56" s="47"/>
      <c r="Q56" s="49">
        <v>1000</v>
      </c>
    </row>
    <row r="57" spans="1:17" x14ac:dyDescent="0.2">
      <c r="A57" s="35" t="s">
        <v>248</v>
      </c>
      <c r="B57" s="35" t="s">
        <v>705</v>
      </c>
      <c r="C57" s="36" t="str">
        <f t="array" ref="C57">_xlfn.XLOOKUP(A57,TRIM(SUBSTITUTE('worker file'!$A$2:$A$406,_xlfn.UNICHAR(160)," ")),'worker file'!$L$2:$L$406,"Not found")</f>
        <v>UK Monthly</v>
      </c>
      <c r="D57" s="41">
        <f t="array" ref="D57">_xlfn.XLOOKUP(C57,TRIM('pay group &amp; schedule'!$A$2:$A$6),'pay group &amp; schedule'!$D$2:$D$6,"")</f>
        <v>46296</v>
      </c>
      <c r="E57" s="41">
        <f t="array" ref="E57">_xlfn.XLOOKUP(C57,TRIM('pay group &amp; schedule'!$A$2:$A$6),'pay group &amp; schedule'!$E$2:$E$6,"")</f>
        <v>46326</v>
      </c>
      <c r="F57" s="42">
        <v>46296</v>
      </c>
      <c r="G57" s="39">
        <f t="shared" si="3"/>
        <v>46296</v>
      </c>
      <c r="H57" t="str">
        <f t="shared" si="4"/>
        <v>Thu</v>
      </c>
      <c r="K57" s="36" t="str">
        <f t="array" ref="K57">IF(I57="","",_xlfn.LET(_xlpm.u,_xlfn.XLOOKUP(A57&amp;"|"&amp;I57,TRIM(SUBSTITUTE('absence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7" t="str">
        <f t="shared" si="5"/>
        <v>Current period</v>
      </c>
      <c r="M57" s="35" t="s">
        <v>660</v>
      </c>
      <c r="N57" s="35" t="s">
        <v>725</v>
      </c>
      <c r="O57" s="35" t="s">
        <v>726</v>
      </c>
      <c r="P57" s="47"/>
      <c r="Q57" s="49">
        <v>750</v>
      </c>
    </row>
    <row r="58" spans="1:17" x14ac:dyDescent="0.2">
      <c r="A58" s="35" t="s">
        <v>281</v>
      </c>
      <c r="B58" s="35" t="s">
        <v>705</v>
      </c>
      <c r="C58" s="36" t="str">
        <f t="array" ref="C58">_xlfn.XLOOKUP(A58,TRIM(SUBSTITUTE('worker file'!$A$2:$A$406,_xlfn.UNICHAR(160)," ")),'worker file'!$L$2:$L$406,"Not found")</f>
        <v>UK Monthly</v>
      </c>
      <c r="D58" s="41">
        <f t="array" ref="D58">_xlfn.XLOOKUP(C58,TRIM('pay group &amp; schedule'!$A$2:$A$6),'pay group &amp; schedule'!$D$2:$D$6,"")</f>
        <v>46296</v>
      </c>
      <c r="E58" s="41">
        <f t="array" ref="E58">_xlfn.XLOOKUP(C58,TRIM('pay group &amp; schedule'!$A$2:$A$6),'pay group &amp; schedule'!$E$2:$E$6,"")</f>
        <v>46326</v>
      </c>
      <c r="F58" s="42">
        <v>46296</v>
      </c>
      <c r="G58" s="39">
        <f t="shared" si="3"/>
        <v>46296</v>
      </c>
      <c r="H58" t="str">
        <f t="shared" si="4"/>
        <v>Thu</v>
      </c>
      <c r="K58" s="36" t="str">
        <f t="array" ref="K58">IF(I58="","",_xlfn.LET(_xlpm.u,_xlfn.XLOOKUP(A58&amp;"|"&amp;I58,TRIM(SUBSTITUTE('absence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8" t="str">
        <f t="shared" si="5"/>
        <v>Current period</v>
      </c>
      <c r="M58" s="35" t="s">
        <v>660</v>
      </c>
      <c r="N58" s="35" t="s">
        <v>725</v>
      </c>
      <c r="O58" s="35" t="s">
        <v>726</v>
      </c>
      <c r="P58" s="47"/>
      <c r="Q58" s="49">
        <v>500</v>
      </c>
    </row>
    <row r="59" spans="1:17" x14ac:dyDescent="0.2">
      <c r="A59" s="35" t="s">
        <v>319</v>
      </c>
      <c r="B59" s="35" t="s">
        <v>705</v>
      </c>
      <c r="C59" s="36" t="str">
        <f t="array" ref="C59">_xlfn.XLOOKUP(A59,TRIM(SUBSTITUTE('worker file'!$A$2:$A$406,_xlfn.UNICHAR(160)," ")),'worker file'!$L$2:$L$406,"Not found")</f>
        <v>UK Monthly</v>
      </c>
      <c r="D59" s="41">
        <f t="array" ref="D59">_xlfn.XLOOKUP(C59,TRIM('pay group &amp; schedule'!$A$2:$A$6),'pay group &amp; schedule'!$D$2:$D$6,"")</f>
        <v>46296</v>
      </c>
      <c r="E59" s="41">
        <f t="array" ref="E59">_xlfn.XLOOKUP(C59,TRIM('pay group &amp; schedule'!$A$2:$A$6),'pay group &amp; schedule'!$E$2:$E$6,"")</f>
        <v>46326</v>
      </c>
      <c r="F59" s="42">
        <v>46296</v>
      </c>
      <c r="G59" s="39">
        <f t="shared" si="3"/>
        <v>46296</v>
      </c>
      <c r="H59" t="str">
        <f t="shared" si="4"/>
        <v>Thu</v>
      </c>
      <c r="K59" s="36" t="str">
        <f t="array" ref="K59">IF(I59="","",_xlfn.LET(_xlpm.u,_xlfn.XLOOKUP(A59&amp;"|"&amp;I59,TRIM(SUBSTITUTE('absence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9" t="str">
        <f t="shared" si="5"/>
        <v>Current period</v>
      </c>
      <c r="M59" s="35" t="s">
        <v>660</v>
      </c>
      <c r="N59" s="35" t="s">
        <v>725</v>
      </c>
      <c r="O59" s="35" t="s">
        <v>726</v>
      </c>
      <c r="P59" s="47"/>
      <c r="Q59" s="49">
        <v>500</v>
      </c>
    </row>
    <row r="60" spans="1:17" x14ac:dyDescent="0.2">
      <c r="A60" s="35" t="s">
        <v>169</v>
      </c>
      <c r="B60" s="35" t="s">
        <v>705</v>
      </c>
      <c r="C60" s="36" t="str">
        <f t="array" ref="C60">_xlfn.XLOOKUP(A60,TRIM(SUBSTITUTE('worker file'!$A$2:$A$406,_xlfn.UNICHAR(160)," ")),'worker file'!$L$2:$L$406,"Not found")</f>
        <v>India Monthly</v>
      </c>
      <c r="D60" s="41">
        <f t="array" ref="D60">_xlfn.XLOOKUP(C60,TRIM('pay group &amp; schedule'!$A$2:$A$6),'pay group &amp; schedule'!$D$2:$D$6,"")</f>
        <v>46296</v>
      </c>
      <c r="E60" s="41">
        <f t="array" ref="E60">_xlfn.XLOOKUP(C60,TRIM('pay group &amp; schedule'!$A$2:$A$6),'pay group &amp; schedule'!$E$2:$E$6,"")</f>
        <v>46326</v>
      </c>
      <c r="F60" s="42">
        <v>46296</v>
      </c>
      <c r="G60" s="39">
        <f t="shared" si="3"/>
        <v>46296</v>
      </c>
      <c r="H60" t="str">
        <f t="shared" si="4"/>
        <v>Thu</v>
      </c>
      <c r="K60" s="36" t="str">
        <f t="array" ref="K60">IF(I60="","",_xlfn.LET(_xlpm.u,_xlfn.XLOOKUP(A60&amp;"|"&amp;I60,TRIM(SUBSTITUTE('absence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0" t="str">
        <f t="shared" si="5"/>
        <v>Current period</v>
      </c>
      <c r="M60" s="35" t="s">
        <v>660</v>
      </c>
      <c r="N60" s="35" t="s">
        <v>727</v>
      </c>
      <c r="O60" s="35" t="s">
        <v>728</v>
      </c>
      <c r="P60" s="47"/>
      <c r="Q60" s="50">
        <v>50000</v>
      </c>
    </row>
    <row r="61" spans="1:17" x14ac:dyDescent="0.2">
      <c r="A61" s="35" t="s">
        <v>214</v>
      </c>
      <c r="B61" s="35" t="s">
        <v>705</v>
      </c>
      <c r="C61" s="36" t="str">
        <f t="array" ref="C61">_xlfn.XLOOKUP(A61,TRIM(SUBSTITUTE('worker file'!$A$2:$A$406,_xlfn.UNICHAR(160)," ")),'worker file'!$L$2:$L$406,"Not found")</f>
        <v>India Monthly</v>
      </c>
      <c r="D61" s="41">
        <f t="array" ref="D61">_xlfn.XLOOKUP(C61,TRIM('pay group &amp; schedule'!$A$2:$A$6),'pay group &amp; schedule'!$D$2:$D$6,"")</f>
        <v>46296</v>
      </c>
      <c r="E61" s="41">
        <f t="array" ref="E61">_xlfn.XLOOKUP(C61,TRIM('pay group &amp; schedule'!$A$2:$A$6),'pay group &amp; schedule'!$E$2:$E$6,"")</f>
        <v>46326</v>
      </c>
      <c r="F61" s="42">
        <v>46296</v>
      </c>
      <c r="G61" s="39">
        <f t="shared" si="3"/>
        <v>46296</v>
      </c>
      <c r="H61" t="str">
        <f t="shared" si="4"/>
        <v>Thu</v>
      </c>
      <c r="K61" s="36" t="str">
        <f t="array" ref="K61">IF(I61="","",_xlfn.LET(_xlpm.u,_xlfn.XLOOKUP(A61&amp;"|"&amp;I61,TRIM(SUBSTITUTE('absence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1" t="str">
        <f t="shared" si="5"/>
        <v>Current period</v>
      </c>
      <c r="M61" s="35" t="s">
        <v>660</v>
      </c>
      <c r="N61" s="35" t="s">
        <v>727</v>
      </c>
      <c r="O61" s="35" t="s">
        <v>728</v>
      </c>
      <c r="P61" s="47"/>
      <c r="Q61" s="50">
        <v>40000</v>
      </c>
    </row>
    <row r="62" spans="1:17" x14ac:dyDescent="0.2">
      <c r="A62" s="35" t="s">
        <v>242</v>
      </c>
      <c r="B62" s="35" t="s">
        <v>705</v>
      </c>
      <c r="C62" s="36" t="str">
        <f t="array" ref="C62">_xlfn.XLOOKUP(A62,TRIM(SUBSTITUTE('worker file'!$A$2:$A$406,_xlfn.UNICHAR(160)," ")),'worker file'!$L$2:$L$406,"Not found")</f>
        <v>India Monthly</v>
      </c>
      <c r="D62" s="41">
        <f t="array" ref="D62">_xlfn.XLOOKUP(C62,TRIM('pay group &amp; schedule'!$A$2:$A$6),'pay group &amp; schedule'!$D$2:$D$6,"")</f>
        <v>46296</v>
      </c>
      <c r="E62" s="41">
        <f t="array" ref="E62">_xlfn.XLOOKUP(C62,TRIM('pay group &amp; schedule'!$A$2:$A$6),'pay group &amp; schedule'!$E$2:$E$6,"")</f>
        <v>46326</v>
      </c>
      <c r="F62" s="42">
        <v>46296</v>
      </c>
      <c r="G62" s="39">
        <f t="shared" si="3"/>
        <v>46296</v>
      </c>
      <c r="H62" t="str">
        <f t="shared" si="4"/>
        <v>Thu</v>
      </c>
      <c r="K62" s="36" t="str">
        <f t="array" ref="K62">IF(I62="","",_xlfn.LET(_xlpm.u,_xlfn.XLOOKUP(A62&amp;"|"&amp;I62,TRIM(SUBSTITUTE('absence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2" t="str">
        <f t="shared" si="5"/>
        <v>Current period</v>
      </c>
      <c r="M62" s="35" t="s">
        <v>660</v>
      </c>
      <c r="N62" s="35" t="s">
        <v>727</v>
      </c>
      <c r="O62" s="35" t="s">
        <v>728</v>
      </c>
      <c r="P62" s="47"/>
      <c r="Q62" s="50">
        <v>30000</v>
      </c>
    </row>
    <row r="63" spans="1:17" x14ac:dyDescent="0.2">
      <c r="A63" s="35" t="s">
        <v>249</v>
      </c>
      <c r="B63" s="35" t="s">
        <v>705</v>
      </c>
      <c r="C63" s="36" t="str">
        <f t="array" ref="C63">_xlfn.XLOOKUP(A63,TRIM(SUBSTITUTE('worker file'!$A$2:$A$406,_xlfn.UNICHAR(160)," ")),'worker file'!$L$2:$L$406,"Not found")</f>
        <v>India Monthly</v>
      </c>
      <c r="D63" s="41">
        <f t="array" ref="D63">_xlfn.XLOOKUP(C63,TRIM('pay group &amp; schedule'!$A$2:$A$6),'pay group &amp; schedule'!$D$2:$D$6,"")</f>
        <v>46296</v>
      </c>
      <c r="E63" s="41">
        <f t="array" ref="E63">_xlfn.XLOOKUP(C63,TRIM('pay group &amp; schedule'!$A$2:$A$6),'pay group &amp; schedule'!$E$2:$E$6,"")</f>
        <v>46326</v>
      </c>
      <c r="F63" s="42">
        <v>46296</v>
      </c>
      <c r="G63" s="39">
        <f t="shared" si="3"/>
        <v>46296</v>
      </c>
      <c r="H63" t="str">
        <f t="shared" si="4"/>
        <v>Thu</v>
      </c>
      <c r="K63" s="36" t="str">
        <f t="array" ref="K63">IF(I63="","",_xlfn.LET(_xlpm.u,_xlfn.XLOOKUP(A63&amp;"|"&amp;I63,TRIM(SUBSTITUTE('absence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3" t="str">
        <f t="shared" si="5"/>
        <v>Current period</v>
      </c>
      <c r="M63" s="35" t="s">
        <v>660</v>
      </c>
      <c r="N63" s="35" t="s">
        <v>727</v>
      </c>
      <c r="O63" s="35" t="s">
        <v>728</v>
      </c>
      <c r="P63" s="47"/>
      <c r="Q63" s="50">
        <v>25000</v>
      </c>
    </row>
    <row r="64" spans="1:17" x14ac:dyDescent="0.2">
      <c r="A64" s="35" t="s">
        <v>258</v>
      </c>
      <c r="B64" s="35" t="s">
        <v>705</v>
      </c>
      <c r="C64" s="36" t="str">
        <f t="array" ref="C64">_xlfn.XLOOKUP(A64,TRIM(SUBSTITUTE('worker file'!$A$2:$A$406,_xlfn.UNICHAR(160)," ")),'worker file'!$L$2:$L$406,"Not found")</f>
        <v>India Monthly</v>
      </c>
      <c r="D64" s="41">
        <f t="array" ref="D64">_xlfn.XLOOKUP(C64,TRIM('pay group &amp; schedule'!$A$2:$A$6),'pay group &amp; schedule'!$D$2:$D$6,"")</f>
        <v>46296</v>
      </c>
      <c r="E64" s="41">
        <f t="array" ref="E64">_xlfn.XLOOKUP(C64,TRIM('pay group &amp; schedule'!$A$2:$A$6),'pay group &amp; schedule'!$E$2:$E$6,"")</f>
        <v>46326</v>
      </c>
      <c r="F64" s="42">
        <v>46296</v>
      </c>
      <c r="G64" s="39">
        <f t="shared" si="3"/>
        <v>46296</v>
      </c>
      <c r="H64" t="str">
        <f t="shared" si="4"/>
        <v>Thu</v>
      </c>
      <c r="K64" s="36" t="str">
        <f t="array" ref="K64">IF(I64="","",_xlfn.LET(_xlpm.u,_xlfn.XLOOKUP(A64&amp;"|"&amp;I64,TRIM(SUBSTITUTE('absence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4" t="str">
        <f t="shared" si="5"/>
        <v>Current period</v>
      </c>
      <c r="M64" s="35" t="s">
        <v>660</v>
      </c>
      <c r="N64" s="35" t="s">
        <v>727</v>
      </c>
      <c r="O64" s="35" t="s">
        <v>728</v>
      </c>
      <c r="P64" s="47"/>
      <c r="Q64" s="50">
        <v>35000</v>
      </c>
    </row>
    <row r="65" spans="1:17" x14ac:dyDescent="0.2">
      <c r="A65" s="35" t="s">
        <v>662</v>
      </c>
      <c r="B65" s="35" t="s">
        <v>705</v>
      </c>
      <c r="C65" s="36" t="str">
        <f t="array" ref="C65">_xlfn.XLOOKUP(A65,TRIM(SUBSTITUTE('worker file'!$A$2:$A$406,_xlfn.UNICHAR(160)," ")),'worker file'!$L$2:$L$406,"Not found")</f>
        <v>Canada Monthly</v>
      </c>
      <c r="D65" s="41">
        <f t="array" ref="D65">_xlfn.XLOOKUP(C65,TRIM('pay group &amp; schedule'!$A$2:$A$6),'pay group &amp; schedule'!$D$2:$D$6,"")</f>
        <v>46296</v>
      </c>
      <c r="E65" s="41">
        <f t="array" ref="E65">_xlfn.XLOOKUP(C65,TRIM('pay group &amp; schedule'!$A$2:$A$6),'pay group &amp; schedule'!$E$2:$E$6,"")</f>
        <v>46326</v>
      </c>
      <c r="F65" s="42">
        <v>46296</v>
      </c>
      <c r="G65" s="39">
        <f t="shared" si="3"/>
        <v>46296</v>
      </c>
      <c r="H65" t="str">
        <f t="shared" si="4"/>
        <v>Thu</v>
      </c>
      <c r="K65" s="36" t="str">
        <f t="array" ref="K65">IF(I65="","",_xlfn.LET(_xlpm.u,_xlfn.XLOOKUP(A65&amp;"|"&amp;I65,TRIM(SUBSTITUTE('absence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5" t="str">
        <f t="shared" si="5"/>
        <v>Current period</v>
      </c>
      <c r="M65" s="35" t="s">
        <v>660</v>
      </c>
      <c r="N65" s="35" t="s">
        <v>729</v>
      </c>
      <c r="O65" s="35" t="s">
        <v>730</v>
      </c>
      <c r="P65" s="47"/>
      <c r="Q65" s="51">
        <v>2000</v>
      </c>
    </row>
    <row r="66" spans="1:17" x14ac:dyDescent="0.2">
      <c r="A66" s="35" t="s">
        <v>480</v>
      </c>
      <c r="B66" s="35" t="s">
        <v>659</v>
      </c>
      <c r="C66" s="36" t="str">
        <f t="array" ref="C66">_xlfn.XLOOKUP(A66,TRIM(SUBSTITUTE('worker file'!$A$2:$A$406,_xlfn.UNICHAR(160)," ")),'worker file'!$L$2:$L$406,"Not found")</f>
        <v>Canada Monthly</v>
      </c>
      <c r="D66" s="41">
        <f t="array" ref="D66">_xlfn.XLOOKUP(C66,TRIM('pay group &amp; schedule'!$A$2:$A$6),'pay group &amp; schedule'!$D$2:$D$6,"")</f>
        <v>46296</v>
      </c>
      <c r="E66" s="41">
        <f t="array" ref="E66">_xlfn.XLOOKUP(C66,TRIM('pay group &amp; schedule'!$A$2:$A$6),'pay group &amp; schedule'!$E$2:$E$6,"")</f>
        <v>46326</v>
      </c>
      <c r="F66" s="42">
        <v>46317</v>
      </c>
      <c r="G66" s="39">
        <f t="shared" si="3"/>
        <v>46317</v>
      </c>
      <c r="H66" t="str">
        <f t="shared" ref="H66:H77" si="6">TEXT(F66,"ddd")</f>
        <v>Thu</v>
      </c>
      <c r="I66" t="s">
        <v>600</v>
      </c>
      <c r="J66">
        <v>1</v>
      </c>
      <c r="K66" s="36" t="str">
        <f t="array" ref="K66">IF(I66="","",_xlfn.LET(_xlpm.u,_xlfn.XLOOKUP(A66&amp;"|"&amp;I66,TRIM(SUBSTITUTE('absence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6" t="str">
        <f t="shared" ref="L66:L77" si="7">IF(F66&gt;E66,"Future period",IF(AND(G66&lt;&gt;"",G66&lt;D66),"Prior period",IF(F66&lt;D66,"Started prior period – continues",IF(OR(G66="",G66&gt;E66),"Starts this period – continues","Current period"))))</f>
        <v>Current period</v>
      </c>
      <c r="M66" s="35" t="s">
        <v>660</v>
      </c>
      <c r="N66" s="35" t="s">
        <v>731</v>
      </c>
      <c r="O66" s="35"/>
      <c r="P66" s="47"/>
      <c r="Q66" s="50"/>
    </row>
    <row r="67" spans="1:17" x14ac:dyDescent="0.2">
      <c r="A67" s="35" t="s">
        <v>483</v>
      </c>
      <c r="B67" s="35" t="s">
        <v>659</v>
      </c>
      <c r="C67" s="36" t="str">
        <f t="array" ref="C67">_xlfn.XLOOKUP(A67,TRIM(SUBSTITUTE('worker file'!$A$2:$A$406,_xlfn.UNICHAR(160)," ")),'worker file'!$L$2:$L$406,"Not found")</f>
        <v>Canada Monthly</v>
      </c>
      <c r="D67" s="41">
        <f t="array" ref="D67">_xlfn.XLOOKUP(C67,TRIM('pay group &amp; schedule'!$A$2:$A$6),'pay group &amp; schedule'!$D$2:$D$6,"")</f>
        <v>46296</v>
      </c>
      <c r="E67" s="41">
        <f t="array" ref="E67">_xlfn.XLOOKUP(C67,TRIM('pay group &amp; schedule'!$A$2:$A$6),'pay group &amp; schedule'!$E$2:$E$6,"")</f>
        <v>46326</v>
      </c>
      <c r="F67" s="42">
        <v>46321</v>
      </c>
      <c r="G67" s="39">
        <f t="shared" si="3"/>
        <v>46321</v>
      </c>
      <c r="H67" t="str">
        <f t="shared" si="6"/>
        <v>Mon</v>
      </c>
      <c r="I67" t="s">
        <v>600</v>
      </c>
      <c r="J67">
        <v>1</v>
      </c>
      <c r="K67" s="36" t="str">
        <f t="array" ref="K67">IF(I67="","",_xlfn.LET(_xlpm.u,_xlfn.XLOOKUP(A67&amp;"|"&amp;I67,TRIM(SUBSTITUTE('absence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7" t="str">
        <f t="shared" si="7"/>
        <v>Current period</v>
      </c>
      <c r="M67" s="35" t="s">
        <v>660</v>
      </c>
      <c r="N67" s="35" t="s">
        <v>732</v>
      </c>
      <c r="O67" s="35"/>
      <c r="P67" s="47"/>
      <c r="Q67" s="50"/>
    </row>
    <row r="68" spans="1:17" x14ac:dyDescent="0.2">
      <c r="A68" s="35" t="s">
        <v>483</v>
      </c>
      <c r="B68" s="35" t="s">
        <v>659</v>
      </c>
      <c r="C68" s="36" t="str">
        <f t="array" ref="C68">_xlfn.XLOOKUP(A68,TRIM(SUBSTITUTE('worker file'!$A$2:$A$406,_xlfn.UNICHAR(160)," ")),'worker file'!$L$2:$L$406,"Not found")</f>
        <v>Canada Monthly</v>
      </c>
      <c r="D68" s="41">
        <f t="array" ref="D68">_xlfn.XLOOKUP(C68,TRIM('pay group &amp; schedule'!$A$2:$A$6),'pay group &amp; schedule'!$D$2:$D$6,"")</f>
        <v>46296</v>
      </c>
      <c r="E68" s="41">
        <f t="array" ref="E68">_xlfn.XLOOKUP(C68,TRIM('pay group &amp; schedule'!$A$2:$A$6),'pay group &amp; schedule'!$E$2:$E$6,"")</f>
        <v>46326</v>
      </c>
      <c r="F68" s="42">
        <v>46322</v>
      </c>
      <c r="G68" s="39">
        <f t="shared" si="3"/>
        <v>46322</v>
      </c>
      <c r="H68" t="str">
        <f t="shared" si="6"/>
        <v>Tue</v>
      </c>
      <c r="I68" t="s">
        <v>600</v>
      </c>
      <c r="J68">
        <v>1</v>
      </c>
      <c r="K68" s="36" t="str">
        <f t="array" ref="K68">IF(I68="","",_xlfn.LET(_xlpm.u,_xlfn.XLOOKUP(A68&amp;"|"&amp;I68,TRIM(SUBSTITUTE('absence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8" t="str">
        <f t="shared" si="7"/>
        <v>Current period</v>
      </c>
      <c r="M68" s="35" t="s">
        <v>660</v>
      </c>
      <c r="N68" s="35" t="s">
        <v>732</v>
      </c>
      <c r="O68" s="35"/>
      <c r="P68" s="47"/>
      <c r="Q68" s="50"/>
    </row>
    <row r="69" spans="1:17" x14ac:dyDescent="0.2">
      <c r="A69" s="35" t="s">
        <v>483</v>
      </c>
      <c r="B69" s="35" t="s">
        <v>659</v>
      </c>
      <c r="C69" s="36" t="str">
        <f t="array" ref="C69">_xlfn.XLOOKUP(A69,TRIM(SUBSTITUTE('worker file'!$A$2:$A$406,_xlfn.UNICHAR(160)," ")),'worker file'!$L$2:$L$406,"Not found")</f>
        <v>Canada Monthly</v>
      </c>
      <c r="D69" s="41">
        <f t="array" ref="D69">_xlfn.XLOOKUP(C69,TRIM('pay group &amp; schedule'!$A$2:$A$6),'pay group &amp; schedule'!$D$2:$D$6,"")</f>
        <v>46296</v>
      </c>
      <c r="E69" s="41">
        <f t="array" ref="E69">_xlfn.XLOOKUP(C69,TRIM('pay group &amp; schedule'!$A$2:$A$6),'pay group &amp; schedule'!$E$2:$E$6,"")</f>
        <v>46326</v>
      </c>
      <c r="F69" s="42">
        <v>46323</v>
      </c>
      <c r="G69" s="39">
        <f t="shared" si="3"/>
        <v>46323</v>
      </c>
      <c r="H69" t="str">
        <f t="shared" si="6"/>
        <v>Wed</v>
      </c>
      <c r="I69" t="s">
        <v>600</v>
      </c>
      <c r="J69">
        <v>1</v>
      </c>
      <c r="K69" s="36" t="str">
        <f t="array" ref="K69">IF(I69="","",_xlfn.LET(_xlpm.u,_xlfn.XLOOKUP(A69&amp;"|"&amp;I69,TRIM(SUBSTITUTE('absence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9" t="str">
        <f t="shared" si="7"/>
        <v>Current period</v>
      </c>
      <c r="M69" s="35" t="s">
        <v>660</v>
      </c>
      <c r="N69" s="35" t="s">
        <v>732</v>
      </c>
      <c r="O69" s="35"/>
      <c r="P69" s="47"/>
      <c r="Q69" s="50"/>
    </row>
    <row r="70" spans="1:17" x14ac:dyDescent="0.2">
      <c r="A70" s="35" t="s">
        <v>487</v>
      </c>
      <c r="B70" s="35" t="s">
        <v>659</v>
      </c>
      <c r="C70" s="36" t="str">
        <f t="array" ref="C70">_xlfn.XLOOKUP(A70,TRIM(SUBSTITUTE('worker file'!$A$2:$A$406,_xlfn.UNICHAR(160)," ")),'worker file'!$L$2:$L$406,"Not found")</f>
        <v>Canada Monthly</v>
      </c>
      <c r="D70" s="41">
        <f t="array" ref="D70">_xlfn.XLOOKUP(C70,TRIM('pay group &amp; schedule'!$A$2:$A$6),'pay group &amp; schedule'!$D$2:$D$6,"")</f>
        <v>46296</v>
      </c>
      <c r="E70" s="41">
        <f t="array" ref="E70">_xlfn.XLOOKUP(C70,TRIM('pay group &amp; schedule'!$A$2:$A$6),'pay group &amp; schedule'!$E$2:$E$6,"")</f>
        <v>46326</v>
      </c>
      <c r="F70" s="42">
        <v>46307</v>
      </c>
      <c r="G70" s="39">
        <f t="shared" si="3"/>
        <v>46307</v>
      </c>
      <c r="H70" t="str">
        <f t="shared" si="6"/>
        <v>Mon</v>
      </c>
      <c r="I70" t="s">
        <v>601</v>
      </c>
      <c r="J70">
        <v>1</v>
      </c>
      <c r="K70" s="36" t="str">
        <f t="array" ref="K70">IF(I70="","",_xlfn.LET(_xlpm.u,_xlfn.XLOOKUP(A70&amp;"|"&amp;I70,TRIM(SUBSTITUTE('absence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70" t="str">
        <f t="shared" si="7"/>
        <v>Current period</v>
      </c>
      <c r="M70" s="35" t="s">
        <v>660</v>
      </c>
      <c r="N70" s="35" t="s">
        <v>661</v>
      </c>
      <c r="O70" s="35"/>
      <c r="P70" s="47"/>
      <c r="Q70" s="50"/>
    </row>
    <row r="71" spans="1:17" x14ac:dyDescent="0.2">
      <c r="A71" s="35" t="s">
        <v>495</v>
      </c>
      <c r="B71" s="35" t="s">
        <v>671</v>
      </c>
      <c r="C71" s="36" t="str">
        <f t="array" ref="C71">_xlfn.XLOOKUP(A71,TRIM(SUBSTITUTE('worker file'!$A$2:$A$406,_xlfn.UNICHAR(160)," ")),'worker file'!$L$2:$L$406,"Not found")</f>
        <v>Canada Monthly</v>
      </c>
      <c r="D71" s="41">
        <f t="array" ref="D71">_xlfn.XLOOKUP(C71,TRIM('pay group &amp; schedule'!$A$2:$A$6),'pay group &amp; schedule'!$D$2:$D$6,"")</f>
        <v>46296</v>
      </c>
      <c r="E71" s="41">
        <f t="array" ref="E71">_xlfn.XLOOKUP(C71,TRIM('pay group &amp; schedule'!$A$2:$A$6),'pay group &amp; schedule'!$E$2:$E$6,"")</f>
        <v>46326</v>
      </c>
      <c r="F71" s="42">
        <v>46310</v>
      </c>
      <c r="G71" s="39">
        <v>46345</v>
      </c>
      <c r="H71" t="str">
        <f t="shared" si="6"/>
        <v>Thu</v>
      </c>
      <c r="K71" s="36" t="str">
        <f t="array" ref="K71">IF(I71="","",_xlfn.LET(_xlpm.u,_xlfn.XLOOKUP(A71&amp;"|"&amp;I71,TRIM(SUBSTITUTE('absence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1" t="str">
        <f t="shared" si="7"/>
        <v>Starts this period – continues</v>
      </c>
      <c r="M71" s="35" t="s">
        <v>660</v>
      </c>
      <c r="N71" s="35" t="s">
        <v>733</v>
      </c>
      <c r="O71" s="35"/>
      <c r="P71" s="47"/>
      <c r="Q71" s="50"/>
    </row>
    <row r="72" spans="1:17" x14ac:dyDescent="0.2">
      <c r="A72" s="35" t="s">
        <v>501</v>
      </c>
      <c r="B72" s="35" t="s">
        <v>676</v>
      </c>
      <c r="C72" s="36" t="str">
        <f t="array" ref="C72">_xlfn.XLOOKUP(A72,TRIM(SUBSTITUTE('worker file'!$A$2:$A$406,_xlfn.UNICHAR(160)," ")),'worker file'!$L$2:$L$406,"Not found")</f>
        <v>Canada Monthly</v>
      </c>
      <c r="D72" s="41">
        <f t="array" ref="D72">_xlfn.XLOOKUP(C72,TRIM('pay group &amp; schedule'!$A$2:$A$6),'pay group &amp; schedule'!$D$2:$D$6,"")</f>
        <v>46296</v>
      </c>
      <c r="E72" s="41">
        <f t="array" ref="E72">_xlfn.XLOOKUP(C72,TRIM('pay group &amp; schedule'!$A$2:$A$6),'pay group &amp; schedule'!$E$2:$E$6,"")</f>
        <v>46326</v>
      </c>
      <c r="F72" s="42">
        <v>46309</v>
      </c>
      <c r="G72" s="39"/>
      <c r="H72" t="str">
        <f t="shared" si="6"/>
        <v>Wed</v>
      </c>
      <c r="K72" s="36" t="str">
        <f t="array" ref="K72">IF(I72="","",_xlfn.LET(_xlpm.u,_xlfn.XLOOKUP(A72&amp;"|"&amp;I72,TRIM(SUBSTITUTE('absence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2" t="str">
        <f t="shared" si="7"/>
        <v>Starts this period – continues</v>
      </c>
      <c r="M72" s="35" t="s">
        <v>660</v>
      </c>
      <c r="N72" s="35" t="s">
        <v>734</v>
      </c>
      <c r="O72" s="35" t="s">
        <v>735</v>
      </c>
      <c r="P72" s="52">
        <v>34.5</v>
      </c>
      <c r="Q72" s="53">
        <v>36</v>
      </c>
    </row>
    <row r="73" spans="1:17" x14ac:dyDescent="0.2">
      <c r="A73" s="35" t="s">
        <v>497</v>
      </c>
      <c r="B73" s="35" t="s">
        <v>676</v>
      </c>
      <c r="C73" s="36" t="str">
        <f t="array" ref="C73">_xlfn.XLOOKUP(A73,TRIM(SUBSTITUTE('worker file'!$A$2:$A$406,_xlfn.UNICHAR(160)," ")),'worker file'!$L$2:$L$406,"Not found")</f>
        <v>Canada Monthly</v>
      </c>
      <c r="D73" s="41">
        <f t="array" ref="D73">_xlfn.XLOOKUP(C73,TRIM('pay group &amp; schedule'!$A$2:$A$6),'pay group &amp; schedule'!$D$2:$D$6,"")</f>
        <v>46296</v>
      </c>
      <c r="E73" s="41">
        <f t="array" ref="E73">_xlfn.XLOOKUP(C73,TRIM('pay group &amp; schedule'!$A$2:$A$6),'pay group &amp; schedule'!$E$2:$E$6,"")</f>
        <v>46326</v>
      </c>
      <c r="F73" s="42">
        <v>46311</v>
      </c>
      <c r="G73" s="39"/>
      <c r="H73" t="str">
        <f t="shared" si="6"/>
        <v>Fri</v>
      </c>
      <c r="K73" s="36" t="str">
        <f t="array" ref="K73">IF(I73="","",_xlfn.LET(_xlpm.u,_xlfn.XLOOKUP(A73&amp;"|"&amp;I73,TRIM(SUBSTITUTE('absence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3" t="str">
        <f t="shared" si="7"/>
        <v>Starts this period – continues</v>
      </c>
      <c r="M73" s="35" t="s">
        <v>660</v>
      </c>
      <c r="N73" s="35" t="s">
        <v>736</v>
      </c>
      <c r="O73" s="35" t="s">
        <v>737</v>
      </c>
      <c r="P73" s="54">
        <v>210000</v>
      </c>
      <c r="Q73" s="51">
        <v>220000</v>
      </c>
    </row>
    <row r="74" spans="1:17" x14ac:dyDescent="0.2">
      <c r="A74" s="35" t="s">
        <v>502</v>
      </c>
      <c r="B74" s="35" t="s">
        <v>683</v>
      </c>
      <c r="C74" s="36" t="str">
        <f t="array" ref="C74">_xlfn.XLOOKUP(A74,TRIM(SUBSTITUTE('worker file'!$A$2:$A$406,_xlfn.UNICHAR(160)," ")),'worker file'!$L$2:$L$406,"Not found")</f>
        <v>Canada Monthly</v>
      </c>
      <c r="D74" s="41">
        <f t="array" ref="D74">_xlfn.XLOOKUP(C74,TRIM('pay group &amp; schedule'!$A$2:$A$6),'pay group &amp; schedule'!$D$2:$D$6,"")</f>
        <v>46296</v>
      </c>
      <c r="E74" s="41">
        <f t="array" ref="E74">_xlfn.XLOOKUP(C74,TRIM('pay group &amp; schedule'!$A$2:$A$6),'pay group &amp; schedule'!$E$2:$E$6,"")</f>
        <v>46326</v>
      </c>
      <c r="F74" s="42">
        <v>46266</v>
      </c>
      <c r="G74" s="39"/>
      <c r="H74" t="str">
        <f t="shared" si="6"/>
        <v>Tue</v>
      </c>
      <c r="K74" s="36" t="str">
        <f t="array" ref="K74">IF(I74="","",_xlfn.LET(_xlpm.u,_xlfn.XLOOKUP(A74&amp;"|"&amp;I74,TRIM(SUBSTITUTE('absence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4" t="str">
        <f t="shared" si="7"/>
        <v>Started prior period – continues</v>
      </c>
      <c r="M74" s="35" t="s">
        <v>36</v>
      </c>
      <c r="N74" s="35" t="s">
        <v>738</v>
      </c>
      <c r="O74" s="35" t="s">
        <v>739</v>
      </c>
      <c r="P74" s="47"/>
      <c r="Q74" s="50" t="s">
        <v>740</v>
      </c>
    </row>
    <row r="75" spans="1:17" x14ac:dyDescent="0.2">
      <c r="A75" s="35" t="s">
        <v>493</v>
      </c>
      <c r="B75" s="35" t="s">
        <v>705</v>
      </c>
      <c r="C75" s="36" t="str">
        <f t="array" ref="C75">_xlfn.XLOOKUP(A75,TRIM(SUBSTITUTE('worker file'!$A$2:$A$406,_xlfn.UNICHAR(160)," ")),'worker file'!$L$2:$L$406,"Not found")</f>
        <v>Canada Monthly</v>
      </c>
      <c r="D75" s="41">
        <f t="array" ref="D75">_xlfn.XLOOKUP(C75,TRIM('pay group &amp; schedule'!$A$2:$A$6),'pay group &amp; schedule'!$D$2:$D$6,"")</f>
        <v>46296</v>
      </c>
      <c r="E75" s="41">
        <f t="array" ref="E75">_xlfn.XLOOKUP(C75,TRIM('pay group &amp; schedule'!$A$2:$A$6),'pay group &amp; schedule'!$E$2:$E$6,"")</f>
        <v>46326</v>
      </c>
      <c r="F75" s="42">
        <v>46310</v>
      </c>
      <c r="G75" s="39">
        <f>F75</f>
        <v>46310</v>
      </c>
      <c r="H75" t="str">
        <f t="shared" si="6"/>
        <v>Thu</v>
      </c>
      <c r="K75" s="36" t="str">
        <f t="array" ref="K75">IF(I75="","",_xlfn.LET(_xlpm.u,_xlfn.XLOOKUP(A75&amp;"|"&amp;I75,TRIM(SUBSTITUTE('absence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5" t="str">
        <f t="shared" si="7"/>
        <v>Current period</v>
      </c>
      <c r="M75" s="35" t="s">
        <v>660</v>
      </c>
      <c r="N75" s="35" t="s">
        <v>741</v>
      </c>
      <c r="O75" s="35" t="s">
        <v>742</v>
      </c>
      <c r="P75" s="47"/>
      <c r="Q75" s="51">
        <v>10000</v>
      </c>
    </row>
    <row r="76" spans="1:17" x14ac:dyDescent="0.2">
      <c r="A76" s="35" t="s">
        <v>500</v>
      </c>
      <c r="B76" s="35" t="s">
        <v>705</v>
      </c>
      <c r="C76" s="36" t="str">
        <f t="array" ref="C76">_xlfn.XLOOKUP(A76,TRIM(SUBSTITUTE('worker file'!$A$2:$A$406,_xlfn.UNICHAR(160)," ")),'worker file'!$L$2:$L$406,"Not found")</f>
        <v>Canada Monthly</v>
      </c>
      <c r="D76" s="41">
        <f t="array" ref="D76">_xlfn.XLOOKUP(C76,TRIM('pay group &amp; schedule'!$A$2:$A$6),'pay group &amp; schedule'!$D$2:$D$6,"")</f>
        <v>46296</v>
      </c>
      <c r="E76" s="41">
        <f t="array" ref="E76">_xlfn.XLOOKUP(C76,TRIM('pay group &amp; schedule'!$A$2:$A$6),'pay group &amp; schedule'!$E$2:$E$6,"")</f>
        <v>46326</v>
      </c>
      <c r="F76" s="42">
        <v>46318</v>
      </c>
      <c r="G76" s="39">
        <f>F76</f>
        <v>46318</v>
      </c>
      <c r="H76" t="str">
        <f t="shared" si="6"/>
        <v>Fri</v>
      </c>
      <c r="K76" s="36" t="str">
        <f t="array" ref="K76">IF(I76="","",_xlfn.LET(_xlpm.u,_xlfn.XLOOKUP(A76&amp;"|"&amp;I76,TRIM(SUBSTITUTE('absence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6" t="str">
        <f t="shared" si="7"/>
        <v>Current period</v>
      </c>
      <c r="M76" s="35" t="s">
        <v>660</v>
      </c>
      <c r="N76" s="35" t="s">
        <v>743</v>
      </c>
      <c r="O76" s="35" t="s">
        <v>742</v>
      </c>
      <c r="P76" s="47"/>
      <c r="Q76" s="51">
        <v>7500</v>
      </c>
    </row>
    <row r="77" spans="1:17" x14ac:dyDescent="0.2">
      <c r="A77" s="35" t="s">
        <v>509</v>
      </c>
      <c r="B77" s="35" t="s">
        <v>705</v>
      </c>
      <c r="C77" s="36" t="str">
        <f t="array" ref="C77">_xlfn.XLOOKUP(A77,TRIM(SUBSTITUTE('worker file'!$A$2:$A$406,_xlfn.UNICHAR(160)," ")),'worker file'!$L$2:$L$406,"Not found")</f>
        <v>Canada Monthly</v>
      </c>
      <c r="D77" s="41">
        <f t="array" ref="D77">_xlfn.XLOOKUP(C77,TRIM('pay group &amp; schedule'!$A$2:$A$6),'pay group &amp; schedule'!$D$2:$D$6,"")</f>
        <v>46296</v>
      </c>
      <c r="E77" s="41">
        <f t="array" ref="E77">_xlfn.XLOOKUP(C77,TRIM('pay group &amp; schedule'!$A$2:$A$6),'pay group &amp; schedule'!$E$2:$E$6,"")</f>
        <v>46326</v>
      </c>
      <c r="F77" s="42">
        <v>46296</v>
      </c>
      <c r="G77" s="39">
        <f>F77</f>
        <v>46296</v>
      </c>
      <c r="H77" t="str">
        <f t="shared" si="6"/>
        <v>Thu</v>
      </c>
      <c r="K77" s="36" t="str">
        <f t="array" ref="K77">IF(I77="","",_xlfn.LET(_xlpm.u,_xlfn.XLOOKUP(A77&amp;"|"&amp;I77,TRIM(SUBSTITUTE('absence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7" t="str">
        <f t="shared" si="7"/>
        <v>Current period</v>
      </c>
      <c r="M77" s="35" t="s">
        <v>660</v>
      </c>
      <c r="N77" s="35" t="s">
        <v>729</v>
      </c>
      <c r="O77" s="35" t="s">
        <v>730</v>
      </c>
      <c r="P77" s="47"/>
      <c r="Q77" s="51">
        <v>2500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46"/>
  <sheetViews>
    <sheetView topLeftCell="L1" zoomScaleNormal="100" workbookViewId="0">
      <pane ySplit="1" topLeftCell="A2" activePane="bottomLeft" state="frozen"/>
      <selection activeCell="L1" sqref="L1"/>
      <selection pane="bottomLeft" activeCell="T24" sqref="T24"/>
    </sheetView>
  </sheetViews>
  <sheetFormatPr baseColWidth="10" defaultColWidth="10.5" defaultRowHeight="15" x14ac:dyDescent="0.2"/>
  <cols>
    <col min="1" max="1" width="13.1640625" customWidth="1"/>
    <col min="2" max="2" width="19.83203125" customWidth="1"/>
    <col min="3" max="4" width="6.33203125" customWidth="1"/>
    <col min="6" max="6" width="9.83203125" customWidth="1"/>
    <col min="7" max="7" width="13.5" customWidth="1"/>
    <col min="8" max="8" width="39.1640625" customWidth="1"/>
    <col min="9" max="9" width="14.83203125" customWidth="1"/>
    <col min="10" max="10" width="22.83203125" customWidth="1"/>
    <col min="11" max="11" width="14.6640625" customWidth="1"/>
    <col min="12" max="12" width="55" customWidth="1"/>
    <col min="13" max="13" width="5.33203125" customWidth="1"/>
    <col min="14" max="14" width="14.83203125" customWidth="1"/>
    <col min="15" max="15" width="16.33203125" customWidth="1"/>
    <col min="16" max="16" width="17" customWidth="1"/>
    <col min="17" max="17" width="14.33203125" customWidth="1"/>
    <col min="18" max="18" width="10" customWidth="1"/>
    <col min="20" max="20" width="29.1640625" customWidth="1"/>
    <col min="21" max="21" width="17" customWidth="1"/>
  </cols>
  <sheetData>
    <row r="1" spans="1:21" ht="16" x14ac:dyDescent="0.2">
      <c r="A1" s="4" t="s">
        <v>637</v>
      </c>
      <c r="B1" s="4" t="s">
        <v>744</v>
      </c>
      <c r="C1" s="4" t="s">
        <v>745</v>
      </c>
      <c r="D1" s="4" t="s">
        <v>746</v>
      </c>
      <c r="E1" s="4" t="s">
        <v>747</v>
      </c>
      <c r="F1" s="3" t="s">
        <v>748</v>
      </c>
      <c r="G1" s="4" t="s">
        <v>749</v>
      </c>
      <c r="H1" s="4" t="s">
        <v>750</v>
      </c>
      <c r="I1" s="4" t="s">
        <v>751</v>
      </c>
      <c r="J1" s="4" t="s">
        <v>752</v>
      </c>
      <c r="K1" s="4" t="s">
        <v>753</v>
      </c>
      <c r="L1" s="55" t="s">
        <v>24</v>
      </c>
      <c r="M1" s="4" t="s">
        <v>652</v>
      </c>
      <c r="N1" s="4" t="s">
        <v>754</v>
      </c>
      <c r="O1" s="4" t="s">
        <v>755</v>
      </c>
      <c r="P1" s="4" t="s">
        <v>756</v>
      </c>
      <c r="Q1" s="4" t="s">
        <v>757</v>
      </c>
      <c r="R1" s="4" t="s">
        <v>3</v>
      </c>
      <c r="T1" s="1" t="s">
        <v>650</v>
      </c>
      <c r="U1" s="23">
        <v>46299</v>
      </c>
    </row>
    <row r="2" spans="1:21" ht="16" x14ac:dyDescent="0.2">
      <c r="A2" s="5" t="s">
        <v>120</v>
      </c>
      <c r="B2" s="6">
        <v>46300</v>
      </c>
      <c r="C2" s="56">
        <v>0.58125000000000004</v>
      </c>
      <c r="D2" s="56">
        <v>0.93402777777777801</v>
      </c>
      <c r="E2" s="57">
        <v>0.74722222222222201</v>
      </c>
      <c r="F2" s="58">
        <v>0.76805555555555605</v>
      </c>
      <c r="G2" s="59" t="str">
        <f t="array" ref="G2">_xlfn.XLOOKUP(A2&amp;"|"&amp;B2,ShiftRoster[Employee ID]&amp;"|"&amp;ShiftRoster[Date],ShiftRoster[Shift Code],_xlfn.XLOOKUP(A2,TRIM(SUBSTITUTE('worker file'!$A$2:$A$406,_xlfn.UNICHAR(160)," ")),'worker file'!$X$2:$X$406,"?"),0,-1)</f>
        <v>SWNG</v>
      </c>
      <c r="H2" s="59" t="str">
        <f>_xlfn.XLOOKUP(G2,ShiftCodes[Code],ShiftCodes[Work Schedule],"Unknown")</f>
        <v>Shift B – Swing (Mon–Fri 14:00–22:30)</v>
      </c>
      <c r="I2" s="60">
        <f>_xlfn.XLOOKUP(G2,ShiftCodes[Code],ShiftCodes[Start],"")</f>
        <v>0.58333333333333304</v>
      </c>
      <c r="J2" s="61">
        <f t="shared" ref="J2:J65" si="0">IF(OR(C2="",I2=""),"",ROUND((MOD(C2-I2+0.5,1)-0.5)*1440,0))</f>
        <v>-3</v>
      </c>
      <c r="K2" s="59" t="str">
        <f t="shared" ref="K2:K65" si="1">IF(J2="","",IF(ABS(J2)&gt;$U$3,"Off-schedule","OK"))</f>
        <v>OK</v>
      </c>
      <c r="L2" s="62"/>
      <c r="M2" s="5" t="str">
        <f t="shared" ref="M2:M65" si="2">TEXT(B2,"ddd")</f>
        <v>Mon</v>
      </c>
      <c r="N2" s="63">
        <f t="shared" ref="N2:N65" si="3">IF(OR(C2="",D2=""),"",ROUND((MOD(D2-C2,1)-IF(ISNUMBER(E2),MOD(F2-E2,1),0))*24,2))</f>
        <v>7.97</v>
      </c>
      <c r="O2" s="5" t="s">
        <v>758</v>
      </c>
      <c r="P2" s="6">
        <v>46300</v>
      </c>
      <c r="Q2" s="5" t="str">
        <f t="shared" ref="Q2:Q65" si="4">IF(B2&lt;$U$1,"Prior period",IF(B2&gt;$U$2,"Future period","Current period"))</f>
        <v>Current period</v>
      </c>
      <c r="R2" s="5" t="str">
        <f t="array" ref="R2">_xlfn.XLOOKUP(A2,TRIM(SUBSTITUTE('worker file'!$A$2:$A$406,_xlfn.UNICHAR(160)," ")),'worker file'!$D$2:$D$406,"Not found")</f>
        <v>TX</v>
      </c>
      <c r="T2" s="1" t="s">
        <v>651</v>
      </c>
      <c r="U2" s="23">
        <v>46312</v>
      </c>
    </row>
    <row r="3" spans="1:21" ht="16" x14ac:dyDescent="0.2">
      <c r="A3" s="5" t="s">
        <v>120</v>
      </c>
      <c r="B3" s="6">
        <v>46301</v>
      </c>
      <c r="C3" s="56">
        <v>0.58333333333333304</v>
      </c>
      <c r="D3" s="56">
        <v>0.93263888888888902</v>
      </c>
      <c r="E3" s="57">
        <v>0.77013888888888904</v>
      </c>
      <c r="F3" s="58">
        <v>0.79097222222222197</v>
      </c>
      <c r="G3" s="59" t="str">
        <f t="array" ref="G3">_xlfn.XLOOKUP(A3&amp;"|"&amp;B3,ShiftRoster[Employee ID]&amp;"|"&amp;ShiftRoster[Date],ShiftRoster[Shift Code],_xlfn.XLOOKUP(A3,TRIM(SUBSTITUTE('worker file'!$A$2:$A$406,_xlfn.UNICHAR(160)," ")),'worker file'!$X$2:$X$406,"?"),0,-1)</f>
        <v>SWNG</v>
      </c>
      <c r="H3" s="59" t="str">
        <f>_xlfn.XLOOKUP(G3,ShiftCodes[Code],ShiftCodes[Work Schedule],"Unknown")</f>
        <v>Shift B – Swing (Mon–Fri 14:00–22:30)</v>
      </c>
      <c r="I3" s="60">
        <f>_xlfn.XLOOKUP(G3,ShiftCodes[Code],ShiftCodes[Start],"")</f>
        <v>0.58333333333333304</v>
      </c>
      <c r="J3" s="61">
        <f t="shared" si="0"/>
        <v>0</v>
      </c>
      <c r="K3" s="59" t="str">
        <f t="shared" si="1"/>
        <v>OK</v>
      </c>
      <c r="L3" s="62"/>
      <c r="M3" s="5" t="str">
        <f t="shared" si="2"/>
        <v>Tue</v>
      </c>
      <c r="N3" s="63">
        <f t="shared" si="3"/>
        <v>7.88</v>
      </c>
      <c r="O3" s="5" t="s">
        <v>758</v>
      </c>
      <c r="P3" s="6">
        <v>46301</v>
      </c>
      <c r="Q3" s="5" t="str">
        <f t="shared" si="4"/>
        <v>Current period</v>
      </c>
      <c r="R3" s="5" t="str">
        <f t="array" ref="R3">_xlfn.XLOOKUP(A3,TRIM(SUBSTITUTE('worker file'!$A$2:$A$406,_xlfn.UNICHAR(160)," ")),'worker file'!$D$2:$D$406,"Not found")</f>
        <v>TX</v>
      </c>
      <c r="T3" s="1" t="s">
        <v>759</v>
      </c>
      <c r="U3" s="64">
        <v>30</v>
      </c>
    </row>
    <row r="4" spans="1:21" ht="16" x14ac:dyDescent="0.2">
      <c r="A4" s="5" t="s">
        <v>120</v>
      </c>
      <c r="B4" s="6">
        <v>46302</v>
      </c>
      <c r="C4" s="56">
        <v>0.57986111111111105</v>
      </c>
      <c r="D4" s="56">
        <v>0.92916666666666703</v>
      </c>
      <c r="E4" s="57">
        <v>0.75555555555555598</v>
      </c>
      <c r="F4" s="58">
        <v>0.77638888888888902</v>
      </c>
      <c r="G4" s="59" t="str">
        <f t="array" ref="G4">_xlfn.XLOOKUP(A4&amp;"|"&amp;B4,ShiftRoster[Employee ID]&amp;"|"&amp;ShiftRoster[Date],ShiftRoster[Shift Code],_xlfn.XLOOKUP(A4,TRIM(SUBSTITUTE('worker file'!$A$2:$A$406,_xlfn.UNICHAR(160)," ")),'worker file'!$X$2:$X$406,"?"),0,-1)</f>
        <v>SWNG</v>
      </c>
      <c r="H4" s="59" t="str">
        <f>_xlfn.XLOOKUP(G4,ShiftCodes[Code],ShiftCodes[Work Schedule],"Unknown")</f>
        <v>Shift B – Swing (Mon–Fri 14:00–22:30)</v>
      </c>
      <c r="I4" s="60">
        <f>_xlfn.XLOOKUP(G4,ShiftCodes[Code],ShiftCodes[Start],"")</f>
        <v>0.58333333333333304</v>
      </c>
      <c r="J4" s="61">
        <f t="shared" si="0"/>
        <v>-5</v>
      </c>
      <c r="K4" s="59" t="str">
        <f t="shared" si="1"/>
        <v>OK</v>
      </c>
      <c r="L4" s="62"/>
      <c r="M4" s="5" t="str">
        <f t="shared" si="2"/>
        <v>Wed</v>
      </c>
      <c r="N4" s="63">
        <f t="shared" si="3"/>
        <v>7.88</v>
      </c>
      <c r="O4" s="5" t="s">
        <v>758</v>
      </c>
      <c r="P4" s="6">
        <v>46302</v>
      </c>
      <c r="Q4" s="5" t="str">
        <f t="shared" si="4"/>
        <v>Current period</v>
      </c>
      <c r="R4" s="5" t="str">
        <f t="array" ref="R4">_xlfn.XLOOKUP(A4,TRIM(SUBSTITUTE('worker file'!$A$2:$A$406,_xlfn.UNICHAR(160)," ")),'worker file'!$D$2:$D$406,"Not found")</f>
        <v>TX</v>
      </c>
    </row>
    <row r="5" spans="1:21" ht="16" x14ac:dyDescent="0.2">
      <c r="A5" s="5" t="s">
        <v>120</v>
      </c>
      <c r="B5" s="6">
        <v>46303</v>
      </c>
      <c r="C5" s="56">
        <v>0.58194444444444504</v>
      </c>
      <c r="D5" s="56">
        <v>0.93194444444444502</v>
      </c>
      <c r="E5" s="57">
        <v>0.72847222222222197</v>
      </c>
      <c r="F5" s="58">
        <v>0.749305555555556</v>
      </c>
      <c r="G5" s="59" t="str">
        <f t="array" ref="G5">_xlfn.XLOOKUP(A5&amp;"|"&amp;B5,ShiftRoster[Employee ID]&amp;"|"&amp;ShiftRoster[Date],ShiftRoster[Shift Code],_xlfn.XLOOKUP(A5,TRIM(SUBSTITUTE('worker file'!$A$2:$A$406,_xlfn.UNICHAR(160)," ")),'worker file'!$X$2:$X$406,"?"),0,-1)</f>
        <v>SWNG</v>
      </c>
      <c r="H5" s="59" t="str">
        <f>_xlfn.XLOOKUP(G5,ShiftCodes[Code],ShiftCodes[Work Schedule],"Unknown")</f>
        <v>Shift B – Swing (Mon–Fri 14:00–22:30)</v>
      </c>
      <c r="I5" s="60">
        <f>_xlfn.XLOOKUP(G5,ShiftCodes[Code],ShiftCodes[Start],"")</f>
        <v>0.58333333333333304</v>
      </c>
      <c r="J5" s="61">
        <f t="shared" si="0"/>
        <v>-2</v>
      </c>
      <c r="K5" s="59" t="str">
        <f t="shared" si="1"/>
        <v>OK</v>
      </c>
      <c r="L5" s="62"/>
      <c r="M5" s="5" t="str">
        <f t="shared" si="2"/>
        <v>Thu</v>
      </c>
      <c r="N5" s="63">
        <f t="shared" si="3"/>
        <v>7.9</v>
      </c>
      <c r="O5" s="5" t="s">
        <v>758</v>
      </c>
      <c r="P5" s="6">
        <v>46303</v>
      </c>
      <c r="Q5" s="5" t="str">
        <f t="shared" si="4"/>
        <v>Current period</v>
      </c>
      <c r="R5" s="5" t="str">
        <f t="array" ref="R5">_xlfn.XLOOKUP(A5,TRIM(SUBSTITUTE('worker file'!$A$2:$A$406,_xlfn.UNICHAR(160)," ")),'worker file'!$D$2:$D$406,"Not found")</f>
        <v>TX</v>
      </c>
    </row>
    <row r="6" spans="1:21" ht="16" x14ac:dyDescent="0.2">
      <c r="A6" s="5" t="s">
        <v>120</v>
      </c>
      <c r="B6" s="6">
        <v>46304</v>
      </c>
      <c r="C6" s="56">
        <v>0.58333333333333304</v>
      </c>
      <c r="D6" s="56">
        <v>0.93402777777777801</v>
      </c>
      <c r="E6" s="57">
        <v>0.73819444444444504</v>
      </c>
      <c r="F6" s="58">
        <v>0.75902777777777797</v>
      </c>
      <c r="G6" s="59" t="str">
        <f t="array" ref="G6">_xlfn.XLOOKUP(A6&amp;"|"&amp;B6,ShiftRoster[Employee ID]&amp;"|"&amp;ShiftRoster[Date],ShiftRoster[Shift Code],_xlfn.XLOOKUP(A6,TRIM(SUBSTITUTE('worker file'!$A$2:$A$406,_xlfn.UNICHAR(160)," ")),'worker file'!$X$2:$X$406,"?"),0,-1)</f>
        <v>SWNG</v>
      </c>
      <c r="H6" s="59" t="str">
        <f>_xlfn.XLOOKUP(G6,ShiftCodes[Code],ShiftCodes[Work Schedule],"Unknown")</f>
        <v>Shift B – Swing (Mon–Fri 14:00–22:30)</v>
      </c>
      <c r="I6" s="60">
        <f>_xlfn.XLOOKUP(G6,ShiftCodes[Code],ShiftCodes[Start],"")</f>
        <v>0.58333333333333304</v>
      </c>
      <c r="J6" s="61">
        <f t="shared" si="0"/>
        <v>0</v>
      </c>
      <c r="K6" s="59" t="str">
        <f t="shared" si="1"/>
        <v>OK</v>
      </c>
      <c r="L6" s="62"/>
      <c r="M6" s="5" t="str">
        <f t="shared" si="2"/>
        <v>Fri</v>
      </c>
      <c r="N6" s="63">
        <f t="shared" si="3"/>
        <v>7.92</v>
      </c>
      <c r="O6" s="5" t="s">
        <v>758</v>
      </c>
      <c r="P6" s="6">
        <v>46304</v>
      </c>
      <c r="Q6" s="5" t="str">
        <f t="shared" si="4"/>
        <v>Current period</v>
      </c>
      <c r="R6" s="5" t="str">
        <f t="array" ref="R6">_xlfn.XLOOKUP(A6,TRIM(SUBSTITUTE('worker file'!$A$2:$A$406,_xlfn.UNICHAR(160)," ")),'worker file'!$D$2:$D$406,"Not found")</f>
        <v>TX</v>
      </c>
    </row>
    <row r="7" spans="1:21" ht="16" x14ac:dyDescent="0.2">
      <c r="A7" s="5" t="s">
        <v>120</v>
      </c>
      <c r="B7" s="6">
        <v>46307</v>
      </c>
      <c r="C7" s="56">
        <v>0.58402777777777803</v>
      </c>
      <c r="D7" s="56">
        <v>0.93541666666666701</v>
      </c>
      <c r="E7" s="57">
        <v>0.76111111111111096</v>
      </c>
      <c r="F7" s="58">
        <v>0.781944444444444</v>
      </c>
      <c r="G7" s="59" t="str">
        <f t="array" ref="G7">_xlfn.XLOOKUP(A7&amp;"|"&amp;B7,ShiftRoster[Employee ID]&amp;"|"&amp;ShiftRoster[Date],ShiftRoster[Shift Code],_xlfn.XLOOKUP(A7,TRIM(SUBSTITUTE('worker file'!$A$2:$A$406,_xlfn.UNICHAR(160)," ")),'worker file'!$X$2:$X$406,"?"),0,-1)</f>
        <v>SWNG</v>
      </c>
      <c r="H7" s="59" t="str">
        <f>_xlfn.XLOOKUP(G7,ShiftCodes[Code],ShiftCodes[Work Schedule],"Unknown")</f>
        <v>Shift B – Swing (Mon–Fri 14:00–22:30)</v>
      </c>
      <c r="I7" s="60">
        <f>_xlfn.XLOOKUP(G7,ShiftCodes[Code],ShiftCodes[Start],"")</f>
        <v>0.58333333333333304</v>
      </c>
      <c r="J7" s="61">
        <f t="shared" si="0"/>
        <v>1</v>
      </c>
      <c r="K7" s="59" t="str">
        <f t="shared" si="1"/>
        <v>OK</v>
      </c>
      <c r="L7" s="62"/>
      <c r="M7" s="5" t="str">
        <f t="shared" si="2"/>
        <v>Mon</v>
      </c>
      <c r="N7" s="63">
        <f t="shared" si="3"/>
        <v>7.93</v>
      </c>
      <c r="O7" s="5" t="s">
        <v>758</v>
      </c>
      <c r="P7" s="6">
        <v>46307</v>
      </c>
      <c r="Q7" s="5" t="str">
        <f t="shared" si="4"/>
        <v>Current period</v>
      </c>
      <c r="R7" s="5" t="str">
        <f t="array" ref="R7">_xlfn.XLOOKUP(A7,TRIM(SUBSTITUTE('worker file'!$A$2:$A$406,_xlfn.UNICHAR(160)," ")),'worker file'!$D$2:$D$406,"Not found")</f>
        <v>TX</v>
      </c>
    </row>
    <row r="8" spans="1:21" ht="16" x14ac:dyDescent="0.2">
      <c r="A8" s="5" t="s">
        <v>120</v>
      </c>
      <c r="B8" s="6">
        <v>46308</v>
      </c>
      <c r="C8" s="56">
        <v>0.58194444444444504</v>
      </c>
      <c r="D8" s="56">
        <v>0.93472222222222201</v>
      </c>
      <c r="E8" s="57">
        <v>0.73888888888888904</v>
      </c>
      <c r="F8" s="58">
        <v>0.75972222222222197</v>
      </c>
      <c r="G8" s="59" t="str">
        <f t="array" ref="G8">_xlfn.XLOOKUP(A8&amp;"|"&amp;B8,ShiftRoster[Employee ID]&amp;"|"&amp;ShiftRoster[Date],ShiftRoster[Shift Code],_xlfn.XLOOKUP(A8,TRIM(SUBSTITUTE('worker file'!$A$2:$A$406,_xlfn.UNICHAR(160)," ")),'worker file'!$X$2:$X$406,"?"),0,-1)</f>
        <v>SWNG</v>
      </c>
      <c r="H8" s="59" t="str">
        <f>_xlfn.XLOOKUP(G8,ShiftCodes[Code],ShiftCodes[Work Schedule],"Unknown")</f>
        <v>Shift B – Swing (Mon–Fri 14:00–22:30)</v>
      </c>
      <c r="I8" s="60">
        <f>_xlfn.XLOOKUP(G8,ShiftCodes[Code],ShiftCodes[Start],"")</f>
        <v>0.58333333333333304</v>
      </c>
      <c r="J8" s="61">
        <f t="shared" si="0"/>
        <v>-2</v>
      </c>
      <c r="K8" s="59" t="str">
        <f t="shared" si="1"/>
        <v>OK</v>
      </c>
      <c r="L8" s="62"/>
      <c r="M8" s="5" t="str">
        <f t="shared" si="2"/>
        <v>Tue</v>
      </c>
      <c r="N8" s="63">
        <f t="shared" si="3"/>
        <v>7.97</v>
      </c>
      <c r="O8" s="5" t="s">
        <v>758</v>
      </c>
      <c r="P8" s="6">
        <v>46308</v>
      </c>
      <c r="Q8" s="5" t="str">
        <f t="shared" si="4"/>
        <v>Current period</v>
      </c>
      <c r="R8" s="5" t="str">
        <f t="array" ref="R8">_xlfn.XLOOKUP(A8,TRIM(SUBSTITUTE('worker file'!$A$2:$A$406,_xlfn.UNICHAR(160)," ")),'worker file'!$D$2:$D$406,"Not found")</f>
        <v>TX</v>
      </c>
    </row>
    <row r="9" spans="1:21" ht="16" x14ac:dyDescent="0.2">
      <c r="A9" s="5" t="s">
        <v>120</v>
      </c>
      <c r="B9" s="6">
        <v>46309</v>
      </c>
      <c r="C9" s="56">
        <v>0.58333333333333304</v>
      </c>
      <c r="D9" s="56">
        <v>0.93333333333333302</v>
      </c>
      <c r="E9" s="57">
        <v>0.75138888888888899</v>
      </c>
      <c r="F9" s="58">
        <v>0.77222222222222203</v>
      </c>
      <c r="G9" s="59" t="str">
        <f t="array" ref="G9">_xlfn.XLOOKUP(A9&amp;"|"&amp;B9,ShiftRoster[Employee ID]&amp;"|"&amp;ShiftRoster[Date],ShiftRoster[Shift Code],_xlfn.XLOOKUP(A9,TRIM(SUBSTITUTE('worker file'!$A$2:$A$406,_xlfn.UNICHAR(160)," ")),'worker file'!$X$2:$X$406,"?"),0,-1)</f>
        <v>SWNG</v>
      </c>
      <c r="H9" s="59" t="str">
        <f>_xlfn.XLOOKUP(G9,ShiftCodes[Code],ShiftCodes[Work Schedule],"Unknown")</f>
        <v>Shift B – Swing (Mon–Fri 14:00–22:30)</v>
      </c>
      <c r="I9" s="60">
        <f>_xlfn.XLOOKUP(G9,ShiftCodes[Code],ShiftCodes[Start],"")</f>
        <v>0.58333333333333304</v>
      </c>
      <c r="J9" s="61">
        <f t="shared" si="0"/>
        <v>0</v>
      </c>
      <c r="K9" s="59" t="str">
        <f t="shared" si="1"/>
        <v>OK</v>
      </c>
      <c r="L9" s="62"/>
      <c r="M9" s="5" t="str">
        <f t="shared" si="2"/>
        <v>Wed</v>
      </c>
      <c r="N9" s="63">
        <f t="shared" si="3"/>
        <v>7.9</v>
      </c>
      <c r="O9" s="5" t="s">
        <v>758</v>
      </c>
      <c r="P9" s="6">
        <v>46309</v>
      </c>
      <c r="Q9" s="5" t="str">
        <f t="shared" si="4"/>
        <v>Current period</v>
      </c>
      <c r="R9" s="5" t="str">
        <f t="array" ref="R9">_xlfn.XLOOKUP(A9,TRIM(SUBSTITUTE('worker file'!$A$2:$A$406,_xlfn.UNICHAR(160)," ")),'worker file'!$D$2:$D$406,"Not found")</f>
        <v>TX</v>
      </c>
    </row>
    <row r="10" spans="1:21" ht="16" x14ac:dyDescent="0.2">
      <c r="A10" s="5" t="s">
        <v>120</v>
      </c>
      <c r="B10" s="6">
        <v>46310</v>
      </c>
      <c r="C10" s="56">
        <v>0.58055555555555605</v>
      </c>
      <c r="D10" s="56">
        <v>0.93402777777777801</v>
      </c>
      <c r="E10" s="57">
        <v>0.74236111111111103</v>
      </c>
      <c r="F10" s="58">
        <v>0.76319444444444395</v>
      </c>
      <c r="G10" s="59" t="str">
        <f t="array" ref="G10">_xlfn.XLOOKUP(A10&amp;"|"&amp;B10,ShiftRoster[Employee ID]&amp;"|"&amp;ShiftRoster[Date],ShiftRoster[Shift Code],_xlfn.XLOOKUP(A10,TRIM(SUBSTITUTE('worker file'!$A$2:$A$406,_xlfn.UNICHAR(160)," ")),'worker file'!$X$2:$X$406,"?"),0,-1)</f>
        <v>SWNG</v>
      </c>
      <c r="H10" s="59" t="str">
        <f>_xlfn.XLOOKUP(G10,ShiftCodes[Code],ShiftCodes[Work Schedule],"Unknown")</f>
        <v>Shift B – Swing (Mon–Fri 14:00–22:30)</v>
      </c>
      <c r="I10" s="60">
        <f>_xlfn.XLOOKUP(G10,ShiftCodes[Code],ShiftCodes[Start],"")</f>
        <v>0.58333333333333304</v>
      </c>
      <c r="J10" s="61">
        <f t="shared" si="0"/>
        <v>-4</v>
      </c>
      <c r="K10" s="59" t="str">
        <f t="shared" si="1"/>
        <v>OK</v>
      </c>
      <c r="L10" s="62"/>
      <c r="M10" s="5" t="str">
        <f t="shared" si="2"/>
        <v>Thu</v>
      </c>
      <c r="N10" s="63">
        <f t="shared" si="3"/>
        <v>7.98</v>
      </c>
      <c r="O10" s="5" t="s">
        <v>758</v>
      </c>
      <c r="P10" s="6">
        <v>46310</v>
      </c>
      <c r="Q10" s="5" t="str">
        <f t="shared" si="4"/>
        <v>Current period</v>
      </c>
      <c r="R10" s="5" t="str">
        <f t="array" ref="R10">_xlfn.XLOOKUP(A10,TRIM(SUBSTITUTE('worker file'!$A$2:$A$406,_xlfn.UNICHAR(160)," ")),'worker file'!$D$2:$D$406,"Not found")</f>
        <v>TX</v>
      </c>
    </row>
    <row r="11" spans="1:21" ht="16" x14ac:dyDescent="0.2">
      <c r="A11" s="5" t="s">
        <v>120</v>
      </c>
      <c r="B11" s="6">
        <v>46311</v>
      </c>
      <c r="C11" s="56">
        <v>0.58402777777777803</v>
      </c>
      <c r="D11" s="56">
        <v>0.93472222222222201</v>
      </c>
      <c r="E11" s="57">
        <v>0.73472222222222205</v>
      </c>
      <c r="F11" s="58">
        <v>0.75555555555555598</v>
      </c>
      <c r="G11" s="59" t="str">
        <f t="array" ref="G11">_xlfn.XLOOKUP(A11&amp;"|"&amp;B11,ShiftRoster[Employee ID]&amp;"|"&amp;ShiftRoster[Date],ShiftRoster[Shift Code],_xlfn.XLOOKUP(A11,TRIM(SUBSTITUTE('worker file'!$A$2:$A$406,_xlfn.UNICHAR(160)," ")),'worker file'!$X$2:$X$406,"?"),0,-1)</f>
        <v>SWNG</v>
      </c>
      <c r="H11" s="59" t="str">
        <f>_xlfn.XLOOKUP(G11,ShiftCodes[Code],ShiftCodes[Work Schedule],"Unknown")</f>
        <v>Shift B – Swing (Mon–Fri 14:00–22:30)</v>
      </c>
      <c r="I11" s="60">
        <f>_xlfn.XLOOKUP(G11,ShiftCodes[Code],ShiftCodes[Start],"")</f>
        <v>0.58333333333333304</v>
      </c>
      <c r="J11" s="61">
        <f t="shared" si="0"/>
        <v>1</v>
      </c>
      <c r="K11" s="59" t="str">
        <f t="shared" si="1"/>
        <v>OK</v>
      </c>
      <c r="L11" s="62"/>
      <c r="M11" s="5" t="str">
        <f t="shared" si="2"/>
        <v>Fri</v>
      </c>
      <c r="N11" s="63">
        <f t="shared" si="3"/>
        <v>7.92</v>
      </c>
      <c r="O11" s="5" t="s">
        <v>758</v>
      </c>
      <c r="P11" s="6">
        <v>46311</v>
      </c>
      <c r="Q11" s="5" t="str">
        <f t="shared" si="4"/>
        <v>Current period</v>
      </c>
      <c r="R11" s="5" t="str">
        <f t="array" ref="R11">_xlfn.XLOOKUP(A11,TRIM(SUBSTITUTE('worker file'!$A$2:$A$406,_xlfn.UNICHAR(160)," ")),'worker file'!$D$2:$D$406,"Not found")</f>
        <v>TX</v>
      </c>
    </row>
    <row r="12" spans="1:21" ht="16" x14ac:dyDescent="0.2">
      <c r="A12" s="5" t="s">
        <v>120</v>
      </c>
      <c r="B12" s="6">
        <v>46312</v>
      </c>
      <c r="C12" s="56">
        <v>0.58125000000000004</v>
      </c>
      <c r="D12" s="56">
        <v>0.93055555555555602</v>
      </c>
      <c r="E12" s="57">
        <v>0.76458333333333295</v>
      </c>
      <c r="F12" s="58">
        <v>0.78541666666666698</v>
      </c>
      <c r="G12" s="59" t="str">
        <f t="array" ref="G12">_xlfn.XLOOKUP(A12&amp;"|"&amp;B12,ShiftRoster[Employee ID]&amp;"|"&amp;ShiftRoster[Date],ShiftRoster[Shift Code],_xlfn.XLOOKUP(A12,TRIM(SUBSTITUTE('worker file'!$A$2:$A$406,_xlfn.UNICHAR(160)," ")),'worker file'!$X$2:$X$406,"?"),0,-1)</f>
        <v>SWNG</v>
      </c>
      <c r="H12" s="59" t="str">
        <f>_xlfn.XLOOKUP(G12,ShiftCodes[Code],ShiftCodes[Work Schedule],"Unknown")</f>
        <v>Shift B – Swing (Mon–Fri 14:00–22:30)</v>
      </c>
      <c r="I12" s="60">
        <f>_xlfn.XLOOKUP(G12,ShiftCodes[Code],ShiftCodes[Start],"")</f>
        <v>0.58333333333333304</v>
      </c>
      <c r="J12" s="61">
        <f t="shared" si="0"/>
        <v>-3</v>
      </c>
      <c r="K12" s="59" t="str">
        <f t="shared" si="1"/>
        <v>OK</v>
      </c>
      <c r="L12" s="62" t="s">
        <v>760</v>
      </c>
      <c r="M12" s="5" t="str">
        <f t="shared" si="2"/>
        <v>Sat</v>
      </c>
      <c r="N12" s="63">
        <f t="shared" si="3"/>
        <v>7.88</v>
      </c>
      <c r="O12" s="5" t="s">
        <v>758</v>
      </c>
      <c r="P12" s="6">
        <v>46312</v>
      </c>
      <c r="Q12" s="5" t="str">
        <f t="shared" si="4"/>
        <v>Current period</v>
      </c>
      <c r="R12" s="5" t="str">
        <f t="array" ref="R12">_xlfn.XLOOKUP(A12,TRIM(SUBSTITUTE('worker file'!$A$2:$A$406,_xlfn.UNICHAR(160)," ")),'worker file'!$D$2:$D$406,"Not found")</f>
        <v>TX</v>
      </c>
    </row>
    <row r="13" spans="1:21" ht="16" x14ac:dyDescent="0.2">
      <c r="A13" s="5" t="s">
        <v>129</v>
      </c>
      <c r="B13" s="6">
        <v>46299</v>
      </c>
      <c r="C13" s="56">
        <v>0.24652777777777801</v>
      </c>
      <c r="D13" s="56">
        <v>0.59652777777777799</v>
      </c>
      <c r="E13" s="57">
        <v>0.40277777777777801</v>
      </c>
      <c r="F13" s="58">
        <v>0.42361111111111099</v>
      </c>
      <c r="G13" s="59" t="str">
        <f t="array" ref="G13">_xlfn.XLOOKUP(A13&amp;"|"&amp;B13,ShiftRoster[Employee ID]&amp;"|"&amp;ShiftRoster[Date],ShiftRoster[Shift Code],_xlfn.XLOOKUP(A13,TRIM(SUBSTITUTE('worker file'!$A$2:$A$406,_xlfn.UNICHAR(160)," ")),'worker file'!$X$2:$X$406,"?"),0,-1)</f>
        <v>DAY</v>
      </c>
      <c r="H13" s="59" t="str">
        <f>_xlfn.XLOOKUP(G13,ShiftCodes[Code],ShiftCodes[Work Schedule],"Unknown")</f>
        <v>Shift A – Day (Mon–Fri 06:00–14:30)</v>
      </c>
      <c r="I13" s="60">
        <f>_xlfn.XLOOKUP(G13,ShiftCodes[Code],ShiftCodes[Start],"")</f>
        <v>0.25</v>
      </c>
      <c r="J13" s="61">
        <f t="shared" si="0"/>
        <v>-5</v>
      </c>
      <c r="K13" s="59" t="str">
        <f t="shared" si="1"/>
        <v>OK</v>
      </c>
      <c r="L13" s="62" t="s">
        <v>761</v>
      </c>
      <c r="M13" s="5" t="str">
        <f t="shared" si="2"/>
        <v>Sun</v>
      </c>
      <c r="N13" s="63">
        <f t="shared" si="3"/>
        <v>7.9</v>
      </c>
      <c r="O13" s="5" t="s">
        <v>758</v>
      </c>
      <c r="P13" s="6">
        <v>46299</v>
      </c>
      <c r="Q13" s="5" t="str">
        <f t="shared" si="4"/>
        <v>Current period</v>
      </c>
      <c r="R13" s="5" t="str">
        <f t="array" ref="R13">_xlfn.XLOOKUP(A13,TRIM(SUBSTITUTE('worker file'!$A$2:$A$406,_xlfn.UNICHAR(160)," ")),'worker file'!$D$2:$D$406,"Not found")</f>
        <v>CA</v>
      </c>
    </row>
    <row r="14" spans="1:21" ht="16" x14ac:dyDescent="0.2">
      <c r="A14" s="5" t="s">
        <v>129</v>
      </c>
      <c r="B14" s="6">
        <v>46300</v>
      </c>
      <c r="C14" s="56">
        <v>0.24791666666666701</v>
      </c>
      <c r="D14" s="56">
        <v>0.60208333333333297</v>
      </c>
      <c r="E14" s="57">
        <v>0.43263888888888902</v>
      </c>
      <c r="F14" s="58">
        <v>0.453472222222222</v>
      </c>
      <c r="G14" s="59" t="str">
        <f t="array" ref="G14">_xlfn.XLOOKUP(A14&amp;"|"&amp;B14,ShiftRoster[Employee ID]&amp;"|"&amp;ShiftRoster[Date],ShiftRoster[Shift Code],_xlfn.XLOOKUP(A14,TRIM(SUBSTITUTE('worker file'!$A$2:$A$406,_xlfn.UNICHAR(160)," ")),'worker file'!$X$2:$X$406,"?"),0,-1)</f>
        <v>DAY</v>
      </c>
      <c r="H14" s="59" t="str">
        <f>_xlfn.XLOOKUP(G14,ShiftCodes[Code],ShiftCodes[Work Schedule],"Unknown")</f>
        <v>Shift A – Day (Mon–Fri 06:00–14:30)</v>
      </c>
      <c r="I14" s="60">
        <f>_xlfn.XLOOKUP(G14,ShiftCodes[Code],ShiftCodes[Start],"")</f>
        <v>0.25</v>
      </c>
      <c r="J14" s="61">
        <f t="shared" si="0"/>
        <v>-3</v>
      </c>
      <c r="K14" s="59" t="str">
        <f t="shared" si="1"/>
        <v>OK</v>
      </c>
      <c r="L14" s="62"/>
      <c r="M14" s="5" t="str">
        <f t="shared" si="2"/>
        <v>Mon</v>
      </c>
      <c r="N14" s="63">
        <f t="shared" si="3"/>
        <v>8</v>
      </c>
      <c r="O14" s="5" t="s">
        <v>758</v>
      </c>
      <c r="P14" s="6">
        <v>46300</v>
      </c>
      <c r="Q14" s="5" t="str">
        <f t="shared" si="4"/>
        <v>Current period</v>
      </c>
      <c r="R14" s="5" t="str">
        <f t="array" ref="R14">_xlfn.XLOOKUP(A14,TRIM(SUBSTITUTE('worker file'!$A$2:$A$406,_xlfn.UNICHAR(160)," ")),'worker file'!$D$2:$D$406,"Not found")</f>
        <v>CA</v>
      </c>
    </row>
    <row r="15" spans="1:21" ht="16" x14ac:dyDescent="0.2">
      <c r="A15" s="5" t="s">
        <v>129</v>
      </c>
      <c r="B15" s="6">
        <v>46301</v>
      </c>
      <c r="C15" s="56">
        <v>0.25277777777777799</v>
      </c>
      <c r="D15" s="56">
        <v>0.60555555555555596</v>
      </c>
      <c r="E15" s="57">
        <v>0.41875000000000001</v>
      </c>
      <c r="F15" s="58">
        <v>0.43958333333333299</v>
      </c>
      <c r="G15" s="59" t="str">
        <f t="array" ref="G15">_xlfn.XLOOKUP(A15&amp;"|"&amp;B15,ShiftRoster[Employee ID]&amp;"|"&amp;ShiftRoster[Date],ShiftRoster[Shift Code],_xlfn.XLOOKUP(A15,TRIM(SUBSTITUTE('worker file'!$A$2:$A$406,_xlfn.UNICHAR(160)," ")),'worker file'!$X$2:$X$406,"?"),0,-1)</f>
        <v>DAY</v>
      </c>
      <c r="H15" s="59" t="str">
        <f>_xlfn.XLOOKUP(G15,ShiftCodes[Code],ShiftCodes[Work Schedule],"Unknown")</f>
        <v>Shift A – Day (Mon–Fri 06:00–14:30)</v>
      </c>
      <c r="I15" s="60">
        <f>_xlfn.XLOOKUP(G15,ShiftCodes[Code],ShiftCodes[Start],"")</f>
        <v>0.25</v>
      </c>
      <c r="J15" s="61">
        <f t="shared" si="0"/>
        <v>4</v>
      </c>
      <c r="K15" s="59" t="str">
        <f t="shared" si="1"/>
        <v>OK</v>
      </c>
      <c r="L15" s="62"/>
      <c r="M15" s="5" t="str">
        <f t="shared" si="2"/>
        <v>Tue</v>
      </c>
      <c r="N15" s="63">
        <f t="shared" si="3"/>
        <v>7.97</v>
      </c>
      <c r="O15" s="5" t="s">
        <v>758</v>
      </c>
      <c r="P15" s="6">
        <v>46301</v>
      </c>
      <c r="Q15" s="5" t="str">
        <f t="shared" si="4"/>
        <v>Current period</v>
      </c>
      <c r="R15" s="5" t="str">
        <f t="array" ref="R15">_xlfn.XLOOKUP(A15,TRIM(SUBSTITUTE('worker file'!$A$2:$A$406,_xlfn.UNICHAR(160)," ")),'worker file'!$D$2:$D$406,"Not found")</f>
        <v>CA</v>
      </c>
    </row>
    <row r="16" spans="1:21" ht="16" x14ac:dyDescent="0.2">
      <c r="A16" s="5" t="s">
        <v>129</v>
      </c>
      <c r="B16" s="6">
        <v>46302</v>
      </c>
      <c r="C16" s="56">
        <v>0.24722222222222201</v>
      </c>
      <c r="D16" s="56">
        <v>0.59861111111111098</v>
      </c>
      <c r="E16" s="57">
        <v>0.43125000000000002</v>
      </c>
      <c r="F16" s="58">
        <v>0.452083333333333</v>
      </c>
      <c r="G16" s="59" t="str">
        <f t="array" ref="G16">_xlfn.XLOOKUP(A16&amp;"|"&amp;B16,ShiftRoster[Employee ID]&amp;"|"&amp;ShiftRoster[Date],ShiftRoster[Shift Code],_xlfn.XLOOKUP(A16,TRIM(SUBSTITUTE('worker file'!$A$2:$A$406,_xlfn.UNICHAR(160)," ")),'worker file'!$X$2:$X$406,"?"),0,-1)</f>
        <v>DAY</v>
      </c>
      <c r="H16" s="59" t="str">
        <f>_xlfn.XLOOKUP(G16,ShiftCodes[Code],ShiftCodes[Work Schedule],"Unknown")</f>
        <v>Shift A – Day (Mon–Fri 06:00–14:30)</v>
      </c>
      <c r="I16" s="60">
        <f>_xlfn.XLOOKUP(G16,ShiftCodes[Code],ShiftCodes[Start],"")</f>
        <v>0.25</v>
      </c>
      <c r="J16" s="61">
        <f t="shared" si="0"/>
        <v>-4</v>
      </c>
      <c r="K16" s="59" t="str">
        <f t="shared" si="1"/>
        <v>OK</v>
      </c>
      <c r="L16" s="62"/>
      <c r="M16" s="5" t="str">
        <f t="shared" si="2"/>
        <v>Wed</v>
      </c>
      <c r="N16" s="63">
        <f t="shared" si="3"/>
        <v>7.93</v>
      </c>
      <c r="O16" s="5" t="s">
        <v>758</v>
      </c>
      <c r="P16" s="6">
        <v>46302</v>
      </c>
      <c r="Q16" s="5" t="str">
        <f t="shared" si="4"/>
        <v>Current period</v>
      </c>
      <c r="R16" s="5" t="str">
        <f t="array" ref="R16">_xlfn.XLOOKUP(A16,TRIM(SUBSTITUTE('worker file'!$A$2:$A$406,_xlfn.UNICHAR(160)," ")),'worker file'!$D$2:$D$406,"Not found")</f>
        <v>CA</v>
      </c>
    </row>
    <row r="17" spans="1:18" ht="16" x14ac:dyDescent="0.2">
      <c r="A17" s="5" t="s">
        <v>129</v>
      </c>
      <c r="B17" s="6">
        <v>46303</v>
      </c>
      <c r="C17" s="56">
        <v>0.25138888888888899</v>
      </c>
      <c r="D17" s="56">
        <v>0.60416666666666696</v>
      </c>
      <c r="E17" s="57">
        <v>0.40902777777777799</v>
      </c>
      <c r="F17" s="58">
        <v>0.42986111111111103</v>
      </c>
      <c r="G17" s="59" t="str">
        <f t="array" ref="G17">_xlfn.XLOOKUP(A17&amp;"|"&amp;B17,ShiftRoster[Employee ID]&amp;"|"&amp;ShiftRoster[Date],ShiftRoster[Shift Code],_xlfn.XLOOKUP(A17,TRIM(SUBSTITUTE('worker file'!$A$2:$A$406,_xlfn.UNICHAR(160)," ")),'worker file'!$X$2:$X$406,"?"),0,-1)</f>
        <v>DAY</v>
      </c>
      <c r="H17" s="59" t="str">
        <f>_xlfn.XLOOKUP(G17,ShiftCodes[Code],ShiftCodes[Work Schedule],"Unknown")</f>
        <v>Shift A – Day (Mon–Fri 06:00–14:30)</v>
      </c>
      <c r="I17" s="60">
        <f>_xlfn.XLOOKUP(G17,ShiftCodes[Code],ShiftCodes[Start],"")</f>
        <v>0.25</v>
      </c>
      <c r="J17" s="61">
        <f t="shared" si="0"/>
        <v>2</v>
      </c>
      <c r="K17" s="59" t="str">
        <f t="shared" si="1"/>
        <v>OK</v>
      </c>
      <c r="L17" s="62"/>
      <c r="M17" s="5" t="str">
        <f t="shared" si="2"/>
        <v>Thu</v>
      </c>
      <c r="N17" s="63">
        <f t="shared" si="3"/>
        <v>7.97</v>
      </c>
      <c r="O17" s="5" t="s">
        <v>758</v>
      </c>
      <c r="P17" s="6">
        <v>46303</v>
      </c>
      <c r="Q17" s="5" t="str">
        <f t="shared" si="4"/>
        <v>Current period</v>
      </c>
      <c r="R17" s="5" t="str">
        <f t="array" ref="R17">_xlfn.XLOOKUP(A17,TRIM(SUBSTITUTE('worker file'!$A$2:$A$406,_xlfn.UNICHAR(160)," ")),'worker file'!$D$2:$D$406,"Not found")</f>
        <v>CA</v>
      </c>
    </row>
    <row r="18" spans="1:18" ht="16" x14ac:dyDescent="0.2">
      <c r="A18" s="5" t="s">
        <v>129</v>
      </c>
      <c r="B18" s="6">
        <v>46304</v>
      </c>
      <c r="C18" s="56">
        <v>0.25138888888888899</v>
      </c>
      <c r="D18" s="56">
        <v>0.60486111111111096</v>
      </c>
      <c r="E18" s="57">
        <v>0.42986111111111103</v>
      </c>
      <c r="F18" s="58">
        <v>0.45069444444444401</v>
      </c>
      <c r="G18" s="59" t="str">
        <f t="array" ref="G18">_xlfn.XLOOKUP(A18&amp;"|"&amp;B18,ShiftRoster[Employee ID]&amp;"|"&amp;ShiftRoster[Date],ShiftRoster[Shift Code],_xlfn.XLOOKUP(A18,TRIM(SUBSTITUTE('worker file'!$A$2:$A$406,_xlfn.UNICHAR(160)," ")),'worker file'!$X$2:$X$406,"?"),0,-1)</f>
        <v>DAY</v>
      </c>
      <c r="H18" s="59" t="str">
        <f>_xlfn.XLOOKUP(G18,ShiftCodes[Code],ShiftCodes[Work Schedule],"Unknown")</f>
        <v>Shift A – Day (Mon–Fri 06:00–14:30)</v>
      </c>
      <c r="I18" s="60">
        <f>_xlfn.XLOOKUP(G18,ShiftCodes[Code],ShiftCodes[Start],"")</f>
        <v>0.25</v>
      </c>
      <c r="J18" s="61">
        <f t="shared" si="0"/>
        <v>2</v>
      </c>
      <c r="K18" s="59" t="str">
        <f t="shared" si="1"/>
        <v>OK</v>
      </c>
      <c r="L18" s="62"/>
      <c r="M18" s="5" t="str">
        <f t="shared" si="2"/>
        <v>Fri</v>
      </c>
      <c r="N18" s="63">
        <f t="shared" si="3"/>
        <v>7.98</v>
      </c>
      <c r="O18" s="5" t="s">
        <v>758</v>
      </c>
      <c r="P18" s="6">
        <v>46304</v>
      </c>
      <c r="Q18" s="5" t="str">
        <f t="shared" si="4"/>
        <v>Current period</v>
      </c>
      <c r="R18" s="5" t="str">
        <f t="array" ref="R18">_xlfn.XLOOKUP(A18,TRIM(SUBSTITUTE('worker file'!$A$2:$A$406,_xlfn.UNICHAR(160)," ")),'worker file'!$D$2:$D$406,"Not found")</f>
        <v>CA</v>
      </c>
    </row>
    <row r="19" spans="1:18" ht="16" x14ac:dyDescent="0.2">
      <c r="A19" s="5" t="s">
        <v>129</v>
      </c>
      <c r="B19" s="6">
        <v>46305</v>
      </c>
      <c r="C19" s="56">
        <v>0.250694444444444</v>
      </c>
      <c r="D19" s="56">
        <v>0.60069444444444398</v>
      </c>
      <c r="E19" s="57">
        <v>0.41180555555555598</v>
      </c>
      <c r="F19" s="58">
        <v>0.43263888888888902</v>
      </c>
      <c r="G19" s="59" t="str">
        <f t="array" ref="G19">_xlfn.XLOOKUP(A19&amp;"|"&amp;B19,ShiftRoster[Employee ID]&amp;"|"&amp;ShiftRoster[Date],ShiftRoster[Shift Code],_xlfn.XLOOKUP(A19,TRIM(SUBSTITUTE('worker file'!$A$2:$A$406,_xlfn.UNICHAR(160)," ")),'worker file'!$X$2:$X$406,"?"),0,-1)</f>
        <v>DAY</v>
      </c>
      <c r="H19" s="59" t="str">
        <f>_xlfn.XLOOKUP(G19,ShiftCodes[Code],ShiftCodes[Work Schedule],"Unknown")</f>
        <v>Shift A – Day (Mon–Fri 06:00–14:30)</v>
      </c>
      <c r="I19" s="60">
        <f>_xlfn.XLOOKUP(G19,ShiftCodes[Code],ShiftCodes[Start],"")</f>
        <v>0.25</v>
      </c>
      <c r="J19" s="61">
        <f t="shared" si="0"/>
        <v>1</v>
      </c>
      <c r="K19" s="59" t="str">
        <f t="shared" si="1"/>
        <v>OK</v>
      </c>
      <c r="L19" s="62" t="s">
        <v>762</v>
      </c>
      <c r="M19" s="5" t="str">
        <f t="shared" si="2"/>
        <v>Sat</v>
      </c>
      <c r="N19" s="63">
        <f t="shared" si="3"/>
        <v>7.9</v>
      </c>
      <c r="O19" s="5" t="s">
        <v>758</v>
      </c>
      <c r="P19" s="6">
        <v>46305</v>
      </c>
      <c r="Q19" s="5" t="str">
        <f t="shared" si="4"/>
        <v>Current period</v>
      </c>
      <c r="R19" s="5" t="str">
        <f t="array" ref="R19">_xlfn.XLOOKUP(A19,TRIM(SUBSTITUTE('worker file'!$A$2:$A$406,_xlfn.UNICHAR(160)," ")),'worker file'!$D$2:$D$406,"Not found")</f>
        <v>CA</v>
      </c>
    </row>
    <row r="20" spans="1:18" ht="16" x14ac:dyDescent="0.2">
      <c r="A20" s="5" t="s">
        <v>129</v>
      </c>
      <c r="B20" s="6">
        <v>46307</v>
      </c>
      <c r="C20" s="56">
        <v>0.25277777777777799</v>
      </c>
      <c r="D20" s="56">
        <v>0.60208333333333297</v>
      </c>
      <c r="E20" s="57">
        <v>0.42430555555555599</v>
      </c>
      <c r="F20" s="58">
        <v>0.44513888888888897</v>
      </c>
      <c r="G20" s="59" t="str">
        <f t="array" ref="G20">_xlfn.XLOOKUP(A20&amp;"|"&amp;B20,ShiftRoster[Employee ID]&amp;"|"&amp;ShiftRoster[Date],ShiftRoster[Shift Code],_xlfn.XLOOKUP(A20,TRIM(SUBSTITUTE('worker file'!$A$2:$A$406,_xlfn.UNICHAR(160)," ")),'worker file'!$X$2:$X$406,"?"),0,-1)</f>
        <v>DAY</v>
      </c>
      <c r="H20" s="59" t="str">
        <f>_xlfn.XLOOKUP(G20,ShiftCodes[Code],ShiftCodes[Work Schedule],"Unknown")</f>
        <v>Shift A – Day (Mon–Fri 06:00–14:30)</v>
      </c>
      <c r="I20" s="60">
        <f>_xlfn.XLOOKUP(G20,ShiftCodes[Code],ShiftCodes[Start],"")</f>
        <v>0.25</v>
      </c>
      <c r="J20" s="61">
        <f t="shared" si="0"/>
        <v>4</v>
      </c>
      <c r="K20" s="59" t="str">
        <f t="shared" si="1"/>
        <v>OK</v>
      </c>
      <c r="L20" s="62"/>
      <c r="M20" s="5" t="str">
        <f t="shared" si="2"/>
        <v>Mon</v>
      </c>
      <c r="N20" s="63">
        <f t="shared" si="3"/>
        <v>7.88</v>
      </c>
      <c r="O20" s="5" t="s">
        <v>758</v>
      </c>
      <c r="P20" s="6">
        <v>46307</v>
      </c>
      <c r="Q20" s="5" t="str">
        <f t="shared" si="4"/>
        <v>Current period</v>
      </c>
      <c r="R20" s="5" t="str">
        <f t="array" ref="R20">_xlfn.XLOOKUP(A20,TRIM(SUBSTITUTE('worker file'!$A$2:$A$406,_xlfn.UNICHAR(160)," ")),'worker file'!$D$2:$D$406,"Not found")</f>
        <v>CA</v>
      </c>
    </row>
    <row r="21" spans="1:18" ht="16" x14ac:dyDescent="0.2">
      <c r="A21" s="5" t="s">
        <v>129</v>
      </c>
      <c r="B21" s="6">
        <v>46308</v>
      </c>
      <c r="C21" s="56">
        <v>0.24791666666666701</v>
      </c>
      <c r="D21" s="56">
        <v>0.59791666666666698</v>
      </c>
      <c r="E21" s="57">
        <v>0.42986111111111103</v>
      </c>
      <c r="F21" s="58">
        <v>0.45069444444444401</v>
      </c>
      <c r="G21" s="59" t="str">
        <f t="array" ref="G21">_xlfn.XLOOKUP(A21&amp;"|"&amp;B21,ShiftRoster[Employee ID]&amp;"|"&amp;ShiftRoster[Date],ShiftRoster[Shift Code],_xlfn.XLOOKUP(A21,TRIM(SUBSTITUTE('worker file'!$A$2:$A$406,_xlfn.UNICHAR(160)," ")),'worker file'!$X$2:$X$406,"?"),0,-1)</f>
        <v>DAY</v>
      </c>
      <c r="H21" s="59" t="str">
        <f>_xlfn.XLOOKUP(G21,ShiftCodes[Code],ShiftCodes[Work Schedule],"Unknown")</f>
        <v>Shift A – Day (Mon–Fri 06:00–14:30)</v>
      </c>
      <c r="I21" s="60">
        <f>_xlfn.XLOOKUP(G21,ShiftCodes[Code],ShiftCodes[Start],"")</f>
        <v>0.25</v>
      </c>
      <c r="J21" s="61">
        <f t="shared" si="0"/>
        <v>-3</v>
      </c>
      <c r="K21" s="59" t="str">
        <f t="shared" si="1"/>
        <v>OK</v>
      </c>
      <c r="L21" s="62"/>
      <c r="M21" s="5" t="str">
        <f t="shared" si="2"/>
        <v>Tue</v>
      </c>
      <c r="N21" s="63">
        <f t="shared" si="3"/>
        <v>7.9</v>
      </c>
      <c r="O21" s="5" t="s">
        <v>758</v>
      </c>
      <c r="P21" s="6">
        <v>46308</v>
      </c>
      <c r="Q21" s="5" t="str">
        <f t="shared" si="4"/>
        <v>Current period</v>
      </c>
      <c r="R21" s="5" t="str">
        <f t="array" ref="R21">_xlfn.XLOOKUP(A21,TRIM(SUBSTITUTE('worker file'!$A$2:$A$406,_xlfn.UNICHAR(160)," ")),'worker file'!$D$2:$D$406,"Not found")</f>
        <v>CA</v>
      </c>
    </row>
    <row r="22" spans="1:18" ht="16" x14ac:dyDescent="0.2">
      <c r="A22" s="5" t="s">
        <v>129</v>
      </c>
      <c r="B22" s="6">
        <v>46309</v>
      </c>
      <c r="C22" s="56">
        <v>0.24861111111111101</v>
      </c>
      <c r="D22" s="56">
        <v>0.59722222222222199</v>
      </c>
      <c r="E22" s="57">
        <v>0.43611111111111101</v>
      </c>
      <c r="F22" s="58">
        <v>0.45694444444444399</v>
      </c>
      <c r="G22" s="59" t="str">
        <f t="array" ref="G22">_xlfn.XLOOKUP(A22&amp;"|"&amp;B22,ShiftRoster[Employee ID]&amp;"|"&amp;ShiftRoster[Date],ShiftRoster[Shift Code],_xlfn.XLOOKUP(A22,TRIM(SUBSTITUTE('worker file'!$A$2:$A$406,_xlfn.UNICHAR(160)," ")),'worker file'!$X$2:$X$406,"?"),0,-1)</f>
        <v>DAY</v>
      </c>
      <c r="H22" s="59" t="str">
        <f>_xlfn.XLOOKUP(G22,ShiftCodes[Code],ShiftCodes[Work Schedule],"Unknown")</f>
        <v>Shift A – Day (Mon–Fri 06:00–14:30)</v>
      </c>
      <c r="I22" s="60">
        <f>_xlfn.XLOOKUP(G22,ShiftCodes[Code],ShiftCodes[Start],"")</f>
        <v>0.25</v>
      </c>
      <c r="J22" s="61">
        <f t="shared" si="0"/>
        <v>-2</v>
      </c>
      <c r="K22" s="59" t="str">
        <f t="shared" si="1"/>
        <v>OK</v>
      </c>
      <c r="L22" s="62"/>
      <c r="M22" s="5" t="str">
        <f t="shared" si="2"/>
        <v>Wed</v>
      </c>
      <c r="N22" s="63">
        <f t="shared" si="3"/>
        <v>7.87</v>
      </c>
      <c r="O22" s="5" t="s">
        <v>758</v>
      </c>
      <c r="P22" s="6">
        <v>46309</v>
      </c>
      <c r="Q22" s="5" t="str">
        <f t="shared" si="4"/>
        <v>Current period</v>
      </c>
      <c r="R22" s="5" t="str">
        <f t="array" ref="R22">_xlfn.XLOOKUP(A22,TRIM(SUBSTITUTE('worker file'!$A$2:$A$406,_xlfn.UNICHAR(160)," ")),'worker file'!$D$2:$D$406,"Not found")</f>
        <v>CA</v>
      </c>
    </row>
    <row r="23" spans="1:18" ht="16" x14ac:dyDescent="0.2">
      <c r="A23" s="5" t="s">
        <v>129</v>
      </c>
      <c r="B23" s="6">
        <v>46310</v>
      </c>
      <c r="C23" s="56">
        <v>0.250694444444444</v>
      </c>
      <c r="D23" s="56">
        <v>0.60138888888888897</v>
      </c>
      <c r="E23" s="57">
        <v>0.40208333333333302</v>
      </c>
      <c r="F23" s="58">
        <v>0.422916666666667</v>
      </c>
      <c r="G23" s="59" t="str">
        <f t="array" ref="G23">_xlfn.XLOOKUP(A23&amp;"|"&amp;B23,ShiftRoster[Employee ID]&amp;"|"&amp;ShiftRoster[Date],ShiftRoster[Shift Code],_xlfn.XLOOKUP(A23,TRIM(SUBSTITUTE('worker file'!$A$2:$A$406,_xlfn.UNICHAR(160)," ")),'worker file'!$X$2:$X$406,"?"),0,-1)</f>
        <v>DAY</v>
      </c>
      <c r="H23" s="59" t="str">
        <f>_xlfn.XLOOKUP(G23,ShiftCodes[Code],ShiftCodes[Work Schedule],"Unknown")</f>
        <v>Shift A – Day (Mon–Fri 06:00–14:30)</v>
      </c>
      <c r="I23" s="60">
        <f>_xlfn.XLOOKUP(G23,ShiftCodes[Code],ShiftCodes[Start],"")</f>
        <v>0.25</v>
      </c>
      <c r="J23" s="61">
        <f t="shared" si="0"/>
        <v>1</v>
      </c>
      <c r="K23" s="59" t="str">
        <f t="shared" si="1"/>
        <v>OK</v>
      </c>
      <c r="L23" s="62"/>
      <c r="M23" s="5" t="str">
        <f t="shared" si="2"/>
        <v>Thu</v>
      </c>
      <c r="N23" s="63">
        <f t="shared" si="3"/>
        <v>7.92</v>
      </c>
      <c r="O23" s="5" t="s">
        <v>758</v>
      </c>
      <c r="P23" s="6">
        <v>46310</v>
      </c>
      <c r="Q23" s="5" t="str">
        <f t="shared" si="4"/>
        <v>Current period</v>
      </c>
      <c r="R23" s="5" t="str">
        <f t="array" ref="R23">_xlfn.XLOOKUP(A23,TRIM(SUBSTITUTE('worker file'!$A$2:$A$406,_xlfn.UNICHAR(160)," ")),'worker file'!$D$2:$D$406,"Not found")</f>
        <v>CA</v>
      </c>
    </row>
    <row r="24" spans="1:18" ht="16" x14ac:dyDescent="0.2">
      <c r="A24" s="5" t="s">
        <v>129</v>
      </c>
      <c r="B24" s="6">
        <v>46311</v>
      </c>
      <c r="C24" s="56">
        <v>0.24652777777777801</v>
      </c>
      <c r="D24" s="56">
        <v>0.6</v>
      </c>
      <c r="E24" s="57">
        <v>0.41180555555555598</v>
      </c>
      <c r="F24" s="58">
        <v>0.43263888888888902</v>
      </c>
      <c r="G24" s="59" t="str">
        <f t="array" ref="G24">_xlfn.XLOOKUP(A24&amp;"|"&amp;B24,ShiftRoster[Employee ID]&amp;"|"&amp;ShiftRoster[Date],ShiftRoster[Shift Code],_xlfn.XLOOKUP(A24,TRIM(SUBSTITUTE('worker file'!$A$2:$A$406,_xlfn.UNICHAR(160)," ")),'worker file'!$X$2:$X$406,"?"),0,-1)</f>
        <v>DAY</v>
      </c>
      <c r="H24" s="59" t="str">
        <f>_xlfn.XLOOKUP(G24,ShiftCodes[Code],ShiftCodes[Work Schedule],"Unknown")</f>
        <v>Shift A – Day (Mon–Fri 06:00–14:30)</v>
      </c>
      <c r="I24" s="60">
        <f>_xlfn.XLOOKUP(G24,ShiftCodes[Code],ShiftCodes[Start],"")</f>
        <v>0.25</v>
      </c>
      <c r="J24" s="61">
        <f t="shared" si="0"/>
        <v>-5</v>
      </c>
      <c r="K24" s="59" t="str">
        <f t="shared" si="1"/>
        <v>OK</v>
      </c>
      <c r="L24" s="62"/>
      <c r="M24" s="5" t="str">
        <f t="shared" si="2"/>
        <v>Fri</v>
      </c>
      <c r="N24" s="63">
        <f t="shared" si="3"/>
        <v>7.98</v>
      </c>
      <c r="O24" s="5" t="s">
        <v>758</v>
      </c>
      <c r="P24" s="6">
        <v>46311</v>
      </c>
      <c r="Q24" s="5" t="str">
        <f t="shared" si="4"/>
        <v>Current period</v>
      </c>
      <c r="R24" s="5" t="str">
        <f t="array" ref="R24">_xlfn.XLOOKUP(A24,TRIM(SUBSTITUTE('worker file'!$A$2:$A$406,_xlfn.UNICHAR(160)," ")),'worker file'!$D$2:$D$406,"Not found")</f>
        <v>CA</v>
      </c>
    </row>
    <row r="25" spans="1:18" ht="16" x14ac:dyDescent="0.2">
      <c r="A25" s="5" t="s">
        <v>645</v>
      </c>
      <c r="B25" s="6">
        <v>46300</v>
      </c>
      <c r="C25" s="56">
        <v>0.25138888888888899</v>
      </c>
      <c r="D25" s="56">
        <v>0.60138888888888897</v>
      </c>
      <c r="E25" s="57">
        <v>0.43472222222222201</v>
      </c>
      <c r="F25" s="58">
        <v>0.45555555555555599</v>
      </c>
      <c r="G25" s="59" t="str">
        <f t="array" ref="G25">_xlfn.XLOOKUP(A25&amp;"|"&amp;B25,ShiftRoster[Employee ID]&amp;"|"&amp;ShiftRoster[Date],ShiftRoster[Shift Code],_xlfn.XLOOKUP(A25,TRIM(SUBSTITUTE('worker file'!$A$2:$A$406,_xlfn.UNICHAR(160)," ")),'worker file'!$X$2:$X$406,"?"),0,-1)</f>
        <v>DAY</v>
      </c>
      <c r="H25" s="59" t="str">
        <f>_xlfn.XLOOKUP(G25,ShiftCodes[Code],ShiftCodes[Work Schedule],"Unknown")</f>
        <v>Shift A – Day (Mon–Fri 06:00–14:30)</v>
      </c>
      <c r="I25" s="60">
        <f>_xlfn.XLOOKUP(G25,ShiftCodes[Code],ShiftCodes[Start],"")</f>
        <v>0.25</v>
      </c>
      <c r="J25" s="61">
        <f t="shared" si="0"/>
        <v>2</v>
      </c>
      <c r="K25" s="59" t="str">
        <f t="shared" si="1"/>
        <v>OK</v>
      </c>
      <c r="L25" s="62"/>
      <c r="M25" s="5" t="str">
        <f t="shared" si="2"/>
        <v>Mon</v>
      </c>
      <c r="N25" s="63">
        <f t="shared" si="3"/>
        <v>7.9</v>
      </c>
      <c r="O25" s="5" t="s">
        <v>758</v>
      </c>
      <c r="P25" s="6">
        <v>46300</v>
      </c>
      <c r="Q25" s="5" t="str">
        <f t="shared" si="4"/>
        <v>Current period</v>
      </c>
      <c r="R25" s="5" t="str">
        <f t="array" ref="R25">_xlfn.XLOOKUP(A25,TRIM(SUBSTITUTE('worker file'!$A$2:$A$406,_xlfn.UNICHAR(160)," ")),'worker file'!$D$2:$D$406,"Not found")</f>
        <v>CA</v>
      </c>
    </row>
    <row r="26" spans="1:18" ht="16" x14ac:dyDescent="0.2">
      <c r="A26" s="5" t="s">
        <v>645</v>
      </c>
      <c r="B26" s="6">
        <v>46301</v>
      </c>
      <c r="C26" s="56">
        <v>0.25</v>
      </c>
      <c r="D26" s="56">
        <v>0.80208333333333304</v>
      </c>
      <c r="E26" s="57">
        <v>0.47916666666666702</v>
      </c>
      <c r="F26" s="58">
        <v>0.5</v>
      </c>
      <c r="G26" s="59" t="str">
        <f t="array" ref="G26">_xlfn.XLOOKUP(A26&amp;"|"&amp;B26,ShiftRoster[Employee ID]&amp;"|"&amp;ShiftRoster[Date],ShiftRoster[Shift Code],_xlfn.XLOOKUP(A26,TRIM(SUBSTITUTE('worker file'!$A$2:$A$406,_xlfn.UNICHAR(160)," ")),'worker file'!$X$2:$X$406,"?"),0,-1)</f>
        <v>DAY</v>
      </c>
      <c r="H26" s="59" t="str">
        <f>_xlfn.XLOOKUP(G26,ShiftCodes[Code],ShiftCodes[Work Schedule],"Unknown")</f>
        <v>Shift A – Day (Mon–Fri 06:00–14:30)</v>
      </c>
      <c r="I26" s="60">
        <f>_xlfn.XLOOKUP(G26,ShiftCodes[Code],ShiftCodes[Start],"")</f>
        <v>0.25</v>
      </c>
      <c r="J26" s="61">
        <f t="shared" si="0"/>
        <v>0</v>
      </c>
      <c r="K26" s="59" t="str">
        <f t="shared" si="1"/>
        <v>OK</v>
      </c>
      <c r="L26" s="62" t="s">
        <v>763</v>
      </c>
      <c r="M26" s="5" t="str">
        <f t="shared" si="2"/>
        <v>Tue</v>
      </c>
      <c r="N26" s="63">
        <f t="shared" si="3"/>
        <v>12.75</v>
      </c>
      <c r="O26" s="5" t="s">
        <v>758</v>
      </c>
      <c r="P26" s="6">
        <v>46301</v>
      </c>
      <c r="Q26" s="5" t="str">
        <f t="shared" si="4"/>
        <v>Current period</v>
      </c>
      <c r="R26" s="5" t="str">
        <f t="array" ref="R26">_xlfn.XLOOKUP(A26,TRIM(SUBSTITUTE('worker file'!$A$2:$A$406,_xlfn.UNICHAR(160)," ")),'worker file'!$D$2:$D$406,"Not found")</f>
        <v>CA</v>
      </c>
    </row>
    <row r="27" spans="1:18" ht="16" x14ac:dyDescent="0.2">
      <c r="A27" s="5" t="s">
        <v>645</v>
      </c>
      <c r="B27" s="6">
        <v>46302</v>
      </c>
      <c r="C27" s="56">
        <v>0.24583333333333299</v>
      </c>
      <c r="D27" s="56">
        <v>0.57291666666666696</v>
      </c>
      <c r="E27" s="57" t="s">
        <v>764</v>
      </c>
      <c r="F27" s="58" t="s">
        <v>764</v>
      </c>
      <c r="G27" s="59" t="str">
        <f t="array" ref="G27">_xlfn.XLOOKUP(A27&amp;"|"&amp;B27,ShiftRoster[Employee ID]&amp;"|"&amp;ShiftRoster[Date],ShiftRoster[Shift Code],_xlfn.XLOOKUP(A27,TRIM(SUBSTITUTE('worker file'!$A$2:$A$406,_xlfn.UNICHAR(160)," ")),'worker file'!$X$2:$X$406,"?"),0,-1)</f>
        <v>DAY</v>
      </c>
      <c r="H27" s="59" t="str">
        <f>_xlfn.XLOOKUP(G27,ShiftCodes[Code],ShiftCodes[Work Schedule],"Unknown")</f>
        <v>Shift A – Day (Mon–Fri 06:00–14:30)</v>
      </c>
      <c r="I27" s="60">
        <f>_xlfn.XLOOKUP(G27,ShiftCodes[Code],ShiftCodes[Start],"")</f>
        <v>0.25</v>
      </c>
      <c r="J27" s="61">
        <f t="shared" si="0"/>
        <v>-6</v>
      </c>
      <c r="K27" s="59" t="str">
        <f t="shared" si="1"/>
        <v>OK</v>
      </c>
      <c r="L27" s="62" t="s">
        <v>765</v>
      </c>
      <c r="M27" s="5" t="str">
        <f t="shared" si="2"/>
        <v>Wed</v>
      </c>
      <c r="N27" s="63">
        <f t="shared" si="3"/>
        <v>7.85</v>
      </c>
      <c r="O27" s="5" t="s">
        <v>758</v>
      </c>
      <c r="P27" s="6">
        <v>46302</v>
      </c>
      <c r="Q27" s="5" t="str">
        <f t="shared" si="4"/>
        <v>Current period</v>
      </c>
      <c r="R27" s="5" t="str">
        <f t="array" ref="R27">_xlfn.XLOOKUP(A27,TRIM(SUBSTITUTE('worker file'!$A$2:$A$406,_xlfn.UNICHAR(160)," ")),'worker file'!$D$2:$D$406,"Not found")</f>
        <v>CA</v>
      </c>
    </row>
    <row r="28" spans="1:18" ht="16" x14ac:dyDescent="0.2">
      <c r="A28" s="5" t="s">
        <v>645</v>
      </c>
      <c r="B28" s="6">
        <v>46303</v>
      </c>
      <c r="C28" s="56">
        <v>0.250694444444444</v>
      </c>
      <c r="D28" s="56">
        <v>0.59930555555555598</v>
      </c>
      <c r="E28" s="57">
        <v>0.40416666666666701</v>
      </c>
      <c r="F28" s="58">
        <v>0.42499999999999999</v>
      </c>
      <c r="G28" s="59" t="str">
        <f t="array" ref="G28">_xlfn.XLOOKUP(A28&amp;"|"&amp;B28,ShiftRoster[Employee ID]&amp;"|"&amp;ShiftRoster[Date],ShiftRoster[Shift Code],_xlfn.XLOOKUP(A28,TRIM(SUBSTITUTE('worker file'!$A$2:$A$406,_xlfn.UNICHAR(160)," ")),'worker file'!$X$2:$X$406,"?"),0,-1)</f>
        <v>DAY</v>
      </c>
      <c r="H28" s="59" t="str">
        <f>_xlfn.XLOOKUP(G28,ShiftCodes[Code],ShiftCodes[Work Schedule],"Unknown")</f>
        <v>Shift A – Day (Mon–Fri 06:00–14:30)</v>
      </c>
      <c r="I28" s="60">
        <f>_xlfn.XLOOKUP(G28,ShiftCodes[Code],ShiftCodes[Start],"")</f>
        <v>0.25</v>
      </c>
      <c r="J28" s="61">
        <f t="shared" si="0"/>
        <v>1</v>
      </c>
      <c r="K28" s="59" t="str">
        <f t="shared" si="1"/>
        <v>OK</v>
      </c>
      <c r="L28" s="62"/>
      <c r="M28" s="5" t="str">
        <f t="shared" si="2"/>
        <v>Thu</v>
      </c>
      <c r="N28" s="63">
        <f t="shared" si="3"/>
        <v>7.87</v>
      </c>
      <c r="O28" s="5" t="s">
        <v>758</v>
      </c>
      <c r="P28" s="6">
        <v>46303</v>
      </c>
      <c r="Q28" s="5" t="str">
        <f t="shared" si="4"/>
        <v>Current period</v>
      </c>
      <c r="R28" s="5" t="str">
        <f t="array" ref="R28">_xlfn.XLOOKUP(A28,TRIM(SUBSTITUTE('worker file'!$A$2:$A$406,_xlfn.UNICHAR(160)," ")),'worker file'!$D$2:$D$406,"Not found")</f>
        <v>CA</v>
      </c>
    </row>
    <row r="29" spans="1:18" ht="16" x14ac:dyDescent="0.2">
      <c r="A29" s="5" t="s">
        <v>645</v>
      </c>
      <c r="B29" s="6">
        <v>46304</v>
      </c>
      <c r="C29" s="56">
        <v>0.249305555555556</v>
      </c>
      <c r="D29" s="56">
        <v>0.6</v>
      </c>
      <c r="E29" s="57">
        <v>0.40486111111111101</v>
      </c>
      <c r="F29" s="58">
        <v>0.42569444444444399</v>
      </c>
      <c r="G29" s="59" t="str">
        <f t="array" ref="G29">_xlfn.XLOOKUP(A29&amp;"|"&amp;B29,ShiftRoster[Employee ID]&amp;"|"&amp;ShiftRoster[Date],ShiftRoster[Shift Code],_xlfn.XLOOKUP(A29,TRIM(SUBSTITUTE('worker file'!$A$2:$A$406,_xlfn.UNICHAR(160)," ")),'worker file'!$X$2:$X$406,"?"),0,-1)</f>
        <v>DAY</v>
      </c>
      <c r="H29" s="59" t="str">
        <f>_xlfn.XLOOKUP(G29,ShiftCodes[Code],ShiftCodes[Work Schedule],"Unknown")</f>
        <v>Shift A – Day (Mon–Fri 06:00–14:30)</v>
      </c>
      <c r="I29" s="60">
        <f>_xlfn.XLOOKUP(G29,ShiftCodes[Code],ShiftCodes[Start],"")</f>
        <v>0.25</v>
      </c>
      <c r="J29" s="61">
        <f t="shared" si="0"/>
        <v>-1</v>
      </c>
      <c r="K29" s="59" t="str">
        <f t="shared" si="1"/>
        <v>OK</v>
      </c>
      <c r="L29" s="62"/>
      <c r="M29" s="5" t="str">
        <f t="shared" si="2"/>
        <v>Fri</v>
      </c>
      <c r="N29" s="63">
        <f t="shared" si="3"/>
        <v>7.92</v>
      </c>
      <c r="O29" s="5" t="s">
        <v>758</v>
      </c>
      <c r="P29" s="6">
        <v>46304</v>
      </c>
      <c r="Q29" s="5" t="str">
        <f t="shared" si="4"/>
        <v>Current period</v>
      </c>
      <c r="R29" s="5" t="str">
        <f t="array" ref="R29">_xlfn.XLOOKUP(A29,TRIM(SUBSTITUTE('worker file'!$A$2:$A$406,_xlfn.UNICHAR(160)," ")),'worker file'!$D$2:$D$406,"Not found")</f>
        <v>CA</v>
      </c>
    </row>
    <row r="30" spans="1:18" ht="16" x14ac:dyDescent="0.2">
      <c r="A30" s="5" t="s">
        <v>645</v>
      </c>
      <c r="B30" s="6">
        <v>46307</v>
      </c>
      <c r="C30" s="56">
        <v>0.24791666666666701</v>
      </c>
      <c r="D30" s="56">
        <v>0.59861111111111098</v>
      </c>
      <c r="E30" s="57">
        <v>0.41597222222222202</v>
      </c>
      <c r="F30" s="58">
        <v>0.436805555555556</v>
      </c>
      <c r="G30" s="59" t="str">
        <f t="array" ref="G30">_xlfn.XLOOKUP(A30&amp;"|"&amp;B30,ShiftRoster[Employee ID]&amp;"|"&amp;ShiftRoster[Date],ShiftRoster[Shift Code],_xlfn.XLOOKUP(A30,TRIM(SUBSTITUTE('worker file'!$A$2:$A$406,_xlfn.UNICHAR(160)," ")),'worker file'!$X$2:$X$406,"?"),0,-1)</f>
        <v>DAY</v>
      </c>
      <c r="H30" s="59" t="str">
        <f>_xlfn.XLOOKUP(G30,ShiftCodes[Code],ShiftCodes[Work Schedule],"Unknown")</f>
        <v>Shift A – Day (Mon–Fri 06:00–14:30)</v>
      </c>
      <c r="I30" s="60">
        <f>_xlfn.XLOOKUP(G30,ShiftCodes[Code],ShiftCodes[Start],"")</f>
        <v>0.25</v>
      </c>
      <c r="J30" s="61">
        <f t="shared" si="0"/>
        <v>-3</v>
      </c>
      <c r="K30" s="59" t="str">
        <f t="shared" si="1"/>
        <v>OK</v>
      </c>
      <c r="L30" s="62"/>
      <c r="M30" s="5" t="str">
        <f t="shared" si="2"/>
        <v>Mon</v>
      </c>
      <c r="N30" s="63">
        <f t="shared" si="3"/>
        <v>7.92</v>
      </c>
      <c r="O30" s="5" t="s">
        <v>758</v>
      </c>
      <c r="P30" s="6">
        <v>46307</v>
      </c>
      <c r="Q30" s="5" t="str">
        <f t="shared" si="4"/>
        <v>Current period</v>
      </c>
      <c r="R30" s="5" t="str">
        <f t="array" ref="R30">_xlfn.XLOOKUP(A30,TRIM(SUBSTITUTE('worker file'!$A$2:$A$406,_xlfn.UNICHAR(160)," ")),'worker file'!$D$2:$D$406,"Not found")</f>
        <v>CA</v>
      </c>
    </row>
    <row r="31" spans="1:18" ht="16" x14ac:dyDescent="0.2">
      <c r="A31" s="5" t="s">
        <v>645</v>
      </c>
      <c r="B31" s="6">
        <v>46308</v>
      </c>
      <c r="C31" s="56">
        <v>0.24583333333333299</v>
      </c>
      <c r="D31" s="56">
        <v>0.59861111111111098</v>
      </c>
      <c r="E31" s="57">
        <v>0.41666666666666702</v>
      </c>
      <c r="F31" s="58">
        <v>0.4375</v>
      </c>
      <c r="G31" s="59" t="str">
        <f t="array" ref="G31">_xlfn.XLOOKUP(A31&amp;"|"&amp;B31,ShiftRoster[Employee ID]&amp;"|"&amp;ShiftRoster[Date],ShiftRoster[Shift Code],_xlfn.XLOOKUP(A31,TRIM(SUBSTITUTE('worker file'!$A$2:$A$406,_xlfn.UNICHAR(160)," ")),'worker file'!$X$2:$X$406,"?"),0,-1)</f>
        <v>DAY</v>
      </c>
      <c r="H31" s="59" t="str">
        <f>_xlfn.XLOOKUP(G31,ShiftCodes[Code],ShiftCodes[Work Schedule],"Unknown")</f>
        <v>Shift A – Day (Mon–Fri 06:00–14:30)</v>
      </c>
      <c r="I31" s="60">
        <f>_xlfn.XLOOKUP(G31,ShiftCodes[Code],ShiftCodes[Start],"")</f>
        <v>0.25</v>
      </c>
      <c r="J31" s="61">
        <f t="shared" si="0"/>
        <v>-6</v>
      </c>
      <c r="K31" s="59" t="str">
        <f t="shared" si="1"/>
        <v>OK</v>
      </c>
      <c r="L31" s="62"/>
      <c r="M31" s="5" t="str">
        <f t="shared" si="2"/>
        <v>Tue</v>
      </c>
      <c r="N31" s="63">
        <f t="shared" si="3"/>
        <v>7.97</v>
      </c>
      <c r="O31" s="5" t="s">
        <v>758</v>
      </c>
      <c r="P31" s="6">
        <v>46308</v>
      </c>
      <c r="Q31" s="5" t="str">
        <f t="shared" si="4"/>
        <v>Current period</v>
      </c>
      <c r="R31" s="5" t="str">
        <f t="array" ref="R31">_xlfn.XLOOKUP(A31,TRIM(SUBSTITUTE('worker file'!$A$2:$A$406,_xlfn.UNICHAR(160)," ")),'worker file'!$D$2:$D$406,"Not found")</f>
        <v>CA</v>
      </c>
    </row>
    <row r="32" spans="1:18" ht="16" x14ac:dyDescent="0.2">
      <c r="A32" s="5" t="s">
        <v>645</v>
      </c>
      <c r="B32" s="6">
        <v>46309</v>
      </c>
      <c r="C32" s="56">
        <v>0.25208333333333299</v>
      </c>
      <c r="D32" s="56">
        <v>0.60486111111111096</v>
      </c>
      <c r="E32" s="57">
        <v>0.42708333333333298</v>
      </c>
      <c r="F32" s="58">
        <v>0.44791666666666702</v>
      </c>
      <c r="G32" s="59" t="str">
        <f t="array" ref="G32">_xlfn.XLOOKUP(A32&amp;"|"&amp;B32,ShiftRoster[Employee ID]&amp;"|"&amp;ShiftRoster[Date],ShiftRoster[Shift Code],_xlfn.XLOOKUP(A32,TRIM(SUBSTITUTE('worker file'!$A$2:$A$406,_xlfn.UNICHAR(160)," ")),'worker file'!$X$2:$X$406,"?"),0,-1)</f>
        <v>DAY</v>
      </c>
      <c r="H32" s="59" t="str">
        <f>_xlfn.XLOOKUP(G32,ShiftCodes[Code],ShiftCodes[Work Schedule],"Unknown")</f>
        <v>Shift A – Day (Mon–Fri 06:00–14:30)</v>
      </c>
      <c r="I32" s="60">
        <f>_xlfn.XLOOKUP(G32,ShiftCodes[Code],ShiftCodes[Start],"")</f>
        <v>0.25</v>
      </c>
      <c r="J32" s="61">
        <f t="shared" si="0"/>
        <v>3</v>
      </c>
      <c r="K32" s="59" t="str">
        <f t="shared" si="1"/>
        <v>OK</v>
      </c>
      <c r="L32" s="62"/>
      <c r="M32" s="5" t="str">
        <f t="shared" si="2"/>
        <v>Wed</v>
      </c>
      <c r="N32" s="63">
        <f t="shared" si="3"/>
        <v>7.97</v>
      </c>
      <c r="O32" s="5" t="s">
        <v>758</v>
      </c>
      <c r="P32" s="6">
        <v>46309</v>
      </c>
      <c r="Q32" s="5" t="str">
        <f t="shared" si="4"/>
        <v>Current period</v>
      </c>
      <c r="R32" s="5" t="str">
        <f t="array" ref="R32">_xlfn.XLOOKUP(A32,TRIM(SUBSTITUTE('worker file'!$A$2:$A$406,_xlfn.UNICHAR(160)," ")),'worker file'!$D$2:$D$406,"Not found")</f>
        <v>CA</v>
      </c>
    </row>
    <row r="33" spans="1:18" ht="16" x14ac:dyDescent="0.2">
      <c r="A33" s="5" t="s">
        <v>645</v>
      </c>
      <c r="B33" s="6">
        <v>46310</v>
      </c>
      <c r="C33" s="56">
        <v>0.24791666666666701</v>
      </c>
      <c r="D33" s="56">
        <v>0.60138888888888897</v>
      </c>
      <c r="E33" s="57">
        <v>0.39791666666666697</v>
      </c>
      <c r="F33" s="58">
        <v>0.41875000000000001</v>
      </c>
      <c r="G33" s="59" t="str">
        <f t="array" ref="G33">_xlfn.XLOOKUP(A33&amp;"|"&amp;B33,ShiftRoster[Employee ID]&amp;"|"&amp;ShiftRoster[Date],ShiftRoster[Shift Code],_xlfn.XLOOKUP(A33,TRIM(SUBSTITUTE('worker file'!$A$2:$A$406,_xlfn.UNICHAR(160)," ")),'worker file'!$X$2:$X$406,"?"),0,-1)</f>
        <v>DAY</v>
      </c>
      <c r="H33" s="59" t="str">
        <f>_xlfn.XLOOKUP(G33,ShiftCodes[Code],ShiftCodes[Work Schedule],"Unknown")</f>
        <v>Shift A – Day (Mon–Fri 06:00–14:30)</v>
      </c>
      <c r="I33" s="60">
        <f>_xlfn.XLOOKUP(G33,ShiftCodes[Code],ShiftCodes[Start],"")</f>
        <v>0.25</v>
      </c>
      <c r="J33" s="61">
        <f t="shared" si="0"/>
        <v>-3</v>
      </c>
      <c r="K33" s="59" t="str">
        <f t="shared" si="1"/>
        <v>OK</v>
      </c>
      <c r="L33" s="62"/>
      <c r="M33" s="5" t="str">
        <f t="shared" si="2"/>
        <v>Thu</v>
      </c>
      <c r="N33" s="63">
        <f t="shared" si="3"/>
        <v>7.98</v>
      </c>
      <c r="O33" s="5" t="s">
        <v>758</v>
      </c>
      <c r="P33" s="6">
        <v>46310</v>
      </c>
      <c r="Q33" s="5" t="str">
        <f t="shared" si="4"/>
        <v>Current period</v>
      </c>
      <c r="R33" s="5" t="str">
        <f t="array" ref="R33">_xlfn.XLOOKUP(A33,TRIM(SUBSTITUTE('worker file'!$A$2:$A$406,_xlfn.UNICHAR(160)," ")),'worker file'!$D$2:$D$406,"Not found")</f>
        <v>CA</v>
      </c>
    </row>
    <row r="34" spans="1:18" ht="16" x14ac:dyDescent="0.2">
      <c r="A34" s="5" t="s">
        <v>645</v>
      </c>
      <c r="B34" s="6">
        <v>46311</v>
      </c>
      <c r="C34" s="56">
        <v>0.24583333333333299</v>
      </c>
      <c r="D34" s="56">
        <v>0.59861111111111098</v>
      </c>
      <c r="E34" s="57">
        <v>0.39305555555555599</v>
      </c>
      <c r="F34" s="58">
        <v>0.41388888888888897</v>
      </c>
      <c r="G34" s="59" t="str">
        <f t="array" ref="G34">_xlfn.XLOOKUP(A34&amp;"|"&amp;B34,ShiftRoster[Employee ID]&amp;"|"&amp;ShiftRoster[Date],ShiftRoster[Shift Code],_xlfn.XLOOKUP(A34,TRIM(SUBSTITUTE('worker file'!$A$2:$A$406,_xlfn.UNICHAR(160)," ")),'worker file'!$X$2:$X$406,"?"),0,-1)</f>
        <v>DAY</v>
      </c>
      <c r="H34" s="59" t="str">
        <f>_xlfn.XLOOKUP(G34,ShiftCodes[Code],ShiftCodes[Work Schedule],"Unknown")</f>
        <v>Shift A – Day (Mon–Fri 06:00–14:30)</v>
      </c>
      <c r="I34" s="60">
        <f>_xlfn.XLOOKUP(G34,ShiftCodes[Code],ShiftCodes[Start],"")</f>
        <v>0.25</v>
      </c>
      <c r="J34" s="61">
        <f t="shared" si="0"/>
        <v>-6</v>
      </c>
      <c r="K34" s="59" t="str">
        <f t="shared" si="1"/>
        <v>OK</v>
      </c>
      <c r="L34" s="62"/>
      <c r="M34" s="5" t="str">
        <f t="shared" si="2"/>
        <v>Fri</v>
      </c>
      <c r="N34" s="63">
        <f t="shared" si="3"/>
        <v>7.97</v>
      </c>
      <c r="O34" s="5" t="s">
        <v>758</v>
      </c>
      <c r="P34" s="6">
        <v>46311</v>
      </c>
      <c r="Q34" s="5" t="str">
        <f t="shared" si="4"/>
        <v>Current period</v>
      </c>
      <c r="R34" s="5" t="str">
        <f t="array" ref="R34">_xlfn.XLOOKUP(A34,TRIM(SUBSTITUTE('worker file'!$A$2:$A$406,_xlfn.UNICHAR(160)," ")),'worker file'!$D$2:$D$406,"Not found")</f>
        <v>CA</v>
      </c>
    </row>
    <row r="35" spans="1:18" ht="16" x14ac:dyDescent="0.2">
      <c r="A35" s="5" t="s">
        <v>579</v>
      </c>
      <c r="B35" s="6">
        <v>46300</v>
      </c>
      <c r="C35" s="56">
        <v>0.58125000000000004</v>
      </c>
      <c r="D35" s="56">
        <v>0.92986111111111103</v>
      </c>
      <c r="E35" s="57">
        <v>0.74097222222222203</v>
      </c>
      <c r="F35" s="58">
        <v>0.76180555555555596</v>
      </c>
      <c r="G35" s="59" t="str">
        <f t="array" ref="G35">_xlfn.XLOOKUP(A35&amp;"|"&amp;B35,ShiftRoster[Employee ID]&amp;"|"&amp;ShiftRoster[Date],ShiftRoster[Shift Code],_xlfn.XLOOKUP(A35,TRIM(SUBSTITUTE('worker file'!$A$2:$A$406,_xlfn.UNICHAR(160)," ")),'worker file'!$X$2:$X$406,"?"),0,-1)</f>
        <v>SWNG</v>
      </c>
      <c r="H35" s="59" t="str">
        <f>_xlfn.XLOOKUP(G35,ShiftCodes[Code],ShiftCodes[Work Schedule],"Unknown")</f>
        <v>Shift B – Swing (Mon–Fri 14:00–22:30)</v>
      </c>
      <c r="I35" s="60">
        <f>_xlfn.XLOOKUP(G35,ShiftCodes[Code],ShiftCodes[Start],"")</f>
        <v>0.58333333333333304</v>
      </c>
      <c r="J35" s="61">
        <f t="shared" si="0"/>
        <v>-3</v>
      </c>
      <c r="K35" s="59" t="str">
        <f t="shared" si="1"/>
        <v>OK</v>
      </c>
      <c r="L35" s="62"/>
      <c r="M35" s="5" t="str">
        <f t="shared" si="2"/>
        <v>Mon</v>
      </c>
      <c r="N35" s="63">
        <f t="shared" si="3"/>
        <v>7.87</v>
      </c>
      <c r="O35" s="5" t="s">
        <v>758</v>
      </c>
      <c r="P35" s="6">
        <v>46300</v>
      </c>
      <c r="Q35" s="5" t="str">
        <f t="shared" si="4"/>
        <v>Current period</v>
      </c>
      <c r="R35" s="5" t="str">
        <f t="array" ref="R35">_xlfn.XLOOKUP(A35,TRIM(SUBSTITUTE('worker file'!$A$2:$A$406,_xlfn.UNICHAR(160)," ")),'worker file'!$D$2:$D$406,"Not found")</f>
        <v>TX</v>
      </c>
    </row>
    <row r="36" spans="1:18" ht="16" x14ac:dyDescent="0.2">
      <c r="A36" s="5" t="s">
        <v>579</v>
      </c>
      <c r="B36" s="6">
        <v>46301</v>
      </c>
      <c r="C36" s="56">
        <v>0.57986111111111105</v>
      </c>
      <c r="D36" s="56">
        <v>0.93125000000000002</v>
      </c>
      <c r="E36" s="57">
        <v>0.75555555555555598</v>
      </c>
      <c r="F36" s="58">
        <v>0.77638888888888902</v>
      </c>
      <c r="G36" s="59" t="str">
        <f t="array" ref="G36">_xlfn.XLOOKUP(A36&amp;"|"&amp;B36,ShiftRoster[Employee ID]&amp;"|"&amp;ShiftRoster[Date],ShiftRoster[Shift Code],_xlfn.XLOOKUP(A36,TRIM(SUBSTITUTE('worker file'!$A$2:$A$406,_xlfn.UNICHAR(160)," ")),'worker file'!$X$2:$X$406,"?"),0,-1)</f>
        <v>SWNG</v>
      </c>
      <c r="H36" s="59" t="str">
        <f>_xlfn.XLOOKUP(G36,ShiftCodes[Code],ShiftCodes[Work Schedule],"Unknown")</f>
        <v>Shift B – Swing (Mon–Fri 14:00–22:30)</v>
      </c>
      <c r="I36" s="60">
        <f>_xlfn.XLOOKUP(G36,ShiftCodes[Code],ShiftCodes[Start],"")</f>
        <v>0.58333333333333304</v>
      </c>
      <c r="J36" s="61">
        <f t="shared" si="0"/>
        <v>-5</v>
      </c>
      <c r="K36" s="59" t="str">
        <f t="shared" si="1"/>
        <v>OK</v>
      </c>
      <c r="L36" s="62"/>
      <c r="M36" s="5" t="str">
        <f t="shared" si="2"/>
        <v>Tue</v>
      </c>
      <c r="N36" s="63">
        <f t="shared" si="3"/>
        <v>7.93</v>
      </c>
      <c r="O36" s="5" t="s">
        <v>758</v>
      </c>
      <c r="P36" s="6">
        <v>46301</v>
      </c>
      <c r="Q36" s="5" t="str">
        <f t="shared" si="4"/>
        <v>Current period</v>
      </c>
      <c r="R36" s="5" t="str">
        <f t="array" ref="R36">_xlfn.XLOOKUP(A36,TRIM(SUBSTITUTE('worker file'!$A$2:$A$406,_xlfn.UNICHAR(160)," ")),'worker file'!$D$2:$D$406,"Not found")</f>
        <v>TX</v>
      </c>
    </row>
    <row r="37" spans="1:18" ht="16" x14ac:dyDescent="0.2">
      <c r="A37" s="5" t="s">
        <v>579</v>
      </c>
      <c r="B37" s="6">
        <v>46302</v>
      </c>
      <c r="C37" s="56">
        <v>0.57986111111111105</v>
      </c>
      <c r="D37" s="56">
        <v>0.93125000000000002</v>
      </c>
      <c r="E37" s="57">
        <v>0.75138888888888899</v>
      </c>
      <c r="F37" s="58">
        <v>0.77222222222222203</v>
      </c>
      <c r="G37" s="59" t="str">
        <f t="array" ref="G37">_xlfn.XLOOKUP(A37&amp;"|"&amp;B37,ShiftRoster[Employee ID]&amp;"|"&amp;ShiftRoster[Date],ShiftRoster[Shift Code],_xlfn.XLOOKUP(A37,TRIM(SUBSTITUTE('worker file'!$A$2:$A$406,_xlfn.UNICHAR(160)," ")),'worker file'!$X$2:$X$406,"?"),0,-1)</f>
        <v>SWNG</v>
      </c>
      <c r="H37" s="59" t="str">
        <f>_xlfn.XLOOKUP(G37,ShiftCodes[Code],ShiftCodes[Work Schedule],"Unknown")</f>
        <v>Shift B – Swing (Mon–Fri 14:00–22:30)</v>
      </c>
      <c r="I37" s="60">
        <f>_xlfn.XLOOKUP(G37,ShiftCodes[Code],ShiftCodes[Start],"")</f>
        <v>0.58333333333333304</v>
      </c>
      <c r="J37" s="61">
        <f t="shared" si="0"/>
        <v>-5</v>
      </c>
      <c r="K37" s="59" t="str">
        <f t="shared" si="1"/>
        <v>OK</v>
      </c>
      <c r="L37" s="62"/>
      <c r="M37" s="5" t="str">
        <f t="shared" si="2"/>
        <v>Wed</v>
      </c>
      <c r="N37" s="63">
        <f t="shared" si="3"/>
        <v>7.93</v>
      </c>
      <c r="O37" s="5" t="s">
        <v>758</v>
      </c>
      <c r="P37" s="6">
        <v>46302</v>
      </c>
      <c r="Q37" s="5" t="str">
        <f t="shared" si="4"/>
        <v>Current period</v>
      </c>
      <c r="R37" s="5" t="str">
        <f t="array" ref="R37">_xlfn.XLOOKUP(A37,TRIM(SUBSTITUTE('worker file'!$A$2:$A$406,_xlfn.UNICHAR(160)," ")),'worker file'!$D$2:$D$406,"Not found")</f>
        <v>TX</v>
      </c>
    </row>
    <row r="38" spans="1:18" ht="16" x14ac:dyDescent="0.2">
      <c r="A38" s="5" t="s">
        <v>579</v>
      </c>
      <c r="B38" s="6">
        <v>46303</v>
      </c>
      <c r="C38" s="56">
        <v>0.58541666666666703</v>
      </c>
      <c r="D38" s="56">
        <v>0.93958333333333299</v>
      </c>
      <c r="E38" s="57">
        <v>0.73472222222222205</v>
      </c>
      <c r="F38" s="58">
        <v>0.75555555555555598</v>
      </c>
      <c r="G38" s="59" t="str">
        <f t="array" ref="G38">_xlfn.XLOOKUP(A38&amp;"|"&amp;B38,ShiftRoster[Employee ID]&amp;"|"&amp;ShiftRoster[Date],ShiftRoster[Shift Code],_xlfn.XLOOKUP(A38,TRIM(SUBSTITUTE('worker file'!$A$2:$A$406,_xlfn.UNICHAR(160)," ")),'worker file'!$X$2:$X$406,"?"),0,-1)</f>
        <v>SWNG</v>
      </c>
      <c r="H38" s="59" t="str">
        <f>_xlfn.XLOOKUP(G38,ShiftCodes[Code],ShiftCodes[Work Schedule],"Unknown")</f>
        <v>Shift B – Swing (Mon–Fri 14:00–22:30)</v>
      </c>
      <c r="I38" s="60">
        <f>_xlfn.XLOOKUP(G38,ShiftCodes[Code],ShiftCodes[Start],"")</f>
        <v>0.58333333333333304</v>
      </c>
      <c r="J38" s="61">
        <f t="shared" si="0"/>
        <v>3</v>
      </c>
      <c r="K38" s="59" t="str">
        <f t="shared" si="1"/>
        <v>OK</v>
      </c>
      <c r="L38" s="62"/>
      <c r="M38" s="5" t="str">
        <f t="shared" si="2"/>
        <v>Thu</v>
      </c>
      <c r="N38" s="63">
        <f t="shared" si="3"/>
        <v>8</v>
      </c>
      <c r="O38" s="5" t="s">
        <v>758</v>
      </c>
      <c r="P38" s="6">
        <v>46303</v>
      </c>
      <c r="Q38" s="5" t="str">
        <f t="shared" si="4"/>
        <v>Current period</v>
      </c>
      <c r="R38" s="5" t="str">
        <f t="array" ref="R38">_xlfn.XLOOKUP(A38,TRIM(SUBSTITUTE('worker file'!$A$2:$A$406,_xlfn.UNICHAR(160)," ")),'worker file'!$D$2:$D$406,"Not found")</f>
        <v>TX</v>
      </c>
    </row>
    <row r="39" spans="1:18" ht="16" x14ac:dyDescent="0.2">
      <c r="A39" s="5" t="s">
        <v>579</v>
      </c>
      <c r="B39" s="6">
        <v>46304</v>
      </c>
      <c r="C39" s="56">
        <v>0.58263888888888904</v>
      </c>
      <c r="D39" s="56">
        <v>0.93402777777777801</v>
      </c>
      <c r="E39" s="57">
        <v>0.74375000000000002</v>
      </c>
      <c r="F39" s="58">
        <v>0.76458333333333295</v>
      </c>
      <c r="G39" s="59" t="str">
        <f t="array" ref="G39">_xlfn.XLOOKUP(A39&amp;"|"&amp;B39,ShiftRoster[Employee ID]&amp;"|"&amp;ShiftRoster[Date],ShiftRoster[Shift Code],_xlfn.XLOOKUP(A39,TRIM(SUBSTITUTE('worker file'!$A$2:$A$406,_xlfn.UNICHAR(160)," ")),'worker file'!$X$2:$X$406,"?"),0,-1)</f>
        <v>SWNG</v>
      </c>
      <c r="H39" s="59" t="str">
        <f>_xlfn.XLOOKUP(G39,ShiftCodes[Code],ShiftCodes[Work Schedule],"Unknown")</f>
        <v>Shift B – Swing (Mon–Fri 14:00–22:30)</v>
      </c>
      <c r="I39" s="60">
        <f>_xlfn.XLOOKUP(G39,ShiftCodes[Code],ShiftCodes[Start],"")</f>
        <v>0.58333333333333304</v>
      </c>
      <c r="J39" s="61">
        <f t="shared" si="0"/>
        <v>-1</v>
      </c>
      <c r="K39" s="59" t="str">
        <f t="shared" si="1"/>
        <v>OK</v>
      </c>
      <c r="L39" s="62"/>
      <c r="M39" s="5" t="str">
        <f t="shared" si="2"/>
        <v>Fri</v>
      </c>
      <c r="N39" s="63">
        <f t="shared" si="3"/>
        <v>7.93</v>
      </c>
      <c r="O39" s="5" t="s">
        <v>758</v>
      </c>
      <c r="P39" s="6">
        <v>46304</v>
      </c>
      <c r="Q39" s="5" t="str">
        <f t="shared" si="4"/>
        <v>Current period</v>
      </c>
      <c r="R39" s="5" t="str">
        <f t="array" ref="R39">_xlfn.XLOOKUP(A39,TRIM(SUBSTITUTE('worker file'!$A$2:$A$406,_xlfn.UNICHAR(160)," ")),'worker file'!$D$2:$D$406,"Not found")</f>
        <v>TX</v>
      </c>
    </row>
    <row r="40" spans="1:18" ht="16" x14ac:dyDescent="0.2">
      <c r="A40" s="5" t="s">
        <v>579</v>
      </c>
      <c r="B40" s="6">
        <v>46307</v>
      </c>
      <c r="C40" s="56">
        <v>0.58611111111111103</v>
      </c>
      <c r="D40" s="56">
        <v>0.93611111111111101</v>
      </c>
      <c r="E40" s="57">
        <v>0.75208333333333299</v>
      </c>
      <c r="F40" s="58">
        <v>0.77291666666666703</v>
      </c>
      <c r="G40" s="59" t="str">
        <f t="array" ref="G40">_xlfn.XLOOKUP(A40&amp;"|"&amp;B40,ShiftRoster[Employee ID]&amp;"|"&amp;ShiftRoster[Date],ShiftRoster[Shift Code],_xlfn.XLOOKUP(A40,TRIM(SUBSTITUTE('worker file'!$A$2:$A$406,_xlfn.UNICHAR(160)," ")),'worker file'!$X$2:$X$406,"?"),0,-1)</f>
        <v>SWNG</v>
      </c>
      <c r="H40" s="59" t="str">
        <f>_xlfn.XLOOKUP(G40,ShiftCodes[Code],ShiftCodes[Work Schedule],"Unknown")</f>
        <v>Shift B – Swing (Mon–Fri 14:00–22:30)</v>
      </c>
      <c r="I40" s="60">
        <f>_xlfn.XLOOKUP(G40,ShiftCodes[Code],ShiftCodes[Start],"")</f>
        <v>0.58333333333333304</v>
      </c>
      <c r="J40" s="61">
        <f t="shared" si="0"/>
        <v>4</v>
      </c>
      <c r="K40" s="59" t="str">
        <f t="shared" si="1"/>
        <v>OK</v>
      </c>
      <c r="L40" s="62"/>
      <c r="M40" s="5" t="str">
        <f t="shared" si="2"/>
        <v>Mon</v>
      </c>
      <c r="N40" s="63">
        <f t="shared" si="3"/>
        <v>7.9</v>
      </c>
      <c r="O40" s="5" t="s">
        <v>758</v>
      </c>
      <c r="P40" s="6">
        <v>46307</v>
      </c>
      <c r="Q40" s="5" t="str">
        <f t="shared" si="4"/>
        <v>Current period</v>
      </c>
      <c r="R40" s="5" t="str">
        <f t="array" ref="R40">_xlfn.XLOOKUP(A40,TRIM(SUBSTITUTE('worker file'!$A$2:$A$406,_xlfn.UNICHAR(160)," ")),'worker file'!$D$2:$D$406,"Not found")</f>
        <v>TX</v>
      </c>
    </row>
    <row r="41" spans="1:18" ht="16" x14ac:dyDescent="0.2">
      <c r="A41" s="5" t="s">
        <v>579</v>
      </c>
      <c r="B41" s="6">
        <v>46308</v>
      </c>
      <c r="C41" s="56">
        <v>0.58541666666666703</v>
      </c>
      <c r="D41" s="56">
        <v>0.93472222222222201</v>
      </c>
      <c r="E41" s="57">
        <v>0.74722222222222201</v>
      </c>
      <c r="F41" s="58">
        <v>0.76805555555555605</v>
      </c>
      <c r="G41" s="59" t="str">
        <f t="array" ref="G41">_xlfn.XLOOKUP(A41&amp;"|"&amp;B41,ShiftRoster[Employee ID]&amp;"|"&amp;ShiftRoster[Date],ShiftRoster[Shift Code],_xlfn.XLOOKUP(A41,TRIM(SUBSTITUTE('worker file'!$A$2:$A$406,_xlfn.UNICHAR(160)," ")),'worker file'!$X$2:$X$406,"?"),0,-1)</f>
        <v>SWNG</v>
      </c>
      <c r="H41" s="59" t="str">
        <f>_xlfn.XLOOKUP(G41,ShiftCodes[Code],ShiftCodes[Work Schedule],"Unknown")</f>
        <v>Shift B – Swing (Mon–Fri 14:00–22:30)</v>
      </c>
      <c r="I41" s="60">
        <f>_xlfn.XLOOKUP(G41,ShiftCodes[Code],ShiftCodes[Start],"")</f>
        <v>0.58333333333333304</v>
      </c>
      <c r="J41" s="61">
        <f t="shared" si="0"/>
        <v>3</v>
      </c>
      <c r="K41" s="59" t="str">
        <f t="shared" si="1"/>
        <v>OK</v>
      </c>
      <c r="L41" s="62"/>
      <c r="M41" s="5" t="str">
        <f t="shared" si="2"/>
        <v>Tue</v>
      </c>
      <c r="N41" s="63">
        <f t="shared" si="3"/>
        <v>7.88</v>
      </c>
      <c r="O41" s="5" t="s">
        <v>758</v>
      </c>
      <c r="P41" s="6">
        <v>46308</v>
      </c>
      <c r="Q41" s="5" t="str">
        <f t="shared" si="4"/>
        <v>Current period</v>
      </c>
      <c r="R41" s="5" t="str">
        <f t="array" ref="R41">_xlfn.XLOOKUP(A41,TRIM(SUBSTITUTE('worker file'!$A$2:$A$406,_xlfn.UNICHAR(160)," ")),'worker file'!$D$2:$D$406,"Not found")</f>
        <v>TX</v>
      </c>
    </row>
    <row r="42" spans="1:18" ht="16" x14ac:dyDescent="0.2">
      <c r="A42" s="5" t="s">
        <v>579</v>
      </c>
      <c r="B42" s="6">
        <v>46309</v>
      </c>
      <c r="C42" s="56">
        <v>0.58402777777777803</v>
      </c>
      <c r="D42" s="56">
        <v>0.93611111111111101</v>
      </c>
      <c r="E42" s="57">
        <v>0.750694444444444</v>
      </c>
      <c r="F42" s="58">
        <v>0.77152777777777803</v>
      </c>
      <c r="G42" s="59" t="str">
        <f t="array" ref="G42">_xlfn.XLOOKUP(A42&amp;"|"&amp;B42,ShiftRoster[Employee ID]&amp;"|"&amp;ShiftRoster[Date],ShiftRoster[Shift Code],_xlfn.XLOOKUP(A42,TRIM(SUBSTITUTE('worker file'!$A$2:$A$406,_xlfn.UNICHAR(160)," ")),'worker file'!$X$2:$X$406,"?"),0,-1)</f>
        <v>SWNG</v>
      </c>
      <c r="H42" s="59" t="str">
        <f>_xlfn.XLOOKUP(G42,ShiftCodes[Code],ShiftCodes[Work Schedule],"Unknown")</f>
        <v>Shift B – Swing (Mon–Fri 14:00–22:30)</v>
      </c>
      <c r="I42" s="60">
        <f>_xlfn.XLOOKUP(G42,ShiftCodes[Code],ShiftCodes[Start],"")</f>
        <v>0.58333333333333304</v>
      </c>
      <c r="J42" s="61">
        <f t="shared" si="0"/>
        <v>1</v>
      </c>
      <c r="K42" s="59" t="str">
        <f t="shared" si="1"/>
        <v>OK</v>
      </c>
      <c r="L42" s="62"/>
      <c r="M42" s="5" t="str">
        <f t="shared" si="2"/>
        <v>Wed</v>
      </c>
      <c r="N42" s="63">
        <f t="shared" si="3"/>
        <v>7.95</v>
      </c>
      <c r="O42" s="5" t="s">
        <v>758</v>
      </c>
      <c r="P42" s="6">
        <v>46309</v>
      </c>
      <c r="Q42" s="5" t="str">
        <f t="shared" si="4"/>
        <v>Current period</v>
      </c>
      <c r="R42" s="5" t="str">
        <f t="array" ref="R42">_xlfn.XLOOKUP(A42,TRIM(SUBSTITUTE('worker file'!$A$2:$A$406,_xlfn.UNICHAR(160)," ")),'worker file'!$D$2:$D$406,"Not found")</f>
        <v>TX</v>
      </c>
    </row>
    <row r="43" spans="1:18" ht="16" x14ac:dyDescent="0.2">
      <c r="A43" s="5" t="s">
        <v>579</v>
      </c>
      <c r="B43" s="6">
        <v>46310</v>
      </c>
      <c r="C43" s="56">
        <v>0.58541666666666703</v>
      </c>
      <c r="D43" s="56">
        <v>0.936805555555556</v>
      </c>
      <c r="E43" s="57">
        <v>0.73263888888888895</v>
      </c>
      <c r="F43" s="58">
        <v>0.75347222222222199</v>
      </c>
      <c r="G43" s="59" t="str">
        <f t="array" ref="G43">_xlfn.XLOOKUP(A43&amp;"|"&amp;B43,ShiftRoster[Employee ID]&amp;"|"&amp;ShiftRoster[Date],ShiftRoster[Shift Code],_xlfn.XLOOKUP(A43,TRIM(SUBSTITUTE('worker file'!$A$2:$A$406,_xlfn.UNICHAR(160)," ")),'worker file'!$X$2:$X$406,"?"),0,-1)</f>
        <v>SWNG</v>
      </c>
      <c r="H43" s="59" t="str">
        <f>_xlfn.XLOOKUP(G43,ShiftCodes[Code],ShiftCodes[Work Schedule],"Unknown")</f>
        <v>Shift B – Swing (Mon–Fri 14:00–22:30)</v>
      </c>
      <c r="I43" s="60">
        <f>_xlfn.XLOOKUP(G43,ShiftCodes[Code],ShiftCodes[Start],"")</f>
        <v>0.58333333333333304</v>
      </c>
      <c r="J43" s="61">
        <f t="shared" si="0"/>
        <v>3</v>
      </c>
      <c r="K43" s="59" t="str">
        <f t="shared" si="1"/>
        <v>OK</v>
      </c>
      <c r="L43" s="62"/>
      <c r="M43" s="5" t="str">
        <f t="shared" si="2"/>
        <v>Thu</v>
      </c>
      <c r="N43" s="63">
        <f t="shared" si="3"/>
        <v>7.93</v>
      </c>
      <c r="O43" s="5" t="s">
        <v>758</v>
      </c>
      <c r="P43" s="6">
        <v>46310</v>
      </c>
      <c r="Q43" s="5" t="str">
        <f t="shared" si="4"/>
        <v>Current period</v>
      </c>
      <c r="R43" s="5" t="str">
        <f t="array" ref="R43">_xlfn.XLOOKUP(A43,TRIM(SUBSTITUTE('worker file'!$A$2:$A$406,_xlfn.UNICHAR(160)," ")),'worker file'!$D$2:$D$406,"Not found")</f>
        <v>TX</v>
      </c>
    </row>
    <row r="44" spans="1:18" ht="16" x14ac:dyDescent="0.2">
      <c r="A44" s="5" t="s">
        <v>579</v>
      </c>
      <c r="B44" s="6">
        <v>46311</v>
      </c>
      <c r="C44" s="56">
        <v>0.58333333333333304</v>
      </c>
      <c r="D44" s="56">
        <v>0.93472222222222201</v>
      </c>
      <c r="E44" s="57">
        <v>0.750694444444444</v>
      </c>
      <c r="F44" s="58">
        <v>0.77152777777777803</v>
      </c>
      <c r="G44" s="59" t="str">
        <f t="array" ref="G44">_xlfn.XLOOKUP(A44&amp;"|"&amp;B44,ShiftRoster[Employee ID]&amp;"|"&amp;ShiftRoster[Date],ShiftRoster[Shift Code],_xlfn.XLOOKUP(A44,TRIM(SUBSTITUTE('worker file'!$A$2:$A$406,_xlfn.UNICHAR(160)," ")),'worker file'!$X$2:$X$406,"?"),0,-1)</f>
        <v>SWNG</v>
      </c>
      <c r="H44" s="59" t="str">
        <f>_xlfn.XLOOKUP(G44,ShiftCodes[Code],ShiftCodes[Work Schedule],"Unknown")</f>
        <v>Shift B – Swing (Mon–Fri 14:00–22:30)</v>
      </c>
      <c r="I44" s="60">
        <f>_xlfn.XLOOKUP(G44,ShiftCodes[Code],ShiftCodes[Start],"")</f>
        <v>0.58333333333333304</v>
      </c>
      <c r="J44" s="61">
        <f t="shared" si="0"/>
        <v>0</v>
      </c>
      <c r="K44" s="59" t="str">
        <f t="shared" si="1"/>
        <v>OK</v>
      </c>
      <c r="L44" s="62"/>
      <c r="M44" s="5" t="str">
        <f t="shared" si="2"/>
        <v>Fri</v>
      </c>
      <c r="N44" s="63">
        <f t="shared" si="3"/>
        <v>7.93</v>
      </c>
      <c r="O44" s="5" t="s">
        <v>758</v>
      </c>
      <c r="P44" s="6">
        <v>46311</v>
      </c>
      <c r="Q44" s="5" t="str">
        <f t="shared" si="4"/>
        <v>Current period</v>
      </c>
      <c r="R44" s="5" t="str">
        <f t="array" ref="R44">_xlfn.XLOOKUP(A44,TRIM(SUBSTITUTE('worker file'!$A$2:$A$406,_xlfn.UNICHAR(160)," ")),'worker file'!$D$2:$D$406,"Not found")</f>
        <v>TX</v>
      </c>
    </row>
    <row r="45" spans="1:18" ht="16" x14ac:dyDescent="0.2">
      <c r="A45" s="5" t="s">
        <v>131</v>
      </c>
      <c r="B45" s="6">
        <v>46300</v>
      </c>
      <c r="C45" s="56">
        <v>0.58402777777777803</v>
      </c>
      <c r="D45" s="56">
        <v>0.93472222222222201</v>
      </c>
      <c r="E45" s="57">
        <v>0.76180555555555596</v>
      </c>
      <c r="F45" s="58">
        <v>0.78263888888888899</v>
      </c>
      <c r="G45" s="59" t="str">
        <f t="array" ref="G45">_xlfn.XLOOKUP(A45&amp;"|"&amp;B45,ShiftRoster[Employee ID]&amp;"|"&amp;ShiftRoster[Date],ShiftRoster[Shift Code],_xlfn.XLOOKUP(A45,TRIM(SUBSTITUTE('worker file'!$A$2:$A$406,_xlfn.UNICHAR(160)," ")),'worker file'!$X$2:$X$406,"?"),0,-1)</f>
        <v>SWNG</v>
      </c>
      <c r="H45" s="59" t="str">
        <f>_xlfn.XLOOKUP(G45,ShiftCodes[Code],ShiftCodes[Work Schedule],"Unknown")</f>
        <v>Shift B – Swing (Mon–Fri 14:00–22:30)</v>
      </c>
      <c r="I45" s="60">
        <f>_xlfn.XLOOKUP(G45,ShiftCodes[Code],ShiftCodes[Start],"")</f>
        <v>0.58333333333333304</v>
      </c>
      <c r="J45" s="61">
        <f t="shared" si="0"/>
        <v>1</v>
      </c>
      <c r="K45" s="59" t="str">
        <f t="shared" si="1"/>
        <v>OK</v>
      </c>
      <c r="L45" s="62"/>
      <c r="M45" s="5" t="str">
        <f t="shared" si="2"/>
        <v>Mon</v>
      </c>
      <c r="N45" s="63">
        <f t="shared" si="3"/>
        <v>7.92</v>
      </c>
      <c r="O45" s="5" t="s">
        <v>758</v>
      </c>
      <c r="P45" s="6">
        <v>46300</v>
      </c>
      <c r="Q45" s="5" t="str">
        <f t="shared" si="4"/>
        <v>Current period</v>
      </c>
      <c r="R45" s="5" t="str">
        <f t="array" ref="R45">_xlfn.XLOOKUP(A45,TRIM(SUBSTITUTE('worker file'!$A$2:$A$406,_xlfn.UNICHAR(160)," ")),'worker file'!$D$2:$D$406,"Not found")</f>
        <v>CA</v>
      </c>
    </row>
    <row r="46" spans="1:18" ht="16" x14ac:dyDescent="0.2">
      <c r="A46" s="5" t="s">
        <v>131</v>
      </c>
      <c r="B46" s="6">
        <v>46301</v>
      </c>
      <c r="C46" s="56">
        <v>0.58055555555555605</v>
      </c>
      <c r="D46" s="56">
        <v>0.93263888888888902</v>
      </c>
      <c r="E46" s="57">
        <v>0.73819444444444504</v>
      </c>
      <c r="F46" s="58">
        <v>0.75902777777777797</v>
      </c>
      <c r="G46" s="59" t="str">
        <f t="array" ref="G46">_xlfn.XLOOKUP(A46&amp;"|"&amp;B46,ShiftRoster[Employee ID]&amp;"|"&amp;ShiftRoster[Date],ShiftRoster[Shift Code],_xlfn.XLOOKUP(A46,TRIM(SUBSTITUTE('worker file'!$A$2:$A$406,_xlfn.UNICHAR(160)," ")),'worker file'!$X$2:$X$406,"?"),0,-1)</f>
        <v>SWNG</v>
      </c>
      <c r="H46" s="59" t="str">
        <f>_xlfn.XLOOKUP(G46,ShiftCodes[Code],ShiftCodes[Work Schedule],"Unknown")</f>
        <v>Shift B – Swing (Mon–Fri 14:00–22:30)</v>
      </c>
      <c r="I46" s="60">
        <f>_xlfn.XLOOKUP(G46,ShiftCodes[Code],ShiftCodes[Start],"")</f>
        <v>0.58333333333333304</v>
      </c>
      <c r="J46" s="61">
        <f t="shared" si="0"/>
        <v>-4</v>
      </c>
      <c r="K46" s="59" t="str">
        <f t="shared" si="1"/>
        <v>OK</v>
      </c>
      <c r="L46" s="62"/>
      <c r="M46" s="5" t="str">
        <f t="shared" si="2"/>
        <v>Tue</v>
      </c>
      <c r="N46" s="63">
        <f t="shared" si="3"/>
        <v>7.95</v>
      </c>
      <c r="O46" s="5" t="s">
        <v>758</v>
      </c>
      <c r="P46" s="6">
        <v>46301</v>
      </c>
      <c r="Q46" s="5" t="str">
        <f t="shared" si="4"/>
        <v>Current period</v>
      </c>
      <c r="R46" s="5" t="str">
        <f t="array" ref="R46">_xlfn.XLOOKUP(A46,TRIM(SUBSTITUTE('worker file'!$A$2:$A$406,_xlfn.UNICHAR(160)," ")),'worker file'!$D$2:$D$406,"Not found")</f>
        <v>CA</v>
      </c>
    </row>
    <row r="47" spans="1:18" ht="16" x14ac:dyDescent="0.2">
      <c r="A47" s="5" t="s">
        <v>131</v>
      </c>
      <c r="B47" s="6">
        <v>46302</v>
      </c>
      <c r="C47" s="56">
        <v>0.57986111111111105</v>
      </c>
      <c r="D47" s="56">
        <v>0.92916666666666703</v>
      </c>
      <c r="E47" s="57">
        <v>0.74583333333333302</v>
      </c>
      <c r="F47" s="58">
        <v>0.76666666666666705</v>
      </c>
      <c r="G47" s="59" t="str">
        <f t="array" ref="G47">_xlfn.XLOOKUP(A47&amp;"|"&amp;B47,ShiftRoster[Employee ID]&amp;"|"&amp;ShiftRoster[Date],ShiftRoster[Shift Code],_xlfn.XLOOKUP(A47,TRIM(SUBSTITUTE('worker file'!$A$2:$A$406,_xlfn.UNICHAR(160)," ")),'worker file'!$X$2:$X$406,"?"),0,-1)</f>
        <v>SWNG</v>
      </c>
      <c r="H47" s="59" t="str">
        <f>_xlfn.XLOOKUP(G47,ShiftCodes[Code],ShiftCodes[Work Schedule],"Unknown")</f>
        <v>Shift B – Swing (Mon–Fri 14:00–22:30)</v>
      </c>
      <c r="I47" s="60">
        <f>_xlfn.XLOOKUP(G47,ShiftCodes[Code],ShiftCodes[Start],"")</f>
        <v>0.58333333333333304</v>
      </c>
      <c r="J47" s="61">
        <f t="shared" si="0"/>
        <v>-5</v>
      </c>
      <c r="K47" s="59" t="str">
        <f t="shared" si="1"/>
        <v>OK</v>
      </c>
      <c r="L47" s="62"/>
      <c r="M47" s="5" t="str">
        <f t="shared" si="2"/>
        <v>Wed</v>
      </c>
      <c r="N47" s="63">
        <f t="shared" si="3"/>
        <v>7.88</v>
      </c>
      <c r="O47" s="5" t="s">
        <v>758</v>
      </c>
      <c r="P47" s="6">
        <v>46302</v>
      </c>
      <c r="Q47" s="5" t="str">
        <f t="shared" si="4"/>
        <v>Current period</v>
      </c>
      <c r="R47" s="5" t="str">
        <f t="array" ref="R47">_xlfn.XLOOKUP(A47,TRIM(SUBSTITUTE('worker file'!$A$2:$A$406,_xlfn.UNICHAR(160)," ")),'worker file'!$D$2:$D$406,"Not found")</f>
        <v>CA</v>
      </c>
    </row>
    <row r="48" spans="1:18" ht="16" x14ac:dyDescent="0.2">
      <c r="A48" s="5" t="s">
        <v>131</v>
      </c>
      <c r="B48" s="6">
        <v>46303</v>
      </c>
      <c r="C48" s="56">
        <v>0.58541666666666703</v>
      </c>
      <c r="D48" s="56">
        <v>0.936805555555556</v>
      </c>
      <c r="E48" s="57">
        <v>0.74513888888888902</v>
      </c>
      <c r="F48" s="58">
        <v>0.76597222222222205</v>
      </c>
      <c r="G48" s="59" t="str">
        <f t="array" ref="G48">_xlfn.XLOOKUP(A48&amp;"|"&amp;B48,ShiftRoster[Employee ID]&amp;"|"&amp;ShiftRoster[Date],ShiftRoster[Shift Code],_xlfn.XLOOKUP(A48,TRIM(SUBSTITUTE('worker file'!$A$2:$A$406,_xlfn.UNICHAR(160)," ")),'worker file'!$X$2:$X$406,"?"),0,-1)</f>
        <v>SWNG</v>
      </c>
      <c r="H48" s="59" t="str">
        <f>_xlfn.XLOOKUP(G48,ShiftCodes[Code],ShiftCodes[Work Schedule],"Unknown")</f>
        <v>Shift B – Swing (Mon–Fri 14:00–22:30)</v>
      </c>
      <c r="I48" s="60">
        <f>_xlfn.XLOOKUP(G48,ShiftCodes[Code],ShiftCodes[Start],"")</f>
        <v>0.58333333333333304</v>
      </c>
      <c r="J48" s="61">
        <f t="shared" si="0"/>
        <v>3</v>
      </c>
      <c r="K48" s="59" t="str">
        <f t="shared" si="1"/>
        <v>OK</v>
      </c>
      <c r="L48" s="62"/>
      <c r="M48" s="5" t="str">
        <f t="shared" si="2"/>
        <v>Thu</v>
      </c>
      <c r="N48" s="63">
        <f t="shared" si="3"/>
        <v>7.93</v>
      </c>
      <c r="O48" s="5" t="s">
        <v>758</v>
      </c>
      <c r="P48" s="6">
        <v>46303</v>
      </c>
      <c r="Q48" s="5" t="str">
        <f t="shared" si="4"/>
        <v>Current period</v>
      </c>
      <c r="R48" s="5" t="str">
        <f t="array" ref="R48">_xlfn.XLOOKUP(A48,TRIM(SUBSTITUTE('worker file'!$A$2:$A$406,_xlfn.UNICHAR(160)," ")),'worker file'!$D$2:$D$406,"Not found")</f>
        <v>CA</v>
      </c>
    </row>
    <row r="49" spans="1:18" ht="16" x14ac:dyDescent="0.2">
      <c r="A49" s="5" t="s">
        <v>131</v>
      </c>
      <c r="B49" s="6">
        <v>46304</v>
      </c>
      <c r="C49" s="56">
        <v>0.58472222222222203</v>
      </c>
      <c r="D49" s="56">
        <v>0.93541666666666701</v>
      </c>
      <c r="E49" s="57">
        <v>0.76527777777777795</v>
      </c>
      <c r="F49" s="58">
        <v>0.78611111111111098</v>
      </c>
      <c r="G49" s="59" t="str">
        <f t="array" ref="G49">_xlfn.XLOOKUP(A49&amp;"|"&amp;B49,ShiftRoster[Employee ID]&amp;"|"&amp;ShiftRoster[Date],ShiftRoster[Shift Code],_xlfn.XLOOKUP(A49,TRIM(SUBSTITUTE('worker file'!$A$2:$A$406,_xlfn.UNICHAR(160)," ")),'worker file'!$X$2:$X$406,"?"),0,-1)</f>
        <v>SWNG</v>
      </c>
      <c r="H49" s="59" t="str">
        <f>_xlfn.XLOOKUP(G49,ShiftCodes[Code],ShiftCodes[Work Schedule],"Unknown")</f>
        <v>Shift B – Swing (Mon–Fri 14:00–22:30)</v>
      </c>
      <c r="I49" s="60">
        <f>_xlfn.XLOOKUP(G49,ShiftCodes[Code],ShiftCodes[Start],"")</f>
        <v>0.58333333333333304</v>
      </c>
      <c r="J49" s="61">
        <f t="shared" si="0"/>
        <v>2</v>
      </c>
      <c r="K49" s="59" t="str">
        <f t="shared" si="1"/>
        <v>OK</v>
      </c>
      <c r="L49" s="62"/>
      <c r="M49" s="5" t="str">
        <f t="shared" si="2"/>
        <v>Fri</v>
      </c>
      <c r="N49" s="63">
        <f t="shared" si="3"/>
        <v>7.92</v>
      </c>
      <c r="O49" s="5" t="s">
        <v>758</v>
      </c>
      <c r="P49" s="6">
        <v>46304</v>
      </c>
      <c r="Q49" s="5" t="str">
        <f t="shared" si="4"/>
        <v>Current period</v>
      </c>
      <c r="R49" s="5" t="str">
        <f t="array" ref="R49">_xlfn.XLOOKUP(A49,TRIM(SUBSTITUTE('worker file'!$A$2:$A$406,_xlfn.UNICHAR(160)," ")),'worker file'!$D$2:$D$406,"Not found")</f>
        <v>CA</v>
      </c>
    </row>
    <row r="50" spans="1:18" ht="16" x14ac:dyDescent="0.2">
      <c r="A50" s="5" t="s">
        <v>131</v>
      </c>
      <c r="B50" s="6">
        <v>46307</v>
      </c>
      <c r="C50" s="56">
        <v>0.57916666666666705</v>
      </c>
      <c r="D50" s="56">
        <v>0.93055555555555602</v>
      </c>
      <c r="E50" s="57">
        <v>0.74305555555555602</v>
      </c>
      <c r="F50" s="58">
        <v>0.76388888888888895</v>
      </c>
      <c r="G50" s="59" t="str">
        <f t="array" ref="G50">_xlfn.XLOOKUP(A50&amp;"|"&amp;B50,ShiftRoster[Employee ID]&amp;"|"&amp;ShiftRoster[Date],ShiftRoster[Shift Code],_xlfn.XLOOKUP(A50,TRIM(SUBSTITUTE('worker file'!$A$2:$A$406,_xlfn.UNICHAR(160)," ")),'worker file'!$X$2:$X$406,"?"),0,-1)</f>
        <v>SWNG</v>
      </c>
      <c r="H50" s="59" t="str">
        <f>_xlfn.XLOOKUP(G50,ShiftCodes[Code],ShiftCodes[Work Schedule],"Unknown")</f>
        <v>Shift B – Swing (Mon–Fri 14:00–22:30)</v>
      </c>
      <c r="I50" s="60">
        <f>_xlfn.XLOOKUP(G50,ShiftCodes[Code],ShiftCodes[Start],"")</f>
        <v>0.58333333333333304</v>
      </c>
      <c r="J50" s="61">
        <f t="shared" si="0"/>
        <v>-6</v>
      </c>
      <c r="K50" s="59" t="str">
        <f t="shared" si="1"/>
        <v>OK</v>
      </c>
      <c r="L50" s="62"/>
      <c r="M50" s="5" t="str">
        <f t="shared" si="2"/>
        <v>Mon</v>
      </c>
      <c r="N50" s="63">
        <f t="shared" si="3"/>
        <v>7.93</v>
      </c>
      <c r="O50" s="5" t="s">
        <v>758</v>
      </c>
      <c r="P50" s="6">
        <v>46307</v>
      </c>
      <c r="Q50" s="5" t="str">
        <f t="shared" si="4"/>
        <v>Current period</v>
      </c>
      <c r="R50" s="5" t="str">
        <f t="array" ref="R50">_xlfn.XLOOKUP(A50,TRIM(SUBSTITUTE('worker file'!$A$2:$A$406,_xlfn.UNICHAR(160)," ")),'worker file'!$D$2:$D$406,"Not found")</f>
        <v>CA</v>
      </c>
    </row>
    <row r="51" spans="1:18" ht="16" x14ac:dyDescent="0.2">
      <c r="A51" s="5" t="s">
        <v>131</v>
      </c>
      <c r="B51" s="6">
        <v>46308</v>
      </c>
      <c r="C51" s="56">
        <v>0.58333333333333304</v>
      </c>
      <c r="D51" s="56">
        <v>0.936805555555556</v>
      </c>
      <c r="E51" s="57">
        <v>0.74652777777777801</v>
      </c>
      <c r="F51" s="58">
        <v>0.76736111111111105</v>
      </c>
      <c r="G51" s="59" t="str">
        <f t="array" ref="G51">_xlfn.XLOOKUP(A51&amp;"|"&amp;B51,ShiftRoster[Employee ID]&amp;"|"&amp;ShiftRoster[Date],ShiftRoster[Shift Code],_xlfn.XLOOKUP(A51,TRIM(SUBSTITUTE('worker file'!$A$2:$A$406,_xlfn.UNICHAR(160)," ")),'worker file'!$X$2:$X$406,"?"),0,-1)</f>
        <v>SWNG</v>
      </c>
      <c r="H51" s="59" t="str">
        <f>_xlfn.XLOOKUP(G51,ShiftCodes[Code],ShiftCodes[Work Schedule],"Unknown")</f>
        <v>Shift B – Swing (Mon–Fri 14:00–22:30)</v>
      </c>
      <c r="I51" s="60">
        <f>_xlfn.XLOOKUP(G51,ShiftCodes[Code],ShiftCodes[Start],"")</f>
        <v>0.58333333333333304</v>
      </c>
      <c r="J51" s="61">
        <f t="shared" si="0"/>
        <v>0</v>
      </c>
      <c r="K51" s="59" t="str">
        <f t="shared" si="1"/>
        <v>OK</v>
      </c>
      <c r="L51" s="62"/>
      <c r="M51" s="5" t="str">
        <f t="shared" si="2"/>
        <v>Tue</v>
      </c>
      <c r="N51" s="63">
        <f t="shared" si="3"/>
        <v>7.98</v>
      </c>
      <c r="O51" s="5" t="s">
        <v>758</v>
      </c>
      <c r="P51" s="6">
        <v>46308</v>
      </c>
      <c r="Q51" s="5" t="str">
        <f t="shared" si="4"/>
        <v>Current period</v>
      </c>
      <c r="R51" s="5" t="str">
        <f t="array" ref="R51">_xlfn.XLOOKUP(A51,TRIM(SUBSTITUTE('worker file'!$A$2:$A$406,_xlfn.UNICHAR(160)," ")),'worker file'!$D$2:$D$406,"Not found")</f>
        <v>CA</v>
      </c>
    </row>
    <row r="52" spans="1:18" ht="16" x14ac:dyDescent="0.2">
      <c r="A52" s="5" t="s">
        <v>131</v>
      </c>
      <c r="B52" s="6">
        <v>46309</v>
      </c>
      <c r="C52" s="56">
        <v>0.57916666666666705</v>
      </c>
      <c r="D52" s="56">
        <v>0.93194444444444502</v>
      </c>
      <c r="E52" s="57">
        <v>0.74513888888888902</v>
      </c>
      <c r="F52" s="58">
        <v>0.76597222222222205</v>
      </c>
      <c r="G52" s="59" t="str">
        <f t="array" ref="G52">_xlfn.XLOOKUP(A52&amp;"|"&amp;B52,ShiftRoster[Employee ID]&amp;"|"&amp;ShiftRoster[Date],ShiftRoster[Shift Code],_xlfn.XLOOKUP(A52,TRIM(SUBSTITUTE('worker file'!$A$2:$A$406,_xlfn.UNICHAR(160)," ")),'worker file'!$X$2:$X$406,"?"),0,-1)</f>
        <v>SWNG</v>
      </c>
      <c r="H52" s="59" t="str">
        <f>_xlfn.XLOOKUP(G52,ShiftCodes[Code],ShiftCodes[Work Schedule],"Unknown")</f>
        <v>Shift B – Swing (Mon–Fri 14:00–22:30)</v>
      </c>
      <c r="I52" s="60">
        <f>_xlfn.XLOOKUP(G52,ShiftCodes[Code],ShiftCodes[Start],"")</f>
        <v>0.58333333333333304</v>
      </c>
      <c r="J52" s="61">
        <f t="shared" si="0"/>
        <v>-6</v>
      </c>
      <c r="K52" s="59" t="str">
        <f t="shared" si="1"/>
        <v>OK</v>
      </c>
      <c r="L52" s="62" t="s">
        <v>766</v>
      </c>
      <c r="M52" s="5" t="str">
        <f t="shared" si="2"/>
        <v>Wed</v>
      </c>
      <c r="N52" s="63">
        <f t="shared" si="3"/>
        <v>7.97</v>
      </c>
      <c r="O52" s="5" t="s">
        <v>758</v>
      </c>
      <c r="P52" s="6">
        <v>46309</v>
      </c>
      <c r="Q52" s="5" t="str">
        <f t="shared" si="4"/>
        <v>Current period</v>
      </c>
      <c r="R52" s="5" t="str">
        <f t="array" ref="R52">_xlfn.XLOOKUP(A52,TRIM(SUBSTITUTE('worker file'!$A$2:$A$406,_xlfn.UNICHAR(160)," ")),'worker file'!$D$2:$D$406,"Not found")</f>
        <v>CA</v>
      </c>
    </row>
    <row r="53" spans="1:18" ht="16" x14ac:dyDescent="0.2">
      <c r="A53" s="5" t="s">
        <v>131</v>
      </c>
      <c r="B53" s="6">
        <v>46310</v>
      </c>
      <c r="C53" s="56">
        <v>0.58333333333333304</v>
      </c>
      <c r="D53" s="56">
        <v>0.936805555555556</v>
      </c>
      <c r="E53" s="57">
        <v>0.73333333333333295</v>
      </c>
      <c r="F53" s="58">
        <v>0.75416666666666698</v>
      </c>
      <c r="G53" s="59" t="str">
        <f t="array" ref="G53">_xlfn.XLOOKUP(A53&amp;"|"&amp;B53,ShiftRoster[Employee ID]&amp;"|"&amp;ShiftRoster[Date],ShiftRoster[Shift Code],_xlfn.XLOOKUP(A53,TRIM(SUBSTITUTE('worker file'!$A$2:$A$406,_xlfn.UNICHAR(160)," ")),'worker file'!$X$2:$X$406,"?"),0,-1)</f>
        <v>SWNG</v>
      </c>
      <c r="H53" s="59" t="str">
        <f>_xlfn.XLOOKUP(G53,ShiftCodes[Code],ShiftCodes[Work Schedule],"Unknown")</f>
        <v>Shift B – Swing (Mon–Fri 14:00–22:30)</v>
      </c>
      <c r="I53" s="60">
        <f>_xlfn.XLOOKUP(G53,ShiftCodes[Code],ShiftCodes[Start],"")</f>
        <v>0.58333333333333304</v>
      </c>
      <c r="J53" s="61">
        <f t="shared" si="0"/>
        <v>0</v>
      </c>
      <c r="K53" s="59" t="str">
        <f t="shared" si="1"/>
        <v>OK</v>
      </c>
      <c r="L53" s="62"/>
      <c r="M53" s="5" t="str">
        <f t="shared" si="2"/>
        <v>Thu</v>
      </c>
      <c r="N53" s="63">
        <f t="shared" si="3"/>
        <v>7.98</v>
      </c>
      <c r="O53" s="5" t="s">
        <v>758</v>
      </c>
      <c r="P53" s="6">
        <v>46310</v>
      </c>
      <c r="Q53" s="5" t="str">
        <f t="shared" si="4"/>
        <v>Current period</v>
      </c>
      <c r="R53" s="5" t="str">
        <f t="array" ref="R53">_xlfn.XLOOKUP(A53,TRIM(SUBSTITUTE('worker file'!$A$2:$A$406,_xlfn.UNICHAR(160)," ")),'worker file'!$D$2:$D$406,"Not found")</f>
        <v>CA</v>
      </c>
    </row>
    <row r="54" spans="1:18" ht="16" x14ac:dyDescent="0.2">
      <c r="A54" s="5" t="s">
        <v>131</v>
      </c>
      <c r="B54" s="6">
        <v>46311</v>
      </c>
      <c r="C54" s="56">
        <v>0.58402777777777803</v>
      </c>
      <c r="D54" s="56">
        <v>0.936805555555556</v>
      </c>
      <c r="E54" s="57">
        <v>0.75208333333333299</v>
      </c>
      <c r="F54" s="58">
        <v>0.77291666666666703</v>
      </c>
      <c r="G54" s="59" t="str">
        <f t="array" ref="G54">_xlfn.XLOOKUP(A54&amp;"|"&amp;B54,ShiftRoster[Employee ID]&amp;"|"&amp;ShiftRoster[Date],ShiftRoster[Shift Code],_xlfn.XLOOKUP(A54,TRIM(SUBSTITUTE('worker file'!$A$2:$A$406,_xlfn.UNICHAR(160)," ")),'worker file'!$X$2:$X$406,"?"),0,-1)</f>
        <v>SWNG</v>
      </c>
      <c r="H54" s="59" t="str">
        <f>_xlfn.XLOOKUP(G54,ShiftCodes[Code],ShiftCodes[Work Schedule],"Unknown")</f>
        <v>Shift B – Swing (Mon–Fri 14:00–22:30)</v>
      </c>
      <c r="I54" s="60">
        <f>_xlfn.XLOOKUP(G54,ShiftCodes[Code],ShiftCodes[Start],"")</f>
        <v>0.58333333333333304</v>
      </c>
      <c r="J54" s="61">
        <f t="shared" si="0"/>
        <v>1</v>
      </c>
      <c r="K54" s="59" t="str">
        <f t="shared" si="1"/>
        <v>OK</v>
      </c>
      <c r="L54" s="62"/>
      <c r="M54" s="5" t="str">
        <f t="shared" si="2"/>
        <v>Fri</v>
      </c>
      <c r="N54" s="63">
        <f t="shared" si="3"/>
        <v>7.97</v>
      </c>
      <c r="O54" s="5" t="s">
        <v>758</v>
      </c>
      <c r="P54" s="6">
        <v>46311</v>
      </c>
      <c r="Q54" s="5" t="str">
        <f t="shared" si="4"/>
        <v>Current period</v>
      </c>
      <c r="R54" s="5" t="str">
        <f t="array" ref="R54">_xlfn.XLOOKUP(A54,TRIM(SUBSTITUTE('worker file'!$A$2:$A$406,_xlfn.UNICHAR(160)," ")),'worker file'!$D$2:$D$406,"Not found")</f>
        <v>CA</v>
      </c>
    </row>
    <row r="55" spans="1:18" ht="16" x14ac:dyDescent="0.2">
      <c r="A55" s="5" t="s">
        <v>134</v>
      </c>
      <c r="B55" s="6">
        <v>46300</v>
      </c>
      <c r="C55" s="56">
        <v>0.57916666666666705</v>
      </c>
      <c r="D55" s="56">
        <v>0.92777777777777803</v>
      </c>
      <c r="E55" s="57">
        <v>0.75</v>
      </c>
      <c r="F55" s="58">
        <v>0.77083333333333304</v>
      </c>
      <c r="G55" s="59" t="str">
        <f t="array" ref="G55">_xlfn.XLOOKUP(A55&amp;"|"&amp;B55,ShiftRoster[Employee ID]&amp;"|"&amp;ShiftRoster[Date],ShiftRoster[Shift Code],_xlfn.XLOOKUP(A55,TRIM(SUBSTITUTE('worker file'!$A$2:$A$406,_xlfn.UNICHAR(160)," ")),'worker file'!$X$2:$X$406,"?"),0,-1)</f>
        <v>SWNG</v>
      </c>
      <c r="H55" s="59" t="str">
        <f>_xlfn.XLOOKUP(G55,ShiftCodes[Code],ShiftCodes[Work Schedule],"Unknown")</f>
        <v>Shift B – Swing (Mon–Fri 14:00–22:30)</v>
      </c>
      <c r="I55" s="60">
        <f>_xlfn.XLOOKUP(G55,ShiftCodes[Code],ShiftCodes[Start],"")</f>
        <v>0.58333333333333304</v>
      </c>
      <c r="J55" s="61">
        <f t="shared" si="0"/>
        <v>-6</v>
      </c>
      <c r="K55" s="59" t="str">
        <f t="shared" si="1"/>
        <v>OK</v>
      </c>
      <c r="L55" s="62"/>
      <c r="M55" s="5" t="str">
        <f t="shared" si="2"/>
        <v>Mon</v>
      </c>
      <c r="N55" s="63">
        <f t="shared" si="3"/>
        <v>7.87</v>
      </c>
      <c r="O55" s="5" t="s">
        <v>758</v>
      </c>
      <c r="P55" s="6">
        <v>46300</v>
      </c>
      <c r="Q55" s="5" t="str">
        <f t="shared" si="4"/>
        <v>Current period</v>
      </c>
      <c r="R55" s="5" t="str">
        <f t="array" ref="R55">_xlfn.XLOOKUP(A55,TRIM(SUBSTITUTE('worker file'!$A$2:$A$406,_xlfn.UNICHAR(160)," ")),'worker file'!$D$2:$D$406,"Not found")</f>
        <v>CA</v>
      </c>
    </row>
    <row r="56" spans="1:18" ht="16" x14ac:dyDescent="0.2">
      <c r="A56" s="5" t="s">
        <v>134</v>
      </c>
      <c r="B56" s="6">
        <v>46301</v>
      </c>
      <c r="C56" s="56">
        <v>0.57916666666666705</v>
      </c>
      <c r="D56" s="56">
        <v>0.93333333333333302</v>
      </c>
      <c r="E56" s="57">
        <v>0.76041666666666696</v>
      </c>
      <c r="F56" s="58">
        <v>0.78125</v>
      </c>
      <c r="G56" s="59" t="str">
        <f t="array" ref="G56">_xlfn.XLOOKUP(A56&amp;"|"&amp;B56,ShiftRoster[Employee ID]&amp;"|"&amp;ShiftRoster[Date],ShiftRoster[Shift Code],_xlfn.XLOOKUP(A56,TRIM(SUBSTITUTE('worker file'!$A$2:$A$406,_xlfn.UNICHAR(160)," ")),'worker file'!$X$2:$X$406,"?"),0,-1)</f>
        <v>SWNG</v>
      </c>
      <c r="H56" s="59" t="str">
        <f>_xlfn.XLOOKUP(G56,ShiftCodes[Code],ShiftCodes[Work Schedule],"Unknown")</f>
        <v>Shift B – Swing (Mon–Fri 14:00–22:30)</v>
      </c>
      <c r="I56" s="60">
        <f>_xlfn.XLOOKUP(G56,ShiftCodes[Code],ShiftCodes[Start],"")</f>
        <v>0.58333333333333304</v>
      </c>
      <c r="J56" s="61">
        <f t="shared" si="0"/>
        <v>-6</v>
      </c>
      <c r="K56" s="59" t="str">
        <f t="shared" si="1"/>
        <v>OK</v>
      </c>
      <c r="L56" s="62"/>
      <c r="M56" s="5" t="str">
        <f t="shared" si="2"/>
        <v>Tue</v>
      </c>
      <c r="N56" s="63">
        <f t="shared" si="3"/>
        <v>8</v>
      </c>
      <c r="O56" s="5" t="s">
        <v>758</v>
      </c>
      <c r="P56" s="6">
        <v>46301</v>
      </c>
      <c r="Q56" s="5" t="str">
        <f t="shared" si="4"/>
        <v>Current period</v>
      </c>
      <c r="R56" s="5" t="str">
        <f t="array" ref="R56">_xlfn.XLOOKUP(A56,TRIM(SUBSTITUTE('worker file'!$A$2:$A$406,_xlfn.UNICHAR(160)," ")),'worker file'!$D$2:$D$406,"Not found")</f>
        <v>CA</v>
      </c>
    </row>
    <row r="57" spans="1:18" ht="16" x14ac:dyDescent="0.2">
      <c r="A57" s="5" t="s">
        <v>134</v>
      </c>
      <c r="B57" s="6">
        <v>46302</v>
      </c>
      <c r="C57" s="56">
        <v>0.58055555555555605</v>
      </c>
      <c r="D57" s="56">
        <v>0.93125000000000002</v>
      </c>
      <c r="E57" s="57">
        <v>0.75486111111111098</v>
      </c>
      <c r="F57" s="58">
        <v>0.77569444444444502</v>
      </c>
      <c r="G57" s="59" t="str">
        <f t="array" ref="G57">_xlfn.XLOOKUP(A57&amp;"|"&amp;B57,ShiftRoster[Employee ID]&amp;"|"&amp;ShiftRoster[Date],ShiftRoster[Shift Code],_xlfn.XLOOKUP(A57,TRIM(SUBSTITUTE('worker file'!$A$2:$A$406,_xlfn.UNICHAR(160)," ")),'worker file'!$X$2:$X$406,"?"),0,-1)</f>
        <v>SWNG</v>
      </c>
      <c r="H57" s="59" t="str">
        <f>_xlfn.XLOOKUP(G57,ShiftCodes[Code],ShiftCodes[Work Schedule],"Unknown")</f>
        <v>Shift B – Swing (Mon–Fri 14:00–22:30)</v>
      </c>
      <c r="I57" s="60">
        <f>_xlfn.XLOOKUP(G57,ShiftCodes[Code],ShiftCodes[Start],"")</f>
        <v>0.58333333333333304</v>
      </c>
      <c r="J57" s="61">
        <f t="shared" si="0"/>
        <v>-4</v>
      </c>
      <c r="K57" s="59" t="str">
        <f t="shared" si="1"/>
        <v>OK</v>
      </c>
      <c r="L57" s="62"/>
      <c r="M57" s="5" t="str">
        <f t="shared" si="2"/>
        <v>Wed</v>
      </c>
      <c r="N57" s="63">
        <f t="shared" si="3"/>
        <v>7.92</v>
      </c>
      <c r="O57" s="5" t="s">
        <v>758</v>
      </c>
      <c r="P57" s="6">
        <v>46302</v>
      </c>
      <c r="Q57" s="5" t="str">
        <f t="shared" si="4"/>
        <v>Current period</v>
      </c>
      <c r="R57" s="5" t="str">
        <f t="array" ref="R57">_xlfn.XLOOKUP(A57,TRIM(SUBSTITUTE('worker file'!$A$2:$A$406,_xlfn.UNICHAR(160)," ")),'worker file'!$D$2:$D$406,"Not found")</f>
        <v>CA</v>
      </c>
    </row>
    <row r="58" spans="1:18" ht="16" x14ac:dyDescent="0.2">
      <c r="A58" s="5" t="s">
        <v>134</v>
      </c>
      <c r="B58" s="6">
        <v>46303</v>
      </c>
      <c r="C58" s="56">
        <v>0.58263888888888904</v>
      </c>
      <c r="D58" s="56">
        <v>0.93333333333333302</v>
      </c>
      <c r="E58" s="57">
        <v>0.76388888888888895</v>
      </c>
      <c r="F58" s="58">
        <v>0.78472222222222199</v>
      </c>
      <c r="G58" s="59" t="str">
        <f t="array" ref="G58">_xlfn.XLOOKUP(A58&amp;"|"&amp;B58,ShiftRoster[Employee ID]&amp;"|"&amp;ShiftRoster[Date],ShiftRoster[Shift Code],_xlfn.XLOOKUP(A58,TRIM(SUBSTITUTE('worker file'!$A$2:$A$406,_xlfn.UNICHAR(160)," ")),'worker file'!$X$2:$X$406,"?"),0,-1)</f>
        <v>SWNG</v>
      </c>
      <c r="H58" s="59" t="str">
        <f>_xlfn.XLOOKUP(G58,ShiftCodes[Code],ShiftCodes[Work Schedule],"Unknown")</f>
        <v>Shift B – Swing (Mon–Fri 14:00–22:30)</v>
      </c>
      <c r="I58" s="60">
        <f>_xlfn.XLOOKUP(G58,ShiftCodes[Code],ShiftCodes[Start],"")</f>
        <v>0.58333333333333304</v>
      </c>
      <c r="J58" s="61">
        <f t="shared" si="0"/>
        <v>-1</v>
      </c>
      <c r="K58" s="59" t="str">
        <f t="shared" si="1"/>
        <v>OK</v>
      </c>
      <c r="L58" s="62"/>
      <c r="M58" s="5" t="str">
        <f t="shared" si="2"/>
        <v>Thu</v>
      </c>
      <c r="N58" s="63">
        <f t="shared" si="3"/>
        <v>7.92</v>
      </c>
      <c r="O58" s="5" t="s">
        <v>758</v>
      </c>
      <c r="P58" s="6">
        <v>46303</v>
      </c>
      <c r="Q58" s="5" t="str">
        <f t="shared" si="4"/>
        <v>Current period</v>
      </c>
      <c r="R58" s="5" t="str">
        <f t="array" ref="R58">_xlfn.XLOOKUP(A58,TRIM(SUBSTITUTE('worker file'!$A$2:$A$406,_xlfn.UNICHAR(160)," ")),'worker file'!$D$2:$D$406,"Not found")</f>
        <v>CA</v>
      </c>
    </row>
    <row r="59" spans="1:18" ht="16" x14ac:dyDescent="0.2">
      <c r="A59" s="5" t="s">
        <v>134</v>
      </c>
      <c r="B59" s="6">
        <v>46304</v>
      </c>
      <c r="C59" s="56">
        <v>0.58611111111111103</v>
      </c>
      <c r="D59" s="56">
        <v>0.936805555555556</v>
      </c>
      <c r="E59" s="57">
        <v>0.77013888888888904</v>
      </c>
      <c r="F59" s="58">
        <v>0.79097222222222197</v>
      </c>
      <c r="G59" s="59" t="str">
        <f t="array" ref="G59">_xlfn.XLOOKUP(A59&amp;"|"&amp;B59,ShiftRoster[Employee ID]&amp;"|"&amp;ShiftRoster[Date],ShiftRoster[Shift Code],_xlfn.XLOOKUP(A59,TRIM(SUBSTITUTE('worker file'!$A$2:$A$406,_xlfn.UNICHAR(160)," ")),'worker file'!$X$2:$X$406,"?"),0,-1)</f>
        <v>SWNG</v>
      </c>
      <c r="H59" s="59" t="str">
        <f>_xlfn.XLOOKUP(G59,ShiftCodes[Code],ShiftCodes[Work Schedule],"Unknown")</f>
        <v>Shift B – Swing (Mon–Fri 14:00–22:30)</v>
      </c>
      <c r="I59" s="60">
        <f>_xlfn.XLOOKUP(G59,ShiftCodes[Code],ShiftCodes[Start],"")</f>
        <v>0.58333333333333304</v>
      </c>
      <c r="J59" s="61">
        <f t="shared" si="0"/>
        <v>4</v>
      </c>
      <c r="K59" s="59" t="str">
        <f t="shared" si="1"/>
        <v>OK</v>
      </c>
      <c r="L59" s="62"/>
      <c r="M59" s="5" t="str">
        <f t="shared" si="2"/>
        <v>Fri</v>
      </c>
      <c r="N59" s="63">
        <f t="shared" si="3"/>
        <v>7.92</v>
      </c>
      <c r="O59" s="5" t="s">
        <v>758</v>
      </c>
      <c r="P59" s="6">
        <v>46304</v>
      </c>
      <c r="Q59" s="5" t="str">
        <f t="shared" si="4"/>
        <v>Current period</v>
      </c>
      <c r="R59" s="5" t="str">
        <f t="array" ref="R59">_xlfn.XLOOKUP(A59,TRIM(SUBSTITUTE('worker file'!$A$2:$A$406,_xlfn.UNICHAR(160)," ")),'worker file'!$D$2:$D$406,"Not found")</f>
        <v>CA</v>
      </c>
    </row>
    <row r="60" spans="1:18" ht="16" x14ac:dyDescent="0.2">
      <c r="A60" s="5" t="s">
        <v>134</v>
      </c>
      <c r="B60" s="6">
        <v>46307</v>
      </c>
      <c r="C60" s="56">
        <v>0.58194444444444504</v>
      </c>
      <c r="D60" s="56">
        <v>0.93541666666666701</v>
      </c>
      <c r="E60" s="57">
        <v>0.72777777777777797</v>
      </c>
      <c r="F60" s="58">
        <v>0.74861111111111101</v>
      </c>
      <c r="G60" s="59" t="str">
        <f t="array" ref="G60">_xlfn.XLOOKUP(A60&amp;"|"&amp;B60,ShiftRoster[Employee ID]&amp;"|"&amp;ShiftRoster[Date],ShiftRoster[Shift Code],_xlfn.XLOOKUP(A60,TRIM(SUBSTITUTE('worker file'!$A$2:$A$406,_xlfn.UNICHAR(160)," ")),'worker file'!$X$2:$X$406,"?"),0,-1)</f>
        <v>SWNG</v>
      </c>
      <c r="H60" s="59" t="str">
        <f>_xlfn.XLOOKUP(G60,ShiftCodes[Code],ShiftCodes[Work Schedule],"Unknown")</f>
        <v>Shift B – Swing (Mon–Fri 14:00–22:30)</v>
      </c>
      <c r="I60" s="60">
        <f>_xlfn.XLOOKUP(G60,ShiftCodes[Code],ShiftCodes[Start],"")</f>
        <v>0.58333333333333304</v>
      </c>
      <c r="J60" s="61">
        <f t="shared" si="0"/>
        <v>-2</v>
      </c>
      <c r="K60" s="59" t="str">
        <f t="shared" si="1"/>
        <v>OK</v>
      </c>
      <c r="L60" s="62"/>
      <c r="M60" s="5" t="str">
        <f t="shared" si="2"/>
        <v>Mon</v>
      </c>
      <c r="N60" s="63">
        <f t="shared" si="3"/>
        <v>7.98</v>
      </c>
      <c r="O60" s="5" t="s">
        <v>758</v>
      </c>
      <c r="P60" s="6">
        <v>46307</v>
      </c>
      <c r="Q60" s="5" t="str">
        <f t="shared" si="4"/>
        <v>Current period</v>
      </c>
      <c r="R60" s="5" t="str">
        <f t="array" ref="R60">_xlfn.XLOOKUP(A60,TRIM(SUBSTITUTE('worker file'!$A$2:$A$406,_xlfn.UNICHAR(160)," ")),'worker file'!$D$2:$D$406,"Not found")</f>
        <v>CA</v>
      </c>
    </row>
    <row r="61" spans="1:18" ht="16" x14ac:dyDescent="0.2">
      <c r="A61" s="5" t="s">
        <v>134</v>
      </c>
      <c r="B61" s="6">
        <v>46308</v>
      </c>
      <c r="C61" s="56">
        <v>0.58055555555555605</v>
      </c>
      <c r="D61" s="56">
        <v>1.8055555555555599E-2</v>
      </c>
      <c r="E61" s="57">
        <v>0.76458333333333295</v>
      </c>
      <c r="F61" s="58">
        <v>0.78541666666666698</v>
      </c>
      <c r="G61" s="59" t="str">
        <f t="array" ref="G61">_xlfn.XLOOKUP(A61&amp;"|"&amp;B61,ShiftRoster[Employee ID]&amp;"|"&amp;ShiftRoster[Date],ShiftRoster[Shift Code],_xlfn.XLOOKUP(A61,TRIM(SUBSTITUTE('worker file'!$A$2:$A$406,_xlfn.UNICHAR(160)," ")),'worker file'!$X$2:$X$406,"?"),0,-1)</f>
        <v>SWNG</v>
      </c>
      <c r="H61" s="59" t="str">
        <f>_xlfn.XLOOKUP(G61,ShiftCodes[Code],ShiftCodes[Work Schedule],"Unknown")</f>
        <v>Shift B – Swing (Mon–Fri 14:00–22:30)</v>
      </c>
      <c r="I61" s="60">
        <f>_xlfn.XLOOKUP(G61,ShiftCodes[Code],ShiftCodes[Start],"")</f>
        <v>0.58333333333333304</v>
      </c>
      <c r="J61" s="61">
        <f t="shared" si="0"/>
        <v>-4</v>
      </c>
      <c r="K61" s="59" t="str">
        <f t="shared" si="1"/>
        <v>OK</v>
      </c>
      <c r="L61" s="62" t="s">
        <v>767</v>
      </c>
      <c r="M61" s="5" t="str">
        <f t="shared" si="2"/>
        <v>Tue</v>
      </c>
      <c r="N61" s="63">
        <f t="shared" si="3"/>
        <v>10</v>
      </c>
      <c r="O61" s="5" t="s">
        <v>758</v>
      </c>
      <c r="P61" s="6">
        <v>46309</v>
      </c>
      <c r="Q61" s="5" t="str">
        <f t="shared" si="4"/>
        <v>Current period</v>
      </c>
      <c r="R61" s="5" t="str">
        <f t="array" ref="R61">_xlfn.XLOOKUP(A61,TRIM(SUBSTITUTE('worker file'!$A$2:$A$406,_xlfn.UNICHAR(160)," ")),'worker file'!$D$2:$D$406,"Not found")</f>
        <v>CA</v>
      </c>
    </row>
    <row r="62" spans="1:18" ht="16" x14ac:dyDescent="0.2">
      <c r="A62" s="5" t="s">
        <v>134</v>
      </c>
      <c r="B62" s="6">
        <v>46309</v>
      </c>
      <c r="C62" s="56">
        <v>0.57916666666666705</v>
      </c>
      <c r="D62" s="56">
        <v>0.92847222222222203</v>
      </c>
      <c r="E62" s="57">
        <v>0.75555555555555598</v>
      </c>
      <c r="F62" s="58">
        <v>0.77638888888888902</v>
      </c>
      <c r="G62" s="59" t="str">
        <f t="array" ref="G62">_xlfn.XLOOKUP(A62&amp;"|"&amp;B62,ShiftRoster[Employee ID]&amp;"|"&amp;ShiftRoster[Date],ShiftRoster[Shift Code],_xlfn.XLOOKUP(A62,TRIM(SUBSTITUTE('worker file'!$A$2:$A$406,_xlfn.UNICHAR(160)," ")),'worker file'!$X$2:$X$406,"?"),0,-1)</f>
        <v>SWNG</v>
      </c>
      <c r="H62" s="59" t="str">
        <f>_xlfn.XLOOKUP(G62,ShiftCodes[Code],ShiftCodes[Work Schedule],"Unknown")</f>
        <v>Shift B – Swing (Mon–Fri 14:00–22:30)</v>
      </c>
      <c r="I62" s="60">
        <f>_xlfn.XLOOKUP(G62,ShiftCodes[Code],ShiftCodes[Start],"")</f>
        <v>0.58333333333333304</v>
      </c>
      <c r="J62" s="61">
        <f t="shared" si="0"/>
        <v>-6</v>
      </c>
      <c r="K62" s="59" t="str">
        <f t="shared" si="1"/>
        <v>OK</v>
      </c>
      <c r="L62" s="62"/>
      <c r="M62" s="5" t="str">
        <f t="shared" si="2"/>
        <v>Wed</v>
      </c>
      <c r="N62" s="63">
        <f t="shared" si="3"/>
        <v>7.88</v>
      </c>
      <c r="O62" s="5" t="s">
        <v>758</v>
      </c>
      <c r="P62" s="6">
        <v>46309</v>
      </c>
      <c r="Q62" s="5" t="str">
        <f t="shared" si="4"/>
        <v>Current period</v>
      </c>
      <c r="R62" s="5" t="str">
        <f t="array" ref="R62">_xlfn.XLOOKUP(A62,TRIM(SUBSTITUTE('worker file'!$A$2:$A$406,_xlfn.UNICHAR(160)," ")),'worker file'!$D$2:$D$406,"Not found")</f>
        <v>CA</v>
      </c>
    </row>
    <row r="63" spans="1:18" ht="16" x14ac:dyDescent="0.2">
      <c r="A63" s="5" t="s">
        <v>134</v>
      </c>
      <c r="B63" s="6">
        <v>46310</v>
      </c>
      <c r="C63" s="56">
        <v>0.58125000000000004</v>
      </c>
      <c r="D63" s="56">
        <v>0.93472222222222201</v>
      </c>
      <c r="E63" s="57">
        <v>0.73055555555555596</v>
      </c>
      <c r="F63" s="58">
        <v>0.75138888888888899</v>
      </c>
      <c r="G63" s="59" t="str">
        <f t="array" ref="G63">_xlfn.XLOOKUP(A63&amp;"|"&amp;B63,ShiftRoster[Employee ID]&amp;"|"&amp;ShiftRoster[Date],ShiftRoster[Shift Code],_xlfn.XLOOKUP(A63,TRIM(SUBSTITUTE('worker file'!$A$2:$A$406,_xlfn.UNICHAR(160)," ")),'worker file'!$X$2:$X$406,"?"),0,-1)</f>
        <v>SWNG</v>
      </c>
      <c r="H63" s="59" t="str">
        <f>_xlfn.XLOOKUP(G63,ShiftCodes[Code],ShiftCodes[Work Schedule],"Unknown")</f>
        <v>Shift B – Swing (Mon–Fri 14:00–22:30)</v>
      </c>
      <c r="I63" s="60">
        <f>_xlfn.XLOOKUP(G63,ShiftCodes[Code],ShiftCodes[Start],"")</f>
        <v>0.58333333333333304</v>
      </c>
      <c r="J63" s="61">
        <f t="shared" si="0"/>
        <v>-3</v>
      </c>
      <c r="K63" s="59" t="str">
        <f t="shared" si="1"/>
        <v>OK</v>
      </c>
      <c r="L63" s="62"/>
      <c r="M63" s="5" t="str">
        <f t="shared" si="2"/>
        <v>Thu</v>
      </c>
      <c r="N63" s="63">
        <f t="shared" si="3"/>
        <v>7.98</v>
      </c>
      <c r="O63" s="5" t="s">
        <v>758</v>
      </c>
      <c r="P63" s="6">
        <v>46310</v>
      </c>
      <c r="Q63" s="5" t="str">
        <f t="shared" si="4"/>
        <v>Current period</v>
      </c>
      <c r="R63" s="5" t="str">
        <f t="array" ref="R63">_xlfn.XLOOKUP(A63,TRIM(SUBSTITUTE('worker file'!$A$2:$A$406,_xlfn.UNICHAR(160)," ")),'worker file'!$D$2:$D$406,"Not found")</f>
        <v>CA</v>
      </c>
    </row>
    <row r="64" spans="1:18" ht="16" x14ac:dyDescent="0.2">
      <c r="A64" s="5" t="s">
        <v>134</v>
      </c>
      <c r="B64" s="6">
        <v>46311</v>
      </c>
      <c r="C64" s="56">
        <v>0.58125000000000004</v>
      </c>
      <c r="D64" s="56">
        <v>0.93472222222222201</v>
      </c>
      <c r="E64" s="57">
        <v>0.74583333333333302</v>
      </c>
      <c r="F64" s="58">
        <v>0.76666666666666705</v>
      </c>
      <c r="G64" s="59" t="str">
        <f t="array" ref="G64">_xlfn.XLOOKUP(A64&amp;"|"&amp;B64,ShiftRoster[Employee ID]&amp;"|"&amp;ShiftRoster[Date],ShiftRoster[Shift Code],_xlfn.XLOOKUP(A64,TRIM(SUBSTITUTE('worker file'!$A$2:$A$406,_xlfn.UNICHAR(160)," ")),'worker file'!$X$2:$X$406,"?"),0,-1)</f>
        <v>SWNG</v>
      </c>
      <c r="H64" s="59" t="str">
        <f>_xlfn.XLOOKUP(G64,ShiftCodes[Code],ShiftCodes[Work Schedule],"Unknown")</f>
        <v>Shift B – Swing (Mon–Fri 14:00–22:30)</v>
      </c>
      <c r="I64" s="60">
        <f>_xlfn.XLOOKUP(G64,ShiftCodes[Code],ShiftCodes[Start],"")</f>
        <v>0.58333333333333304</v>
      </c>
      <c r="J64" s="61">
        <f t="shared" si="0"/>
        <v>-3</v>
      </c>
      <c r="K64" s="59" t="str">
        <f t="shared" si="1"/>
        <v>OK</v>
      </c>
      <c r="L64" s="62"/>
      <c r="M64" s="5" t="str">
        <f t="shared" si="2"/>
        <v>Fri</v>
      </c>
      <c r="N64" s="63">
        <f t="shared" si="3"/>
        <v>7.98</v>
      </c>
      <c r="O64" s="5" t="s">
        <v>758</v>
      </c>
      <c r="P64" s="6">
        <v>46311</v>
      </c>
      <c r="Q64" s="5" t="str">
        <f t="shared" si="4"/>
        <v>Current period</v>
      </c>
      <c r="R64" s="5" t="str">
        <f t="array" ref="R64">_xlfn.XLOOKUP(A64,TRIM(SUBSTITUTE('worker file'!$A$2:$A$406,_xlfn.UNICHAR(160)," ")),'worker file'!$D$2:$D$406,"Not found")</f>
        <v>CA</v>
      </c>
    </row>
    <row r="65" spans="1:18" ht="16" x14ac:dyDescent="0.2">
      <c r="A65" s="5" t="s">
        <v>137</v>
      </c>
      <c r="B65" s="6">
        <v>46300</v>
      </c>
      <c r="C65" s="56">
        <v>0.25</v>
      </c>
      <c r="D65" s="56">
        <v>0.60416666666666696</v>
      </c>
      <c r="E65" s="57">
        <v>0.42638888888888898</v>
      </c>
      <c r="F65" s="58">
        <v>0.44722222222222202</v>
      </c>
      <c r="G65" s="59" t="str">
        <f t="array" ref="G65">_xlfn.XLOOKUP(A65&amp;"|"&amp;B65,ShiftRoster[Employee ID]&amp;"|"&amp;ShiftRoster[Date],ShiftRoster[Shift Code],_xlfn.XLOOKUP(A65,TRIM(SUBSTITUTE('worker file'!$A$2:$A$406,_xlfn.UNICHAR(160)," ")),'worker file'!$X$2:$X$406,"?"),0,-1)</f>
        <v>DAY</v>
      </c>
      <c r="H65" s="59" t="str">
        <f>_xlfn.XLOOKUP(G65,ShiftCodes[Code],ShiftCodes[Work Schedule],"Unknown")</f>
        <v>Shift A – Day (Mon–Fri 06:00–14:30)</v>
      </c>
      <c r="I65" s="60">
        <f>_xlfn.XLOOKUP(G65,ShiftCodes[Code],ShiftCodes[Start],"")</f>
        <v>0.25</v>
      </c>
      <c r="J65" s="61">
        <f t="shared" si="0"/>
        <v>0</v>
      </c>
      <c r="K65" s="59" t="str">
        <f t="shared" si="1"/>
        <v>OK</v>
      </c>
      <c r="L65" s="62"/>
      <c r="M65" s="5" t="str">
        <f t="shared" si="2"/>
        <v>Mon</v>
      </c>
      <c r="N65" s="63">
        <f t="shared" si="3"/>
        <v>8</v>
      </c>
      <c r="O65" s="5" t="s">
        <v>758</v>
      </c>
      <c r="P65" s="6">
        <v>46300</v>
      </c>
      <c r="Q65" s="5" t="str">
        <f t="shared" si="4"/>
        <v>Current period</v>
      </c>
      <c r="R65" s="5" t="str">
        <f t="array" ref="R65">_xlfn.XLOOKUP(A65,TRIM(SUBSTITUTE('worker file'!$A$2:$A$406,_xlfn.UNICHAR(160)," ")),'worker file'!$D$2:$D$406,"Not found")</f>
        <v>CA</v>
      </c>
    </row>
    <row r="66" spans="1:18" ht="16" x14ac:dyDescent="0.2">
      <c r="A66" s="5" t="s">
        <v>137</v>
      </c>
      <c r="B66" s="6">
        <v>46301</v>
      </c>
      <c r="C66" s="56">
        <v>0.24791666666666701</v>
      </c>
      <c r="D66" s="56">
        <v>0.59791666666666698</v>
      </c>
      <c r="E66" s="57">
        <v>0.4</v>
      </c>
      <c r="F66" s="58">
        <v>0.420833333333333</v>
      </c>
      <c r="G66" s="59" t="str">
        <f t="array" ref="G66">_xlfn.XLOOKUP(A66&amp;"|"&amp;B66,ShiftRoster[Employee ID]&amp;"|"&amp;ShiftRoster[Date],ShiftRoster[Shift Code],_xlfn.XLOOKUP(A66,TRIM(SUBSTITUTE('worker file'!$A$2:$A$406,_xlfn.UNICHAR(160)," ")),'worker file'!$X$2:$X$406,"?"),0,-1)</f>
        <v>DAY</v>
      </c>
      <c r="H66" s="59" t="str">
        <f>_xlfn.XLOOKUP(G66,ShiftCodes[Code],ShiftCodes[Work Schedule],"Unknown")</f>
        <v>Shift A – Day (Mon–Fri 06:00–14:30)</v>
      </c>
      <c r="I66" s="60">
        <f>_xlfn.XLOOKUP(G66,ShiftCodes[Code],ShiftCodes[Start],"")</f>
        <v>0.25</v>
      </c>
      <c r="J66" s="61">
        <f t="shared" ref="J66:J129" si="5">IF(OR(C66="",I66=""),"",ROUND((MOD(C66-I66+0.5,1)-0.5)*1440,0))</f>
        <v>-3</v>
      </c>
      <c r="K66" s="59" t="str">
        <f t="shared" ref="K66:K129" si="6">IF(J66="","",IF(ABS(J66)&gt;$U$3,"Off-schedule","OK"))</f>
        <v>OK</v>
      </c>
      <c r="L66" s="62"/>
      <c r="M66" s="5" t="str">
        <f t="shared" ref="M66:M129" si="7">TEXT(B66,"ddd")</f>
        <v>Tue</v>
      </c>
      <c r="N66" s="63">
        <f t="shared" ref="N66:N129" si="8">IF(OR(C66="",D66=""),"",ROUND((MOD(D66-C66,1)-IF(ISNUMBER(E66),MOD(F66-E66,1),0))*24,2))</f>
        <v>7.9</v>
      </c>
      <c r="O66" s="5" t="s">
        <v>758</v>
      </c>
      <c r="P66" s="6">
        <v>46301</v>
      </c>
      <c r="Q66" s="5" t="str">
        <f t="shared" ref="Q66:Q129" si="9">IF(B66&lt;$U$1,"Prior period",IF(B66&gt;$U$2,"Future period","Current period"))</f>
        <v>Current period</v>
      </c>
      <c r="R66" s="5" t="str">
        <f t="array" ref="R66">_xlfn.XLOOKUP(A66,TRIM(SUBSTITUTE('worker file'!$A$2:$A$406,_xlfn.UNICHAR(160)," ")),'worker file'!$D$2:$D$406,"Not found")</f>
        <v>CA</v>
      </c>
    </row>
    <row r="67" spans="1:18" ht="16" x14ac:dyDescent="0.2">
      <c r="A67" s="5" t="s">
        <v>137</v>
      </c>
      <c r="B67" s="6">
        <v>46302</v>
      </c>
      <c r="C67" s="56">
        <v>0.24722222222222201</v>
      </c>
      <c r="D67" s="56">
        <v>0.59791666666666698</v>
      </c>
      <c r="E67" s="57">
        <v>0.41180555555555598</v>
      </c>
      <c r="F67" s="58">
        <v>0.43263888888888902</v>
      </c>
      <c r="G67" s="59" t="str">
        <f t="array" ref="G67">_xlfn.XLOOKUP(A67&amp;"|"&amp;B67,ShiftRoster[Employee ID]&amp;"|"&amp;ShiftRoster[Date],ShiftRoster[Shift Code],_xlfn.XLOOKUP(A67,TRIM(SUBSTITUTE('worker file'!$A$2:$A$406,_xlfn.UNICHAR(160)," ")),'worker file'!$X$2:$X$406,"?"),0,-1)</f>
        <v>DAY</v>
      </c>
      <c r="H67" s="59" t="str">
        <f>_xlfn.XLOOKUP(G67,ShiftCodes[Code],ShiftCodes[Work Schedule],"Unknown")</f>
        <v>Shift A – Day (Mon–Fri 06:00–14:30)</v>
      </c>
      <c r="I67" s="60">
        <f>_xlfn.XLOOKUP(G67,ShiftCodes[Code],ShiftCodes[Start],"")</f>
        <v>0.25</v>
      </c>
      <c r="J67" s="61">
        <f t="shared" si="5"/>
        <v>-4</v>
      </c>
      <c r="K67" s="59" t="str">
        <f t="shared" si="6"/>
        <v>OK</v>
      </c>
      <c r="L67" s="62"/>
      <c r="M67" s="5" t="str">
        <f t="shared" si="7"/>
        <v>Wed</v>
      </c>
      <c r="N67" s="63">
        <f t="shared" si="8"/>
        <v>7.92</v>
      </c>
      <c r="O67" s="5" t="s">
        <v>758</v>
      </c>
      <c r="P67" s="6">
        <v>46302</v>
      </c>
      <c r="Q67" s="5" t="str">
        <f t="shared" si="9"/>
        <v>Current period</v>
      </c>
      <c r="R67" s="5" t="str">
        <f t="array" ref="R67">_xlfn.XLOOKUP(A67,TRIM(SUBSTITUTE('worker file'!$A$2:$A$406,_xlfn.UNICHAR(160)," ")),'worker file'!$D$2:$D$406,"Not found")</f>
        <v>CA</v>
      </c>
    </row>
    <row r="68" spans="1:18" ht="16" x14ac:dyDescent="0.2">
      <c r="A68" s="5" t="s">
        <v>137</v>
      </c>
      <c r="B68" s="6">
        <v>46303</v>
      </c>
      <c r="C68" s="56">
        <v>0.25208333333333299</v>
      </c>
      <c r="D68" s="56">
        <v>0.60624999999999996</v>
      </c>
      <c r="E68" s="57">
        <v>0.42013888888888901</v>
      </c>
      <c r="F68" s="58">
        <v>0.44097222222222199</v>
      </c>
      <c r="G68" s="59" t="str">
        <f t="array" ref="G68">_xlfn.XLOOKUP(A68&amp;"|"&amp;B68,ShiftRoster[Employee ID]&amp;"|"&amp;ShiftRoster[Date],ShiftRoster[Shift Code],_xlfn.XLOOKUP(A68,TRIM(SUBSTITUTE('worker file'!$A$2:$A$406,_xlfn.UNICHAR(160)," ")),'worker file'!$X$2:$X$406,"?"),0,-1)</f>
        <v>DAY</v>
      </c>
      <c r="H68" s="59" t="str">
        <f>_xlfn.XLOOKUP(G68,ShiftCodes[Code],ShiftCodes[Work Schedule],"Unknown")</f>
        <v>Shift A – Day (Mon–Fri 06:00–14:30)</v>
      </c>
      <c r="I68" s="60">
        <f>_xlfn.XLOOKUP(G68,ShiftCodes[Code],ShiftCodes[Start],"")</f>
        <v>0.25</v>
      </c>
      <c r="J68" s="61">
        <f t="shared" si="5"/>
        <v>3</v>
      </c>
      <c r="K68" s="59" t="str">
        <f t="shared" si="6"/>
        <v>OK</v>
      </c>
      <c r="L68" s="62"/>
      <c r="M68" s="5" t="str">
        <f t="shared" si="7"/>
        <v>Thu</v>
      </c>
      <c r="N68" s="63">
        <f t="shared" si="8"/>
        <v>8</v>
      </c>
      <c r="O68" s="5" t="s">
        <v>758</v>
      </c>
      <c r="P68" s="6">
        <v>46303</v>
      </c>
      <c r="Q68" s="5" t="str">
        <f t="shared" si="9"/>
        <v>Current period</v>
      </c>
      <c r="R68" s="5" t="str">
        <f t="array" ref="R68">_xlfn.XLOOKUP(A68,TRIM(SUBSTITUTE('worker file'!$A$2:$A$406,_xlfn.UNICHAR(160)," ")),'worker file'!$D$2:$D$406,"Not found")</f>
        <v>CA</v>
      </c>
    </row>
    <row r="69" spans="1:18" ht="16" x14ac:dyDescent="0.2">
      <c r="A69" s="5" t="s">
        <v>137</v>
      </c>
      <c r="B69" s="6">
        <v>46304</v>
      </c>
      <c r="C69" s="56">
        <v>0.24791666666666701</v>
      </c>
      <c r="D69" s="56">
        <v>0.59861111111111098</v>
      </c>
      <c r="E69" s="57">
        <v>0.47708333333333303</v>
      </c>
      <c r="F69" s="58">
        <v>0.49791666666666701</v>
      </c>
      <c r="G69" s="59" t="str">
        <f t="array" ref="G69">_xlfn.XLOOKUP(A69&amp;"|"&amp;B69,ShiftRoster[Employee ID]&amp;"|"&amp;ShiftRoster[Date],ShiftRoster[Shift Code],_xlfn.XLOOKUP(A69,TRIM(SUBSTITUTE('worker file'!$A$2:$A$406,_xlfn.UNICHAR(160)," ")),'worker file'!$X$2:$X$406,"?"),0,-1)</f>
        <v>DAY</v>
      </c>
      <c r="H69" s="59" t="str">
        <f>_xlfn.XLOOKUP(G69,ShiftCodes[Code],ShiftCodes[Work Schedule],"Unknown")</f>
        <v>Shift A – Day (Mon–Fri 06:00–14:30)</v>
      </c>
      <c r="I69" s="60">
        <f>_xlfn.XLOOKUP(G69,ShiftCodes[Code],ShiftCodes[Start],"")</f>
        <v>0.25</v>
      </c>
      <c r="J69" s="61">
        <f t="shared" si="5"/>
        <v>-3</v>
      </c>
      <c r="K69" s="59" t="str">
        <f t="shared" si="6"/>
        <v>OK</v>
      </c>
      <c r="L69" s="62" t="s">
        <v>768</v>
      </c>
      <c r="M69" s="5" t="str">
        <f t="shared" si="7"/>
        <v>Fri</v>
      </c>
      <c r="N69" s="63">
        <f t="shared" si="8"/>
        <v>7.92</v>
      </c>
      <c r="O69" s="5" t="s">
        <v>758</v>
      </c>
      <c r="P69" s="6">
        <v>46304</v>
      </c>
      <c r="Q69" s="5" t="str">
        <f t="shared" si="9"/>
        <v>Current period</v>
      </c>
      <c r="R69" s="5" t="str">
        <f t="array" ref="R69">_xlfn.XLOOKUP(A69,TRIM(SUBSTITUTE('worker file'!$A$2:$A$406,_xlfn.UNICHAR(160)," ")),'worker file'!$D$2:$D$406,"Not found")</f>
        <v>CA</v>
      </c>
    </row>
    <row r="70" spans="1:18" ht="16" x14ac:dyDescent="0.2">
      <c r="A70" s="5" t="s">
        <v>137</v>
      </c>
      <c r="B70" s="6">
        <v>46307</v>
      </c>
      <c r="C70" s="56">
        <v>0.25</v>
      </c>
      <c r="D70" s="56">
        <v>0.6</v>
      </c>
      <c r="E70" s="57">
        <v>0.420833333333333</v>
      </c>
      <c r="F70" s="58">
        <v>0.44166666666666698</v>
      </c>
      <c r="G70" s="59" t="str">
        <f t="array" ref="G70">_xlfn.XLOOKUP(A70&amp;"|"&amp;B70,ShiftRoster[Employee ID]&amp;"|"&amp;ShiftRoster[Date],ShiftRoster[Shift Code],_xlfn.XLOOKUP(A70,TRIM(SUBSTITUTE('worker file'!$A$2:$A$406,_xlfn.UNICHAR(160)," ")),'worker file'!$X$2:$X$406,"?"),0,-1)</f>
        <v>DAY</v>
      </c>
      <c r="H70" s="59" t="str">
        <f>_xlfn.XLOOKUP(G70,ShiftCodes[Code],ShiftCodes[Work Schedule],"Unknown")</f>
        <v>Shift A – Day (Mon–Fri 06:00–14:30)</v>
      </c>
      <c r="I70" s="60">
        <f>_xlfn.XLOOKUP(G70,ShiftCodes[Code],ShiftCodes[Start],"")</f>
        <v>0.25</v>
      </c>
      <c r="J70" s="61">
        <f t="shared" si="5"/>
        <v>0</v>
      </c>
      <c r="K70" s="59" t="str">
        <f t="shared" si="6"/>
        <v>OK</v>
      </c>
      <c r="L70" s="62"/>
      <c r="M70" s="5" t="str">
        <f t="shared" si="7"/>
        <v>Mon</v>
      </c>
      <c r="N70" s="63">
        <f t="shared" si="8"/>
        <v>7.9</v>
      </c>
      <c r="O70" s="5" t="s">
        <v>758</v>
      </c>
      <c r="P70" s="6">
        <v>46307</v>
      </c>
      <c r="Q70" s="5" t="str">
        <f t="shared" si="9"/>
        <v>Current period</v>
      </c>
      <c r="R70" s="5" t="str">
        <f t="array" ref="R70">_xlfn.XLOOKUP(A70,TRIM(SUBSTITUTE('worker file'!$A$2:$A$406,_xlfn.UNICHAR(160)," ")),'worker file'!$D$2:$D$406,"Not found")</f>
        <v>CA</v>
      </c>
    </row>
    <row r="71" spans="1:18" ht="16" x14ac:dyDescent="0.2">
      <c r="A71" s="5" t="s">
        <v>137</v>
      </c>
      <c r="B71" s="6">
        <v>46308</v>
      </c>
      <c r="C71" s="56">
        <v>0.25208333333333299</v>
      </c>
      <c r="D71" s="56">
        <v>0.60138888888888897</v>
      </c>
      <c r="E71" s="57">
        <v>0.4</v>
      </c>
      <c r="F71" s="58">
        <v>0.420833333333333</v>
      </c>
      <c r="G71" s="59" t="str">
        <f t="array" ref="G71">_xlfn.XLOOKUP(A71&amp;"|"&amp;B71,ShiftRoster[Employee ID]&amp;"|"&amp;ShiftRoster[Date],ShiftRoster[Shift Code],_xlfn.XLOOKUP(A71,TRIM(SUBSTITUTE('worker file'!$A$2:$A$406,_xlfn.UNICHAR(160)," ")),'worker file'!$X$2:$X$406,"?"),0,-1)</f>
        <v>DAY</v>
      </c>
      <c r="H71" s="59" t="str">
        <f>_xlfn.XLOOKUP(G71,ShiftCodes[Code],ShiftCodes[Work Schedule],"Unknown")</f>
        <v>Shift A – Day (Mon–Fri 06:00–14:30)</v>
      </c>
      <c r="I71" s="60">
        <f>_xlfn.XLOOKUP(G71,ShiftCodes[Code],ShiftCodes[Start],"")</f>
        <v>0.25</v>
      </c>
      <c r="J71" s="61">
        <f t="shared" si="5"/>
        <v>3</v>
      </c>
      <c r="K71" s="59" t="str">
        <f t="shared" si="6"/>
        <v>OK</v>
      </c>
      <c r="L71" s="62"/>
      <c r="M71" s="5" t="str">
        <f t="shared" si="7"/>
        <v>Tue</v>
      </c>
      <c r="N71" s="63">
        <f t="shared" si="8"/>
        <v>7.88</v>
      </c>
      <c r="O71" s="5" t="s">
        <v>758</v>
      </c>
      <c r="P71" s="6">
        <v>46308</v>
      </c>
      <c r="Q71" s="5" t="str">
        <f t="shared" si="9"/>
        <v>Current period</v>
      </c>
      <c r="R71" s="5" t="str">
        <f t="array" ref="R71">_xlfn.XLOOKUP(A71,TRIM(SUBSTITUTE('worker file'!$A$2:$A$406,_xlfn.UNICHAR(160)," ")),'worker file'!$D$2:$D$406,"Not found")</f>
        <v>CA</v>
      </c>
    </row>
    <row r="72" spans="1:18" ht="16" x14ac:dyDescent="0.2">
      <c r="A72" s="5" t="s">
        <v>137</v>
      </c>
      <c r="B72" s="6">
        <v>46309</v>
      </c>
      <c r="C72" s="65">
        <v>0.25</v>
      </c>
      <c r="D72" s="65">
        <v>0.60416666666666696</v>
      </c>
      <c r="E72" s="66">
        <v>0.41666666666666702</v>
      </c>
      <c r="F72" s="67">
        <v>0.4375</v>
      </c>
      <c r="G72" s="59" t="str">
        <f t="array" ref="G72">_xlfn.XLOOKUP(A72&amp;"|"&amp;B72,ShiftRoster[Employee ID]&amp;"|"&amp;ShiftRoster[Date],ShiftRoster[Shift Code],_xlfn.XLOOKUP(A72,TRIM(SUBSTITUTE('worker file'!$A$2:$A$406,_xlfn.UNICHAR(160)," ")),'worker file'!$X$2:$X$406,"?"),0,-1)</f>
        <v>DAY</v>
      </c>
      <c r="H72" s="59" t="str">
        <f>_xlfn.XLOOKUP(G72,ShiftCodes[Code],ShiftCodes[Work Schedule],"Unknown")</f>
        <v>Shift A – Day (Mon–Fri 06:00–14:30)</v>
      </c>
      <c r="I72" s="60">
        <f>_xlfn.XLOOKUP(G72,ShiftCodes[Code],ShiftCodes[Start],"")</f>
        <v>0.25</v>
      </c>
      <c r="J72" s="61">
        <f t="shared" si="5"/>
        <v>0</v>
      </c>
      <c r="K72" s="59" t="str">
        <f t="shared" si="6"/>
        <v>OK</v>
      </c>
      <c r="L72" s="62" t="s">
        <v>769</v>
      </c>
      <c r="M72" s="5" t="str">
        <f t="shared" si="7"/>
        <v>Wed</v>
      </c>
      <c r="N72" s="63">
        <f t="shared" si="8"/>
        <v>8</v>
      </c>
      <c r="O72" s="5" t="s">
        <v>770</v>
      </c>
      <c r="P72" s="6">
        <v>46312</v>
      </c>
      <c r="Q72" s="5" t="str">
        <f t="shared" si="9"/>
        <v>Current period</v>
      </c>
      <c r="R72" s="5" t="str">
        <f t="array" ref="R72">_xlfn.XLOOKUP(A72,TRIM(SUBSTITUTE('worker file'!$A$2:$A$406,_xlfn.UNICHAR(160)," ")),'worker file'!$D$2:$D$406,"Not found")</f>
        <v>CA</v>
      </c>
    </row>
    <row r="73" spans="1:18" ht="16" x14ac:dyDescent="0.2">
      <c r="A73" s="5" t="s">
        <v>139</v>
      </c>
      <c r="B73" s="6">
        <v>46300</v>
      </c>
      <c r="C73" s="56">
        <v>0.24652777777777801</v>
      </c>
      <c r="D73" s="56">
        <v>0.60138888888888897</v>
      </c>
      <c r="E73" s="57">
        <v>0.41458333333333303</v>
      </c>
      <c r="F73" s="58">
        <v>0.43541666666666701</v>
      </c>
      <c r="G73" s="59" t="str">
        <f t="array" ref="G73">_xlfn.XLOOKUP(A73&amp;"|"&amp;B73,ShiftRoster[Employee ID]&amp;"|"&amp;ShiftRoster[Date],ShiftRoster[Shift Code],_xlfn.XLOOKUP(A73,TRIM(SUBSTITUTE('worker file'!$A$2:$A$406,_xlfn.UNICHAR(160)," ")),'worker file'!$X$2:$X$406,"?"),0,-1)</f>
        <v>PT</v>
      </c>
      <c r="H73" s="59" t="str">
        <f>_xlfn.XLOOKUP(G73,ShiftCodes[Code],ShiftCodes[Work Schedule],"Unknown")</f>
        <v>Part-time – Day (Mon/Wed/Fri 06:00–14:30)</v>
      </c>
      <c r="I73" s="60">
        <f>_xlfn.XLOOKUP(G73,ShiftCodes[Code],ShiftCodes[Start],"")</f>
        <v>0.25</v>
      </c>
      <c r="J73" s="61">
        <f t="shared" si="5"/>
        <v>-5</v>
      </c>
      <c r="K73" s="59" t="str">
        <f t="shared" si="6"/>
        <v>OK</v>
      </c>
      <c r="L73" s="62"/>
      <c r="M73" s="5" t="str">
        <f t="shared" si="7"/>
        <v>Mon</v>
      </c>
      <c r="N73" s="63">
        <f t="shared" si="8"/>
        <v>8.02</v>
      </c>
      <c r="O73" s="5" t="s">
        <v>758</v>
      </c>
      <c r="P73" s="6">
        <v>46300</v>
      </c>
      <c r="Q73" s="5" t="str">
        <f t="shared" si="9"/>
        <v>Current period</v>
      </c>
      <c r="R73" s="5" t="str">
        <f t="array" ref="R73">_xlfn.XLOOKUP(A73,TRIM(SUBSTITUTE('worker file'!$A$2:$A$406,_xlfn.UNICHAR(160)," ")),'worker file'!$D$2:$D$406,"Not found")</f>
        <v>CA</v>
      </c>
    </row>
    <row r="74" spans="1:18" ht="16" x14ac:dyDescent="0.2">
      <c r="A74" s="5" t="s">
        <v>139</v>
      </c>
      <c r="B74" s="6">
        <v>46302</v>
      </c>
      <c r="C74" s="56">
        <v>0.25138888888888899</v>
      </c>
      <c r="D74" s="56">
        <v>0.60347222222222197</v>
      </c>
      <c r="E74" s="57">
        <v>0.41875000000000001</v>
      </c>
      <c r="F74" s="58">
        <v>0.43958333333333299</v>
      </c>
      <c r="G74" s="59" t="str">
        <f t="array" ref="G74">_xlfn.XLOOKUP(A74&amp;"|"&amp;B74,ShiftRoster[Employee ID]&amp;"|"&amp;ShiftRoster[Date],ShiftRoster[Shift Code],_xlfn.XLOOKUP(A74,TRIM(SUBSTITUTE('worker file'!$A$2:$A$406,_xlfn.UNICHAR(160)," ")),'worker file'!$X$2:$X$406,"?"),0,-1)</f>
        <v>PT</v>
      </c>
      <c r="H74" s="59" t="str">
        <f>_xlfn.XLOOKUP(G74,ShiftCodes[Code],ShiftCodes[Work Schedule],"Unknown")</f>
        <v>Part-time – Day (Mon/Wed/Fri 06:00–14:30)</v>
      </c>
      <c r="I74" s="60">
        <f>_xlfn.XLOOKUP(G74,ShiftCodes[Code],ShiftCodes[Start],"")</f>
        <v>0.25</v>
      </c>
      <c r="J74" s="61">
        <f t="shared" si="5"/>
        <v>2</v>
      </c>
      <c r="K74" s="59" t="str">
        <f t="shared" si="6"/>
        <v>OK</v>
      </c>
      <c r="L74" s="62"/>
      <c r="M74" s="5" t="str">
        <f t="shared" si="7"/>
        <v>Wed</v>
      </c>
      <c r="N74" s="63">
        <f t="shared" si="8"/>
        <v>7.95</v>
      </c>
      <c r="O74" s="5" t="s">
        <v>758</v>
      </c>
      <c r="P74" s="6">
        <v>46302</v>
      </c>
      <c r="Q74" s="5" t="str">
        <f t="shared" si="9"/>
        <v>Current period</v>
      </c>
      <c r="R74" s="5" t="str">
        <f t="array" ref="R74">_xlfn.XLOOKUP(A74,TRIM(SUBSTITUTE('worker file'!$A$2:$A$406,_xlfn.UNICHAR(160)," ")),'worker file'!$D$2:$D$406,"Not found")</f>
        <v>CA</v>
      </c>
    </row>
    <row r="75" spans="1:18" ht="16" x14ac:dyDescent="0.2">
      <c r="A75" s="5" t="s">
        <v>139</v>
      </c>
      <c r="B75" s="6">
        <v>46304</v>
      </c>
      <c r="C75" s="56">
        <v>0.24861111111111101</v>
      </c>
      <c r="D75" s="56">
        <v>0.60555555555555596</v>
      </c>
      <c r="E75" s="57">
        <v>0.41527777777777802</v>
      </c>
      <c r="F75" s="58">
        <v>0.43611111111111101</v>
      </c>
      <c r="G75" s="59" t="str">
        <f t="array" ref="G75">_xlfn.XLOOKUP(A75&amp;"|"&amp;B75,ShiftRoster[Employee ID]&amp;"|"&amp;ShiftRoster[Date],ShiftRoster[Shift Code],_xlfn.XLOOKUP(A75,TRIM(SUBSTITUTE('worker file'!$A$2:$A$406,_xlfn.UNICHAR(160)," ")),'worker file'!$X$2:$X$406,"?"),0,-1)</f>
        <v>PT</v>
      </c>
      <c r="H75" s="59" t="str">
        <f>_xlfn.XLOOKUP(G75,ShiftCodes[Code],ShiftCodes[Work Schedule],"Unknown")</f>
        <v>Part-time – Day (Mon/Wed/Fri 06:00–14:30)</v>
      </c>
      <c r="I75" s="60">
        <f>_xlfn.XLOOKUP(G75,ShiftCodes[Code],ShiftCodes[Start],"")</f>
        <v>0.25</v>
      </c>
      <c r="J75" s="61">
        <f t="shared" si="5"/>
        <v>-2</v>
      </c>
      <c r="K75" s="59" t="str">
        <f t="shared" si="6"/>
        <v>OK</v>
      </c>
      <c r="L75" s="62"/>
      <c r="M75" s="5" t="str">
        <f t="shared" si="7"/>
        <v>Fri</v>
      </c>
      <c r="N75" s="63">
        <f t="shared" si="8"/>
        <v>8.07</v>
      </c>
      <c r="O75" s="5" t="s">
        <v>758</v>
      </c>
      <c r="P75" s="6">
        <v>46304</v>
      </c>
      <c r="Q75" s="5" t="str">
        <f t="shared" si="9"/>
        <v>Current period</v>
      </c>
      <c r="R75" s="5" t="str">
        <f t="array" ref="R75">_xlfn.XLOOKUP(A75,TRIM(SUBSTITUTE('worker file'!$A$2:$A$406,_xlfn.UNICHAR(160)," ")),'worker file'!$D$2:$D$406,"Not found")</f>
        <v>CA</v>
      </c>
    </row>
    <row r="76" spans="1:18" ht="16" x14ac:dyDescent="0.2">
      <c r="A76" s="5" t="s">
        <v>139</v>
      </c>
      <c r="B76" s="6">
        <v>46307</v>
      </c>
      <c r="C76" s="56">
        <v>0.25208333333333299</v>
      </c>
      <c r="D76" s="56">
        <v>0.60486111111111096</v>
      </c>
      <c r="E76" s="57">
        <v>0.420833333333333</v>
      </c>
      <c r="F76" s="58">
        <v>0.44166666666666698</v>
      </c>
      <c r="G76" s="59" t="str">
        <f t="array" ref="G76">_xlfn.XLOOKUP(A76&amp;"|"&amp;B76,ShiftRoster[Employee ID]&amp;"|"&amp;ShiftRoster[Date],ShiftRoster[Shift Code],_xlfn.XLOOKUP(A76,TRIM(SUBSTITUTE('worker file'!$A$2:$A$406,_xlfn.UNICHAR(160)," ")),'worker file'!$X$2:$X$406,"?"),0,-1)</f>
        <v>PT</v>
      </c>
      <c r="H76" s="59" t="str">
        <f>_xlfn.XLOOKUP(G76,ShiftCodes[Code],ShiftCodes[Work Schedule],"Unknown")</f>
        <v>Part-time – Day (Mon/Wed/Fri 06:00–14:30)</v>
      </c>
      <c r="I76" s="60">
        <f>_xlfn.XLOOKUP(G76,ShiftCodes[Code],ShiftCodes[Start],"")</f>
        <v>0.25</v>
      </c>
      <c r="J76" s="61">
        <f t="shared" si="5"/>
        <v>3</v>
      </c>
      <c r="K76" s="59" t="str">
        <f t="shared" si="6"/>
        <v>OK</v>
      </c>
      <c r="L76" s="62"/>
      <c r="M76" s="5" t="str">
        <f t="shared" si="7"/>
        <v>Mon</v>
      </c>
      <c r="N76" s="63">
        <f t="shared" si="8"/>
        <v>7.97</v>
      </c>
      <c r="O76" s="5" t="s">
        <v>758</v>
      </c>
      <c r="P76" s="6">
        <v>46307</v>
      </c>
      <c r="Q76" s="5" t="str">
        <f t="shared" si="9"/>
        <v>Current period</v>
      </c>
      <c r="R76" s="5" t="str">
        <f t="array" ref="R76">_xlfn.XLOOKUP(A76,TRIM(SUBSTITUTE('worker file'!$A$2:$A$406,_xlfn.UNICHAR(160)," ")),'worker file'!$D$2:$D$406,"Not found")</f>
        <v>CA</v>
      </c>
    </row>
    <row r="77" spans="1:18" ht="16" x14ac:dyDescent="0.2">
      <c r="A77" s="5" t="s">
        <v>139</v>
      </c>
      <c r="B77" s="6">
        <v>46309</v>
      </c>
      <c r="C77" s="56">
        <v>0.249305555555556</v>
      </c>
      <c r="D77" s="56">
        <v>0.60694444444444495</v>
      </c>
      <c r="E77" s="57">
        <v>0.41736111111111102</v>
      </c>
      <c r="F77" s="58">
        <v>0.438194444444444</v>
      </c>
      <c r="G77" s="59" t="str">
        <f t="array" ref="G77">_xlfn.XLOOKUP(A77&amp;"|"&amp;B77,ShiftRoster[Employee ID]&amp;"|"&amp;ShiftRoster[Date],ShiftRoster[Shift Code],_xlfn.XLOOKUP(A77,TRIM(SUBSTITUTE('worker file'!$A$2:$A$406,_xlfn.UNICHAR(160)," ")),'worker file'!$X$2:$X$406,"?"),0,-1)</f>
        <v>PT</v>
      </c>
      <c r="H77" s="59" t="str">
        <f>_xlfn.XLOOKUP(G77,ShiftCodes[Code],ShiftCodes[Work Schedule],"Unknown")</f>
        <v>Part-time – Day (Mon/Wed/Fri 06:00–14:30)</v>
      </c>
      <c r="I77" s="60">
        <f>_xlfn.XLOOKUP(G77,ShiftCodes[Code],ShiftCodes[Start],"")</f>
        <v>0.25</v>
      </c>
      <c r="J77" s="61">
        <f t="shared" si="5"/>
        <v>-1</v>
      </c>
      <c r="K77" s="59" t="str">
        <f t="shared" si="6"/>
        <v>OK</v>
      </c>
      <c r="L77" s="62"/>
      <c r="M77" s="5" t="str">
        <f t="shared" si="7"/>
        <v>Wed</v>
      </c>
      <c r="N77" s="63">
        <f t="shared" si="8"/>
        <v>8.08</v>
      </c>
      <c r="O77" s="5" t="s">
        <v>758</v>
      </c>
      <c r="P77" s="6">
        <v>46309</v>
      </c>
      <c r="Q77" s="5" t="str">
        <f t="shared" si="9"/>
        <v>Current period</v>
      </c>
      <c r="R77" s="5" t="str">
        <f t="array" ref="R77">_xlfn.XLOOKUP(A77,TRIM(SUBSTITUTE('worker file'!$A$2:$A$406,_xlfn.UNICHAR(160)," ")),'worker file'!$D$2:$D$406,"Not found")</f>
        <v>CA</v>
      </c>
    </row>
    <row r="78" spans="1:18" ht="16" x14ac:dyDescent="0.2">
      <c r="A78" s="5" t="s">
        <v>139</v>
      </c>
      <c r="B78" s="6">
        <v>46311</v>
      </c>
      <c r="C78" s="56">
        <v>0.24791666666666701</v>
      </c>
      <c r="D78" s="56">
        <v>0.60416666666666696</v>
      </c>
      <c r="E78" s="57">
        <v>0.41736111111111102</v>
      </c>
      <c r="F78" s="58">
        <v>0.438194444444444</v>
      </c>
      <c r="G78" s="59" t="str">
        <f t="array" ref="G78">_xlfn.XLOOKUP(A78&amp;"|"&amp;B78,ShiftRoster[Employee ID]&amp;"|"&amp;ShiftRoster[Date],ShiftRoster[Shift Code],_xlfn.XLOOKUP(A78,TRIM(SUBSTITUTE('worker file'!$A$2:$A$406,_xlfn.UNICHAR(160)," ")),'worker file'!$X$2:$X$406,"?"),0,-1)</f>
        <v>PT</v>
      </c>
      <c r="H78" s="59" t="str">
        <f>_xlfn.XLOOKUP(G78,ShiftCodes[Code],ShiftCodes[Work Schedule],"Unknown")</f>
        <v>Part-time – Day (Mon/Wed/Fri 06:00–14:30)</v>
      </c>
      <c r="I78" s="60">
        <f>_xlfn.XLOOKUP(G78,ShiftCodes[Code],ShiftCodes[Start],"")</f>
        <v>0.25</v>
      </c>
      <c r="J78" s="61">
        <f t="shared" si="5"/>
        <v>-3</v>
      </c>
      <c r="K78" s="59" t="str">
        <f t="shared" si="6"/>
        <v>OK</v>
      </c>
      <c r="L78" s="62"/>
      <c r="M78" s="5" t="str">
        <f t="shared" si="7"/>
        <v>Fri</v>
      </c>
      <c r="N78" s="63">
        <f t="shared" si="8"/>
        <v>8.0500000000000007</v>
      </c>
      <c r="O78" s="5" t="s">
        <v>758</v>
      </c>
      <c r="P78" s="6">
        <v>46311</v>
      </c>
      <c r="Q78" s="5" t="str">
        <f t="shared" si="9"/>
        <v>Current period</v>
      </c>
      <c r="R78" s="5" t="str">
        <f t="array" ref="R78">_xlfn.XLOOKUP(A78,TRIM(SUBSTITUTE('worker file'!$A$2:$A$406,_xlfn.UNICHAR(160)," ")),'worker file'!$D$2:$D$406,"Not found")</f>
        <v>CA</v>
      </c>
    </row>
    <row r="79" spans="1:18" ht="16" x14ac:dyDescent="0.2">
      <c r="A79" s="5" t="s">
        <v>147</v>
      </c>
      <c r="B79" s="6">
        <v>46300</v>
      </c>
      <c r="C79" s="56">
        <v>0.25277777777777799</v>
      </c>
      <c r="D79" s="56">
        <v>0.60208333333333297</v>
      </c>
      <c r="E79" s="57">
        <v>0.422222222222222</v>
      </c>
      <c r="F79" s="58">
        <v>0.44305555555555598</v>
      </c>
      <c r="G79" s="59" t="str">
        <f t="array" ref="G79">_xlfn.XLOOKUP(A79&amp;"|"&amp;B79,ShiftRoster[Employee ID]&amp;"|"&amp;ShiftRoster[Date],ShiftRoster[Shift Code],_xlfn.XLOOKUP(A79,TRIM(SUBSTITUTE('worker file'!$A$2:$A$406,_xlfn.UNICHAR(160)," ")),'worker file'!$X$2:$X$406,"?"),0,-1)</f>
        <v>DAY</v>
      </c>
      <c r="H79" s="59" t="str">
        <f>_xlfn.XLOOKUP(G79,ShiftCodes[Code],ShiftCodes[Work Schedule],"Unknown")</f>
        <v>Shift A – Day (Mon–Fri 06:00–14:30)</v>
      </c>
      <c r="I79" s="60">
        <f>_xlfn.XLOOKUP(G79,ShiftCodes[Code],ShiftCodes[Start],"")</f>
        <v>0.25</v>
      </c>
      <c r="J79" s="61">
        <f t="shared" si="5"/>
        <v>4</v>
      </c>
      <c r="K79" s="59" t="str">
        <f t="shared" si="6"/>
        <v>OK</v>
      </c>
      <c r="L79" s="62"/>
      <c r="M79" s="5" t="str">
        <f t="shared" si="7"/>
        <v>Mon</v>
      </c>
      <c r="N79" s="63">
        <f t="shared" si="8"/>
        <v>7.88</v>
      </c>
      <c r="O79" s="5" t="s">
        <v>758</v>
      </c>
      <c r="P79" s="6">
        <v>46300</v>
      </c>
      <c r="Q79" s="5" t="str">
        <f t="shared" si="9"/>
        <v>Current period</v>
      </c>
      <c r="R79" s="5" t="str">
        <f t="array" ref="R79">_xlfn.XLOOKUP(A79,TRIM(SUBSTITUTE('worker file'!$A$2:$A$406,_xlfn.UNICHAR(160)," ")),'worker file'!$D$2:$D$406,"Not found")</f>
        <v>CA</v>
      </c>
    </row>
    <row r="80" spans="1:18" ht="16" x14ac:dyDescent="0.2">
      <c r="A80" s="5" t="s">
        <v>147</v>
      </c>
      <c r="B80" s="6">
        <v>46301</v>
      </c>
      <c r="C80" s="56">
        <v>0.250694444444444</v>
      </c>
      <c r="D80" s="56">
        <v>0.60138888888888897</v>
      </c>
      <c r="E80" s="57">
        <v>0.4</v>
      </c>
      <c r="F80" s="58">
        <v>0.420833333333333</v>
      </c>
      <c r="G80" s="59" t="str">
        <f t="array" ref="G80">_xlfn.XLOOKUP(A80&amp;"|"&amp;B80,ShiftRoster[Employee ID]&amp;"|"&amp;ShiftRoster[Date],ShiftRoster[Shift Code],_xlfn.XLOOKUP(A80,TRIM(SUBSTITUTE('worker file'!$A$2:$A$406,_xlfn.UNICHAR(160)," ")),'worker file'!$X$2:$X$406,"?"),0,-1)</f>
        <v>DAY</v>
      </c>
      <c r="H80" s="59" t="str">
        <f>_xlfn.XLOOKUP(G80,ShiftCodes[Code],ShiftCodes[Work Schedule],"Unknown")</f>
        <v>Shift A – Day (Mon–Fri 06:00–14:30)</v>
      </c>
      <c r="I80" s="60">
        <f>_xlfn.XLOOKUP(G80,ShiftCodes[Code],ShiftCodes[Start],"")</f>
        <v>0.25</v>
      </c>
      <c r="J80" s="61">
        <f t="shared" si="5"/>
        <v>1</v>
      </c>
      <c r="K80" s="59" t="str">
        <f t="shared" si="6"/>
        <v>OK</v>
      </c>
      <c r="L80" s="62"/>
      <c r="M80" s="5" t="str">
        <f t="shared" si="7"/>
        <v>Tue</v>
      </c>
      <c r="N80" s="63">
        <f t="shared" si="8"/>
        <v>7.92</v>
      </c>
      <c r="O80" s="5" t="s">
        <v>758</v>
      </c>
      <c r="P80" s="6">
        <v>46301</v>
      </c>
      <c r="Q80" s="5" t="str">
        <f t="shared" si="9"/>
        <v>Current period</v>
      </c>
      <c r="R80" s="5" t="str">
        <f t="array" ref="R80">_xlfn.XLOOKUP(A80,TRIM(SUBSTITUTE('worker file'!$A$2:$A$406,_xlfn.UNICHAR(160)," ")),'worker file'!$D$2:$D$406,"Not found")</f>
        <v>CA</v>
      </c>
    </row>
    <row r="81" spans="1:18" ht="16" x14ac:dyDescent="0.2">
      <c r="A81" s="5" t="s">
        <v>147</v>
      </c>
      <c r="B81" s="6">
        <v>46302</v>
      </c>
      <c r="C81" s="56">
        <v>0.25</v>
      </c>
      <c r="D81" s="56">
        <v>0.70833333333333304</v>
      </c>
      <c r="E81" s="57">
        <v>0.41319444444444398</v>
      </c>
      <c r="F81" s="58">
        <v>0.43402777777777801</v>
      </c>
      <c r="G81" s="59" t="str">
        <f t="array" ref="G81">_xlfn.XLOOKUP(A81&amp;"|"&amp;B81,ShiftRoster[Employee ID]&amp;"|"&amp;ShiftRoster[Date],ShiftRoster[Shift Code],_xlfn.XLOOKUP(A81,TRIM(SUBSTITUTE('worker file'!$A$2:$A$406,_xlfn.UNICHAR(160)," ")),'worker file'!$X$2:$X$406,"?"),0,-1)</f>
        <v>DAY</v>
      </c>
      <c r="H81" s="59" t="str">
        <f>_xlfn.XLOOKUP(G81,ShiftCodes[Code],ShiftCodes[Work Schedule],"Unknown")</f>
        <v>Shift A – Day (Mon–Fri 06:00–14:30)</v>
      </c>
      <c r="I81" s="60">
        <f>_xlfn.XLOOKUP(G81,ShiftCodes[Code],ShiftCodes[Start],"")</f>
        <v>0.25</v>
      </c>
      <c r="J81" s="61">
        <f t="shared" si="5"/>
        <v>0</v>
      </c>
      <c r="K81" s="59" t="str">
        <f t="shared" si="6"/>
        <v>OK</v>
      </c>
      <c r="L81" s="62" t="s">
        <v>771</v>
      </c>
      <c r="M81" s="5" t="str">
        <f t="shared" si="7"/>
        <v>Wed</v>
      </c>
      <c r="N81" s="63">
        <f t="shared" si="8"/>
        <v>10.5</v>
      </c>
      <c r="O81" s="5" t="s">
        <v>758</v>
      </c>
      <c r="P81" s="6">
        <v>46302</v>
      </c>
      <c r="Q81" s="5" t="str">
        <f t="shared" si="9"/>
        <v>Current period</v>
      </c>
      <c r="R81" s="5" t="str">
        <f t="array" ref="R81">_xlfn.XLOOKUP(A81,TRIM(SUBSTITUTE('worker file'!$A$2:$A$406,_xlfn.UNICHAR(160)," ")),'worker file'!$D$2:$D$406,"Not found")</f>
        <v>CA</v>
      </c>
    </row>
    <row r="82" spans="1:18" ht="16" x14ac:dyDescent="0.2">
      <c r="A82" s="5" t="s">
        <v>147</v>
      </c>
      <c r="B82" s="6">
        <v>46303</v>
      </c>
      <c r="C82" s="56">
        <v>0.249305555555556</v>
      </c>
      <c r="D82" s="56">
        <v>0.60347222222222197</v>
      </c>
      <c r="E82" s="57">
        <v>0.41805555555555601</v>
      </c>
      <c r="F82" s="58">
        <v>0.43888888888888899</v>
      </c>
      <c r="G82" s="59" t="str">
        <f t="array" ref="G82">_xlfn.XLOOKUP(A82&amp;"|"&amp;B82,ShiftRoster[Employee ID]&amp;"|"&amp;ShiftRoster[Date],ShiftRoster[Shift Code],_xlfn.XLOOKUP(A82,TRIM(SUBSTITUTE('worker file'!$A$2:$A$406,_xlfn.UNICHAR(160)," ")),'worker file'!$X$2:$X$406,"?"),0,-1)</f>
        <v>DAY</v>
      </c>
      <c r="H82" s="59" t="str">
        <f>_xlfn.XLOOKUP(G82,ShiftCodes[Code],ShiftCodes[Work Schedule],"Unknown")</f>
        <v>Shift A – Day (Mon–Fri 06:00–14:30)</v>
      </c>
      <c r="I82" s="60">
        <f>_xlfn.XLOOKUP(G82,ShiftCodes[Code],ShiftCodes[Start],"")</f>
        <v>0.25</v>
      </c>
      <c r="J82" s="61">
        <f t="shared" si="5"/>
        <v>-1</v>
      </c>
      <c r="K82" s="59" t="str">
        <f t="shared" si="6"/>
        <v>OK</v>
      </c>
      <c r="L82" s="62"/>
      <c r="M82" s="5" t="str">
        <f t="shared" si="7"/>
        <v>Thu</v>
      </c>
      <c r="N82" s="63">
        <f t="shared" si="8"/>
        <v>8</v>
      </c>
      <c r="O82" s="5" t="s">
        <v>758</v>
      </c>
      <c r="P82" s="6">
        <v>46303</v>
      </c>
      <c r="Q82" s="5" t="str">
        <f t="shared" si="9"/>
        <v>Current period</v>
      </c>
      <c r="R82" s="5" t="str">
        <f t="array" ref="R82">_xlfn.XLOOKUP(A82,TRIM(SUBSTITUTE('worker file'!$A$2:$A$406,_xlfn.UNICHAR(160)," ")),'worker file'!$D$2:$D$406,"Not found")</f>
        <v>CA</v>
      </c>
    </row>
    <row r="83" spans="1:18" ht="16" x14ac:dyDescent="0.2">
      <c r="A83" s="5" t="s">
        <v>147</v>
      </c>
      <c r="B83" s="6">
        <v>46304</v>
      </c>
      <c r="C83" s="56">
        <v>0.24583333333333299</v>
      </c>
      <c r="D83" s="56">
        <v>0.594444444444444</v>
      </c>
      <c r="E83" s="57">
        <v>0.40486111111111101</v>
      </c>
      <c r="F83" s="58">
        <v>0.42569444444444399</v>
      </c>
      <c r="G83" s="59" t="str">
        <f t="array" ref="G83">_xlfn.XLOOKUP(A83&amp;"|"&amp;B83,ShiftRoster[Employee ID]&amp;"|"&amp;ShiftRoster[Date],ShiftRoster[Shift Code],_xlfn.XLOOKUP(A83,TRIM(SUBSTITUTE('worker file'!$A$2:$A$406,_xlfn.UNICHAR(160)," ")),'worker file'!$X$2:$X$406,"?"),0,-1)</f>
        <v>DAY</v>
      </c>
      <c r="H83" s="59" t="str">
        <f>_xlfn.XLOOKUP(G83,ShiftCodes[Code],ShiftCodes[Work Schedule],"Unknown")</f>
        <v>Shift A – Day (Mon–Fri 06:00–14:30)</v>
      </c>
      <c r="I83" s="60">
        <f>_xlfn.XLOOKUP(G83,ShiftCodes[Code],ShiftCodes[Start],"")</f>
        <v>0.25</v>
      </c>
      <c r="J83" s="61">
        <f t="shared" si="5"/>
        <v>-6</v>
      </c>
      <c r="K83" s="59" t="str">
        <f t="shared" si="6"/>
        <v>OK</v>
      </c>
      <c r="L83" s="62"/>
      <c r="M83" s="5" t="str">
        <f t="shared" si="7"/>
        <v>Fri</v>
      </c>
      <c r="N83" s="63">
        <f t="shared" si="8"/>
        <v>7.87</v>
      </c>
      <c r="O83" s="5" t="s">
        <v>758</v>
      </c>
      <c r="P83" s="6">
        <v>46304</v>
      </c>
      <c r="Q83" s="5" t="str">
        <f t="shared" si="9"/>
        <v>Current period</v>
      </c>
      <c r="R83" s="5" t="str">
        <f t="array" ref="R83">_xlfn.XLOOKUP(A83,TRIM(SUBSTITUTE('worker file'!$A$2:$A$406,_xlfn.UNICHAR(160)," ")),'worker file'!$D$2:$D$406,"Not found")</f>
        <v>CA</v>
      </c>
    </row>
    <row r="84" spans="1:18" ht="16" x14ac:dyDescent="0.2">
      <c r="A84" s="5" t="s">
        <v>147</v>
      </c>
      <c r="B84" s="6">
        <v>46307</v>
      </c>
      <c r="C84" s="56">
        <v>0.249305555555556</v>
      </c>
      <c r="D84" s="56">
        <v>0.60138888888888897</v>
      </c>
      <c r="E84" s="57">
        <v>0.41666666666666702</v>
      </c>
      <c r="F84" s="58">
        <v>0.4375</v>
      </c>
      <c r="G84" s="59" t="str">
        <f t="array" ref="G84">_xlfn.XLOOKUP(A84&amp;"|"&amp;B84,ShiftRoster[Employee ID]&amp;"|"&amp;ShiftRoster[Date],ShiftRoster[Shift Code],_xlfn.XLOOKUP(A84,TRIM(SUBSTITUTE('worker file'!$A$2:$A$406,_xlfn.UNICHAR(160)," ")),'worker file'!$X$2:$X$406,"?"),0,-1)</f>
        <v>DAY</v>
      </c>
      <c r="H84" s="59" t="str">
        <f>_xlfn.XLOOKUP(G84,ShiftCodes[Code],ShiftCodes[Work Schedule],"Unknown")</f>
        <v>Shift A – Day (Mon–Fri 06:00–14:30)</v>
      </c>
      <c r="I84" s="60">
        <f>_xlfn.XLOOKUP(G84,ShiftCodes[Code],ShiftCodes[Start],"")</f>
        <v>0.25</v>
      </c>
      <c r="J84" s="61">
        <f t="shared" si="5"/>
        <v>-1</v>
      </c>
      <c r="K84" s="59" t="str">
        <f t="shared" si="6"/>
        <v>OK</v>
      </c>
      <c r="L84" s="62"/>
      <c r="M84" s="5" t="str">
        <f t="shared" si="7"/>
        <v>Mon</v>
      </c>
      <c r="N84" s="63">
        <f t="shared" si="8"/>
        <v>7.95</v>
      </c>
      <c r="O84" s="5" t="s">
        <v>758</v>
      </c>
      <c r="P84" s="6">
        <v>46307</v>
      </c>
      <c r="Q84" s="5" t="str">
        <f t="shared" si="9"/>
        <v>Current period</v>
      </c>
      <c r="R84" s="5" t="str">
        <f t="array" ref="R84">_xlfn.XLOOKUP(A84,TRIM(SUBSTITUTE('worker file'!$A$2:$A$406,_xlfn.UNICHAR(160)," ")),'worker file'!$D$2:$D$406,"Not found")</f>
        <v>CA</v>
      </c>
    </row>
    <row r="85" spans="1:18" ht="16" x14ac:dyDescent="0.2">
      <c r="A85" s="5" t="s">
        <v>147</v>
      </c>
      <c r="B85" s="6">
        <v>46308</v>
      </c>
      <c r="C85" s="56">
        <v>0.25</v>
      </c>
      <c r="D85" s="56">
        <v>0.60277777777777797</v>
      </c>
      <c r="E85" s="57">
        <v>0.41944444444444401</v>
      </c>
      <c r="F85" s="58">
        <v>0.44027777777777799</v>
      </c>
      <c r="G85" s="59" t="str">
        <f t="array" ref="G85">_xlfn.XLOOKUP(A85&amp;"|"&amp;B85,ShiftRoster[Employee ID]&amp;"|"&amp;ShiftRoster[Date],ShiftRoster[Shift Code],_xlfn.XLOOKUP(A85,TRIM(SUBSTITUTE('worker file'!$A$2:$A$406,_xlfn.UNICHAR(160)," ")),'worker file'!$X$2:$X$406,"?"),0,-1)</f>
        <v>DAY</v>
      </c>
      <c r="H85" s="59" t="str">
        <f>_xlfn.XLOOKUP(G85,ShiftCodes[Code],ShiftCodes[Work Schedule],"Unknown")</f>
        <v>Shift A – Day (Mon–Fri 06:00–14:30)</v>
      </c>
      <c r="I85" s="60">
        <f>_xlfn.XLOOKUP(G85,ShiftCodes[Code],ShiftCodes[Start],"")</f>
        <v>0.25</v>
      </c>
      <c r="J85" s="61">
        <f t="shared" si="5"/>
        <v>0</v>
      </c>
      <c r="K85" s="59" t="str">
        <f t="shared" si="6"/>
        <v>OK</v>
      </c>
      <c r="L85" s="62"/>
      <c r="M85" s="5" t="str">
        <f t="shared" si="7"/>
        <v>Tue</v>
      </c>
      <c r="N85" s="63">
        <f t="shared" si="8"/>
        <v>7.97</v>
      </c>
      <c r="O85" s="5" t="s">
        <v>758</v>
      </c>
      <c r="P85" s="6">
        <v>46308</v>
      </c>
      <c r="Q85" s="5" t="str">
        <f t="shared" si="9"/>
        <v>Current period</v>
      </c>
      <c r="R85" s="5" t="str">
        <f t="array" ref="R85">_xlfn.XLOOKUP(A85,TRIM(SUBSTITUTE('worker file'!$A$2:$A$406,_xlfn.UNICHAR(160)," ")),'worker file'!$D$2:$D$406,"Not found")</f>
        <v>CA</v>
      </c>
    </row>
    <row r="86" spans="1:18" ht="16" x14ac:dyDescent="0.2">
      <c r="A86" s="5" t="s">
        <v>147</v>
      </c>
      <c r="B86" s="6">
        <v>46309</v>
      </c>
      <c r="C86" s="56">
        <v>0.250694444444444</v>
      </c>
      <c r="D86" s="56">
        <v>0.6</v>
      </c>
      <c r="E86" s="57">
        <v>0.406944444444444</v>
      </c>
      <c r="F86" s="58">
        <v>0.42777777777777798</v>
      </c>
      <c r="G86" s="59" t="str">
        <f t="array" ref="G86">_xlfn.XLOOKUP(A86&amp;"|"&amp;B86,ShiftRoster[Employee ID]&amp;"|"&amp;ShiftRoster[Date],ShiftRoster[Shift Code],_xlfn.XLOOKUP(A86,TRIM(SUBSTITUTE('worker file'!$A$2:$A$406,_xlfn.UNICHAR(160)," ")),'worker file'!$X$2:$X$406,"?"),0,-1)</f>
        <v>DAY</v>
      </c>
      <c r="H86" s="59" t="str">
        <f>_xlfn.XLOOKUP(G86,ShiftCodes[Code],ShiftCodes[Work Schedule],"Unknown")</f>
        <v>Shift A – Day (Mon–Fri 06:00–14:30)</v>
      </c>
      <c r="I86" s="60">
        <f>_xlfn.XLOOKUP(G86,ShiftCodes[Code],ShiftCodes[Start],"")</f>
        <v>0.25</v>
      </c>
      <c r="J86" s="61">
        <f t="shared" si="5"/>
        <v>1</v>
      </c>
      <c r="K86" s="59" t="str">
        <f t="shared" si="6"/>
        <v>OK</v>
      </c>
      <c r="L86" s="62"/>
      <c r="M86" s="5" t="str">
        <f t="shared" si="7"/>
        <v>Wed</v>
      </c>
      <c r="N86" s="63">
        <f t="shared" si="8"/>
        <v>7.88</v>
      </c>
      <c r="O86" s="5" t="s">
        <v>758</v>
      </c>
      <c r="P86" s="6">
        <v>46309</v>
      </c>
      <c r="Q86" s="5" t="str">
        <f t="shared" si="9"/>
        <v>Current period</v>
      </c>
      <c r="R86" s="5" t="str">
        <f t="array" ref="R86">_xlfn.XLOOKUP(A86,TRIM(SUBSTITUTE('worker file'!$A$2:$A$406,_xlfn.UNICHAR(160)," ")),'worker file'!$D$2:$D$406,"Not found")</f>
        <v>CA</v>
      </c>
    </row>
    <row r="87" spans="1:18" ht="16" x14ac:dyDescent="0.2">
      <c r="A87" s="5" t="s">
        <v>147</v>
      </c>
      <c r="B87" s="6">
        <v>46310</v>
      </c>
      <c r="C87" s="56">
        <v>0.24652777777777801</v>
      </c>
      <c r="D87" s="56">
        <v>0.59930555555555598</v>
      </c>
      <c r="E87" s="57">
        <v>0.422222222222222</v>
      </c>
      <c r="F87" s="58">
        <v>0.44305555555555598</v>
      </c>
      <c r="G87" s="59" t="str">
        <f t="array" ref="G87">_xlfn.XLOOKUP(A87&amp;"|"&amp;B87,ShiftRoster[Employee ID]&amp;"|"&amp;ShiftRoster[Date],ShiftRoster[Shift Code],_xlfn.XLOOKUP(A87,TRIM(SUBSTITUTE('worker file'!$A$2:$A$406,_xlfn.UNICHAR(160)," ")),'worker file'!$X$2:$X$406,"?"),0,-1)</f>
        <v>DAY</v>
      </c>
      <c r="H87" s="59" t="str">
        <f>_xlfn.XLOOKUP(G87,ShiftCodes[Code],ShiftCodes[Work Schedule],"Unknown")</f>
        <v>Shift A – Day (Mon–Fri 06:00–14:30)</v>
      </c>
      <c r="I87" s="60">
        <f>_xlfn.XLOOKUP(G87,ShiftCodes[Code],ShiftCodes[Start],"")</f>
        <v>0.25</v>
      </c>
      <c r="J87" s="61">
        <f t="shared" si="5"/>
        <v>-5</v>
      </c>
      <c r="K87" s="59" t="str">
        <f t="shared" si="6"/>
        <v>OK</v>
      </c>
      <c r="L87" s="62"/>
      <c r="M87" s="5" t="str">
        <f t="shared" si="7"/>
        <v>Thu</v>
      </c>
      <c r="N87" s="63">
        <f t="shared" si="8"/>
        <v>7.97</v>
      </c>
      <c r="O87" s="5" t="s">
        <v>758</v>
      </c>
      <c r="P87" s="6">
        <v>46310</v>
      </c>
      <c r="Q87" s="5" t="str">
        <f t="shared" si="9"/>
        <v>Current period</v>
      </c>
      <c r="R87" s="5" t="str">
        <f t="array" ref="R87">_xlfn.XLOOKUP(A87,TRIM(SUBSTITUTE('worker file'!$A$2:$A$406,_xlfn.UNICHAR(160)," ")),'worker file'!$D$2:$D$406,"Not found")</f>
        <v>CA</v>
      </c>
    </row>
    <row r="88" spans="1:18" ht="16" x14ac:dyDescent="0.2">
      <c r="A88" s="5" t="s">
        <v>147</v>
      </c>
      <c r="B88" s="6">
        <v>46311</v>
      </c>
      <c r="C88" s="56">
        <v>0.24861111111111101</v>
      </c>
      <c r="D88" s="56">
        <v>0.59861111111111098</v>
      </c>
      <c r="E88" s="57">
        <v>0.40138888888888902</v>
      </c>
      <c r="F88" s="58">
        <v>0.422222222222222</v>
      </c>
      <c r="G88" s="59" t="str">
        <f t="array" ref="G88">_xlfn.XLOOKUP(A88&amp;"|"&amp;B88,ShiftRoster[Employee ID]&amp;"|"&amp;ShiftRoster[Date],ShiftRoster[Shift Code],_xlfn.XLOOKUP(A88,TRIM(SUBSTITUTE('worker file'!$A$2:$A$406,_xlfn.UNICHAR(160)," ")),'worker file'!$X$2:$X$406,"?"),0,-1)</f>
        <v>DAY</v>
      </c>
      <c r="H88" s="59" t="str">
        <f>_xlfn.XLOOKUP(G88,ShiftCodes[Code],ShiftCodes[Work Schedule],"Unknown")</f>
        <v>Shift A – Day (Mon–Fri 06:00–14:30)</v>
      </c>
      <c r="I88" s="60">
        <f>_xlfn.XLOOKUP(G88,ShiftCodes[Code],ShiftCodes[Start],"")</f>
        <v>0.25</v>
      </c>
      <c r="J88" s="61">
        <f t="shared" si="5"/>
        <v>-2</v>
      </c>
      <c r="K88" s="59" t="str">
        <f t="shared" si="6"/>
        <v>OK</v>
      </c>
      <c r="L88" s="62"/>
      <c r="M88" s="5" t="str">
        <f t="shared" si="7"/>
        <v>Fri</v>
      </c>
      <c r="N88" s="63">
        <f t="shared" si="8"/>
        <v>7.9</v>
      </c>
      <c r="O88" s="5" t="s">
        <v>758</v>
      </c>
      <c r="P88" s="6">
        <v>46311</v>
      </c>
      <c r="Q88" s="5" t="str">
        <f t="shared" si="9"/>
        <v>Current period</v>
      </c>
      <c r="R88" s="5" t="str">
        <f t="array" ref="R88">_xlfn.XLOOKUP(A88,TRIM(SUBSTITUTE('worker file'!$A$2:$A$406,_xlfn.UNICHAR(160)," ")),'worker file'!$D$2:$D$406,"Not found")</f>
        <v>CA</v>
      </c>
    </row>
    <row r="89" spans="1:18" ht="16" x14ac:dyDescent="0.2">
      <c r="A89" s="5" t="s">
        <v>150</v>
      </c>
      <c r="B89" s="6">
        <v>46299</v>
      </c>
      <c r="C89" s="56">
        <v>0.25138888888888899</v>
      </c>
      <c r="D89" s="56">
        <v>0.77013888888888904</v>
      </c>
      <c r="E89" s="57">
        <v>0.42986111111111103</v>
      </c>
      <c r="F89" s="58">
        <v>0.45069444444444401</v>
      </c>
      <c r="G89" s="59" t="str">
        <f t="array" ref="G89">_xlfn.XLOOKUP(A89&amp;"|"&amp;B89,ShiftRoster[Employee ID]&amp;"|"&amp;ShiftRoster[Date],ShiftRoster[Shift Code],_xlfn.XLOOKUP(A89,TRIM(SUBSTITUTE('worker file'!$A$2:$A$406,_xlfn.UNICHAR(160)," ")),'worker file'!$X$2:$X$406,"?"),0,-1)</f>
        <v>WKND</v>
      </c>
      <c r="H89" s="59" t="str">
        <f>_xlfn.XLOOKUP(G89,ShiftCodes[Code],ShiftCodes[Work Schedule],"Unknown")</f>
        <v>Shift D – Weekend (Fri–Sun 06:00–18:30)</v>
      </c>
      <c r="I89" s="60">
        <f>_xlfn.XLOOKUP(G89,ShiftCodes[Code],ShiftCodes[Start],"")</f>
        <v>0.25</v>
      </c>
      <c r="J89" s="61">
        <f t="shared" si="5"/>
        <v>2</v>
      </c>
      <c r="K89" s="59" t="str">
        <f t="shared" si="6"/>
        <v>OK</v>
      </c>
      <c r="L89" s="62"/>
      <c r="M89" s="5" t="str">
        <f t="shared" si="7"/>
        <v>Sun</v>
      </c>
      <c r="N89" s="63">
        <f t="shared" si="8"/>
        <v>11.95</v>
      </c>
      <c r="O89" s="5" t="s">
        <v>758</v>
      </c>
      <c r="P89" s="6">
        <v>46299</v>
      </c>
      <c r="Q89" s="5" t="str">
        <f t="shared" si="9"/>
        <v>Current period</v>
      </c>
      <c r="R89" s="5" t="str">
        <f t="array" ref="R89">_xlfn.XLOOKUP(A89,TRIM(SUBSTITUTE('worker file'!$A$2:$A$406,_xlfn.UNICHAR(160)," ")),'worker file'!$D$2:$D$406,"Not found")</f>
        <v>TX</v>
      </c>
    </row>
    <row r="90" spans="1:18" ht="16" x14ac:dyDescent="0.2">
      <c r="A90" s="5" t="s">
        <v>150</v>
      </c>
      <c r="B90" s="6">
        <v>46304</v>
      </c>
      <c r="C90" s="56">
        <v>0.25138888888888899</v>
      </c>
      <c r="D90" s="56">
        <v>0.77222222222222203</v>
      </c>
      <c r="E90" s="57">
        <v>0.43194444444444402</v>
      </c>
      <c r="F90" s="58">
        <v>0.452777777777778</v>
      </c>
      <c r="G90" s="59" t="str">
        <f t="array" ref="G90">_xlfn.XLOOKUP(A90&amp;"|"&amp;B90,ShiftRoster[Employee ID]&amp;"|"&amp;ShiftRoster[Date],ShiftRoster[Shift Code],_xlfn.XLOOKUP(A90,TRIM(SUBSTITUTE('worker file'!$A$2:$A$406,_xlfn.UNICHAR(160)," ")),'worker file'!$X$2:$X$406,"?"),0,-1)</f>
        <v>WKND</v>
      </c>
      <c r="H90" s="59" t="str">
        <f>_xlfn.XLOOKUP(G90,ShiftCodes[Code],ShiftCodes[Work Schedule],"Unknown")</f>
        <v>Shift D – Weekend (Fri–Sun 06:00–18:30)</v>
      </c>
      <c r="I90" s="60">
        <f>_xlfn.XLOOKUP(G90,ShiftCodes[Code],ShiftCodes[Start],"")</f>
        <v>0.25</v>
      </c>
      <c r="J90" s="61">
        <f t="shared" si="5"/>
        <v>2</v>
      </c>
      <c r="K90" s="59" t="str">
        <f t="shared" si="6"/>
        <v>OK</v>
      </c>
      <c r="L90" s="62"/>
      <c r="M90" s="5" t="str">
        <f t="shared" si="7"/>
        <v>Fri</v>
      </c>
      <c r="N90" s="63">
        <f t="shared" si="8"/>
        <v>12</v>
      </c>
      <c r="O90" s="5" t="s">
        <v>758</v>
      </c>
      <c r="P90" s="6">
        <v>46304</v>
      </c>
      <c r="Q90" s="5" t="str">
        <f t="shared" si="9"/>
        <v>Current period</v>
      </c>
      <c r="R90" s="5" t="str">
        <f t="array" ref="R90">_xlfn.XLOOKUP(A90,TRIM(SUBSTITUTE('worker file'!$A$2:$A$406,_xlfn.UNICHAR(160)," ")),'worker file'!$D$2:$D$406,"Not found")</f>
        <v>TX</v>
      </c>
    </row>
    <row r="91" spans="1:18" ht="16" x14ac:dyDescent="0.2">
      <c r="A91" s="5" t="s">
        <v>150</v>
      </c>
      <c r="B91" s="6">
        <v>46305</v>
      </c>
      <c r="C91" s="56">
        <v>0.249305555555556</v>
      </c>
      <c r="D91" s="56">
        <v>0.76527777777777795</v>
      </c>
      <c r="E91" s="57">
        <v>0.4</v>
      </c>
      <c r="F91" s="58">
        <v>0.420833333333333</v>
      </c>
      <c r="G91" s="59" t="str">
        <f t="array" ref="G91">_xlfn.XLOOKUP(A91&amp;"|"&amp;B91,ShiftRoster[Employee ID]&amp;"|"&amp;ShiftRoster[Date],ShiftRoster[Shift Code],_xlfn.XLOOKUP(A91,TRIM(SUBSTITUTE('worker file'!$A$2:$A$406,_xlfn.UNICHAR(160)," ")),'worker file'!$X$2:$X$406,"?"),0,-1)</f>
        <v>WKND</v>
      </c>
      <c r="H91" s="59" t="str">
        <f>_xlfn.XLOOKUP(G91,ShiftCodes[Code],ShiftCodes[Work Schedule],"Unknown")</f>
        <v>Shift D – Weekend (Fri–Sun 06:00–18:30)</v>
      </c>
      <c r="I91" s="60">
        <f>_xlfn.XLOOKUP(G91,ShiftCodes[Code],ShiftCodes[Start],"")</f>
        <v>0.25</v>
      </c>
      <c r="J91" s="61">
        <f t="shared" si="5"/>
        <v>-1</v>
      </c>
      <c r="K91" s="59" t="str">
        <f t="shared" si="6"/>
        <v>OK</v>
      </c>
      <c r="L91" s="62"/>
      <c r="M91" s="5" t="str">
        <f t="shared" si="7"/>
        <v>Sat</v>
      </c>
      <c r="N91" s="63">
        <f t="shared" si="8"/>
        <v>11.88</v>
      </c>
      <c r="O91" s="5" t="s">
        <v>758</v>
      </c>
      <c r="P91" s="6">
        <v>46305</v>
      </c>
      <c r="Q91" s="5" t="str">
        <f t="shared" si="9"/>
        <v>Current period</v>
      </c>
      <c r="R91" s="5" t="str">
        <f t="array" ref="R91">_xlfn.XLOOKUP(A91,TRIM(SUBSTITUTE('worker file'!$A$2:$A$406,_xlfn.UNICHAR(160)," ")),'worker file'!$D$2:$D$406,"Not found")</f>
        <v>TX</v>
      </c>
    </row>
    <row r="92" spans="1:18" ht="16" x14ac:dyDescent="0.2">
      <c r="A92" s="5" t="s">
        <v>150</v>
      </c>
      <c r="B92" s="6">
        <v>46306</v>
      </c>
      <c r="C92" s="56">
        <v>0.24583333333333299</v>
      </c>
      <c r="D92" s="56">
        <v>0.76180555555555596</v>
      </c>
      <c r="E92" s="57">
        <v>0.39930555555555602</v>
      </c>
      <c r="F92" s="58">
        <v>0.42013888888888901</v>
      </c>
      <c r="G92" s="59" t="str">
        <f t="array" ref="G92">_xlfn.XLOOKUP(A92&amp;"|"&amp;B92,ShiftRoster[Employee ID]&amp;"|"&amp;ShiftRoster[Date],ShiftRoster[Shift Code],_xlfn.XLOOKUP(A92,TRIM(SUBSTITUTE('worker file'!$A$2:$A$406,_xlfn.UNICHAR(160)," ")),'worker file'!$X$2:$X$406,"?"),0,-1)</f>
        <v>WKND</v>
      </c>
      <c r="H92" s="59" t="str">
        <f>_xlfn.XLOOKUP(G92,ShiftCodes[Code],ShiftCodes[Work Schedule],"Unknown")</f>
        <v>Shift D – Weekend (Fri–Sun 06:00–18:30)</v>
      </c>
      <c r="I92" s="60">
        <f>_xlfn.XLOOKUP(G92,ShiftCodes[Code],ShiftCodes[Start],"")</f>
        <v>0.25</v>
      </c>
      <c r="J92" s="61">
        <f t="shared" si="5"/>
        <v>-6</v>
      </c>
      <c r="K92" s="59" t="str">
        <f t="shared" si="6"/>
        <v>OK</v>
      </c>
      <c r="L92" s="62"/>
      <c r="M92" s="5" t="str">
        <f t="shared" si="7"/>
        <v>Sun</v>
      </c>
      <c r="N92" s="63">
        <f t="shared" si="8"/>
        <v>11.88</v>
      </c>
      <c r="O92" s="5" t="s">
        <v>758</v>
      </c>
      <c r="P92" s="6">
        <v>46306</v>
      </c>
      <c r="Q92" s="5" t="str">
        <f t="shared" si="9"/>
        <v>Current period</v>
      </c>
      <c r="R92" s="5" t="str">
        <f t="array" ref="R92">_xlfn.XLOOKUP(A92,TRIM(SUBSTITUTE('worker file'!$A$2:$A$406,_xlfn.UNICHAR(160)," ")),'worker file'!$D$2:$D$406,"Not found")</f>
        <v>TX</v>
      </c>
    </row>
    <row r="93" spans="1:18" ht="16" x14ac:dyDescent="0.2">
      <c r="A93" s="5" t="s">
        <v>150</v>
      </c>
      <c r="B93" s="6">
        <v>46311</v>
      </c>
      <c r="C93" s="56">
        <v>0.25138888888888899</v>
      </c>
      <c r="D93" s="56">
        <v>0.76736111111111105</v>
      </c>
      <c r="E93" s="57">
        <v>0.42361111111111099</v>
      </c>
      <c r="F93" s="58">
        <v>0.44444444444444398</v>
      </c>
      <c r="G93" s="59" t="str">
        <f t="array" ref="G93">_xlfn.XLOOKUP(A93&amp;"|"&amp;B93,ShiftRoster[Employee ID]&amp;"|"&amp;ShiftRoster[Date],ShiftRoster[Shift Code],_xlfn.XLOOKUP(A93,TRIM(SUBSTITUTE('worker file'!$A$2:$A$406,_xlfn.UNICHAR(160)," ")),'worker file'!$X$2:$X$406,"?"),0,-1)</f>
        <v>WKND</v>
      </c>
      <c r="H93" s="59" t="str">
        <f>_xlfn.XLOOKUP(G93,ShiftCodes[Code],ShiftCodes[Work Schedule],"Unknown")</f>
        <v>Shift D – Weekend (Fri–Sun 06:00–18:30)</v>
      </c>
      <c r="I93" s="60">
        <f>_xlfn.XLOOKUP(G93,ShiftCodes[Code],ShiftCodes[Start],"")</f>
        <v>0.25</v>
      </c>
      <c r="J93" s="61">
        <f t="shared" si="5"/>
        <v>2</v>
      </c>
      <c r="K93" s="59" t="str">
        <f t="shared" si="6"/>
        <v>OK</v>
      </c>
      <c r="L93" s="62"/>
      <c r="M93" s="5" t="str">
        <f t="shared" si="7"/>
        <v>Fri</v>
      </c>
      <c r="N93" s="63">
        <f t="shared" si="8"/>
        <v>11.88</v>
      </c>
      <c r="O93" s="5" t="s">
        <v>758</v>
      </c>
      <c r="P93" s="6">
        <v>46311</v>
      </c>
      <c r="Q93" s="5" t="str">
        <f t="shared" si="9"/>
        <v>Current period</v>
      </c>
      <c r="R93" s="5" t="str">
        <f t="array" ref="R93">_xlfn.XLOOKUP(A93,TRIM(SUBSTITUTE('worker file'!$A$2:$A$406,_xlfn.UNICHAR(160)," ")),'worker file'!$D$2:$D$406,"Not found")</f>
        <v>TX</v>
      </c>
    </row>
    <row r="94" spans="1:18" ht="16" x14ac:dyDescent="0.2">
      <c r="A94" s="5" t="s">
        <v>150</v>
      </c>
      <c r="B94" s="6">
        <v>46312</v>
      </c>
      <c r="C94" s="56">
        <v>0.24583333333333299</v>
      </c>
      <c r="D94" s="56">
        <v>0.76319444444444395</v>
      </c>
      <c r="E94" s="57">
        <v>0.40277777777777801</v>
      </c>
      <c r="F94" s="58">
        <v>0.42361111111111099</v>
      </c>
      <c r="G94" s="59" t="str">
        <f t="array" ref="G94">_xlfn.XLOOKUP(A94&amp;"|"&amp;B94,ShiftRoster[Employee ID]&amp;"|"&amp;ShiftRoster[Date],ShiftRoster[Shift Code],_xlfn.XLOOKUP(A94,TRIM(SUBSTITUTE('worker file'!$A$2:$A$406,_xlfn.UNICHAR(160)," ")),'worker file'!$X$2:$X$406,"?"),0,-1)</f>
        <v>WKND</v>
      </c>
      <c r="H94" s="59" t="str">
        <f>_xlfn.XLOOKUP(G94,ShiftCodes[Code],ShiftCodes[Work Schedule],"Unknown")</f>
        <v>Shift D – Weekend (Fri–Sun 06:00–18:30)</v>
      </c>
      <c r="I94" s="60">
        <f>_xlfn.XLOOKUP(G94,ShiftCodes[Code],ShiftCodes[Start],"")</f>
        <v>0.25</v>
      </c>
      <c r="J94" s="61">
        <f t="shared" si="5"/>
        <v>-6</v>
      </c>
      <c r="K94" s="59" t="str">
        <f t="shared" si="6"/>
        <v>OK</v>
      </c>
      <c r="L94" s="62"/>
      <c r="M94" s="5" t="str">
        <f t="shared" si="7"/>
        <v>Sat</v>
      </c>
      <c r="N94" s="63">
        <f t="shared" si="8"/>
        <v>11.92</v>
      </c>
      <c r="O94" s="5" t="s">
        <v>758</v>
      </c>
      <c r="P94" s="6">
        <v>46312</v>
      </c>
      <c r="Q94" s="5" t="str">
        <f t="shared" si="9"/>
        <v>Current period</v>
      </c>
      <c r="R94" s="5" t="str">
        <f t="array" ref="R94">_xlfn.XLOOKUP(A94,TRIM(SUBSTITUTE('worker file'!$A$2:$A$406,_xlfn.UNICHAR(160)," ")),'worker file'!$D$2:$D$406,"Not found")</f>
        <v>TX</v>
      </c>
    </row>
    <row r="95" spans="1:18" ht="16" x14ac:dyDescent="0.2">
      <c r="A95" s="5" t="s">
        <v>157</v>
      </c>
      <c r="B95" s="6">
        <v>46300</v>
      </c>
      <c r="C95" s="56">
        <v>0.24583333333333299</v>
      </c>
      <c r="D95" s="56">
        <v>0.59930555555555598</v>
      </c>
      <c r="E95" s="57">
        <v>0.40069444444444402</v>
      </c>
      <c r="F95" s="58">
        <v>0.421527777777778</v>
      </c>
      <c r="G95" s="59" t="str">
        <f t="array" ref="G95">_xlfn.XLOOKUP(A95&amp;"|"&amp;B95,ShiftRoster[Employee ID]&amp;"|"&amp;ShiftRoster[Date],ShiftRoster[Shift Code],_xlfn.XLOOKUP(A95,TRIM(SUBSTITUTE('worker file'!$A$2:$A$406,_xlfn.UNICHAR(160)," ")),'worker file'!$X$2:$X$406,"?"),0,-1)</f>
        <v>DAY</v>
      </c>
      <c r="H95" s="59" t="str">
        <f>_xlfn.XLOOKUP(G95,ShiftCodes[Code],ShiftCodes[Work Schedule],"Unknown")</f>
        <v>Shift A – Day (Mon–Fri 06:00–14:30)</v>
      </c>
      <c r="I95" s="60">
        <f>_xlfn.XLOOKUP(G95,ShiftCodes[Code],ShiftCodes[Start],"")</f>
        <v>0.25</v>
      </c>
      <c r="J95" s="61">
        <f t="shared" si="5"/>
        <v>-6</v>
      </c>
      <c r="K95" s="59" t="str">
        <f t="shared" si="6"/>
        <v>OK</v>
      </c>
      <c r="L95" s="62"/>
      <c r="M95" s="5" t="str">
        <f t="shared" si="7"/>
        <v>Mon</v>
      </c>
      <c r="N95" s="63">
        <f t="shared" si="8"/>
        <v>7.98</v>
      </c>
      <c r="O95" s="5" t="s">
        <v>758</v>
      </c>
      <c r="P95" s="6">
        <v>46300</v>
      </c>
      <c r="Q95" s="5" t="str">
        <f t="shared" si="9"/>
        <v>Current period</v>
      </c>
      <c r="R95" s="5" t="str">
        <f t="array" ref="R95">_xlfn.XLOOKUP(A95,TRIM(SUBSTITUTE('worker file'!$A$2:$A$406,_xlfn.UNICHAR(160)," ")),'worker file'!$D$2:$D$406,"Not found")</f>
        <v>CA</v>
      </c>
    </row>
    <row r="96" spans="1:18" ht="16" x14ac:dyDescent="0.2">
      <c r="A96" s="5" t="s">
        <v>157</v>
      </c>
      <c r="B96" s="6">
        <v>46301</v>
      </c>
      <c r="C96" s="56">
        <v>0.25277777777777799</v>
      </c>
      <c r="D96" s="56">
        <v>0.60138888888888897</v>
      </c>
      <c r="E96" s="57">
        <v>0.41249999999999998</v>
      </c>
      <c r="F96" s="58">
        <v>0.43333333333333302</v>
      </c>
      <c r="G96" s="59" t="str">
        <f t="array" ref="G96">_xlfn.XLOOKUP(A96&amp;"|"&amp;B96,ShiftRoster[Employee ID]&amp;"|"&amp;ShiftRoster[Date],ShiftRoster[Shift Code],_xlfn.XLOOKUP(A96,TRIM(SUBSTITUTE('worker file'!$A$2:$A$406,_xlfn.UNICHAR(160)," ")),'worker file'!$X$2:$X$406,"?"),0,-1)</f>
        <v>DAY</v>
      </c>
      <c r="H96" s="59" t="str">
        <f>_xlfn.XLOOKUP(G96,ShiftCodes[Code],ShiftCodes[Work Schedule],"Unknown")</f>
        <v>Shift A – Day (Mon–Fri 06:00–14:30)</v>
      </c>
      <c r="I96" s="60">
        <f>_xlfn.XLOOKUP(G96,ShiftCodes[Code],ShiftCodes[Start],"")</f>
        <v>0.25</v>
      </c>
      <c r="J96" s="61">
        <f t="shared" si="5"/>
        <v>4</v>
      </c>
      <c r="K96" s="59" t="str">
        <f t="shared" si="6"/>
        <v>OK</v>
      </c>
      <c r="L96" s="62"/>
      <c r="M96" s="5" t="str">
        <f t="shared" si="7"/>
        <v>Tue</v>
      </c>
      <c r="N96" s="63">
        <f t="shared" si="8"/>
        <v>7.87</v>
      </c>
      <c r="O96" s="5" t="s">
        <v>758</v>
      </c>
      <c r="P96" s="6">
        <v>46301</v>
      </c>
      <c r="Q96" s="5" t="str">
        <f t="shared" si="9"/>
        <v>Current period</v>
      </c>
      <c r="R96" s="5" t="str">
        <f t="array" ref="R96">_xlfn.XLOOKUP(A96,TRIM(SUBSTITUTE('worker file'!$A$2:$A$406,_xlfn.UNICHAR(160)," ")),'worker file'!$D$2:$D$406,"Not found")</f>
        <v>CA</v>
      </c>
    </row>
    <row r="97" spans="1:18" ht="16" x14ac:dyDescent="0.2">
      <c r="A97" s="5" t="s">
        <v>157</v>
      </c>
      <c r="B97" s="6">
        <v>46302</v>
      </c>
      <c r="C97" s="56">
        <v>0.24583333333333299</v>
      </c>
      <c r="D97" s="56">
        <v>0.66249999999999998</v>
      </c>
      <c r="E97" s="57">
        <v>0.43333333333333302</v>
      </c>
      <c r="F97" s="58">
        <v>0.454166666666667</v>
      </c>
      <c r="G97" s="59" t="str">
        <f t="array" ref="G97">_xlfn.XLOOKUP(A97&amp;"|"&amp;B97,ShiftRoster[Employee ID]&amp;"|"&amp;ShiftRoster[Date],ShiftRoster[Shift Code],_xlfn.XLOOKUP(A97,TRIM(SUBSTITUTE('worker file'!$A$2:$A$406,_xlfn.UNICHAR(160)," ")),'worker file'!$X$2:$X$406,"?"),0,-1)</f>
        <v>DAY</v>
      </c>
      <c r="H97" s="59" t="str">
        <f>_xlfn.XLOOKUP(G97,ShiftCodes[Code],ShiftCodes[Work Schedule],"Unknown")</f>
        <v>Shift A – Day (Mon–Fri 06:00–14:30)</v>
      </c>
      <c r="I97" s="60">
        <f>_xlfn.XLOOKUP(G97,ShiftCodes[Code],ShiftCodes[Start],"")</f>
        <v>0.25</v>
      </c>
      <c r="J97" s="61">
        <f t="shared" si="5"/>
        <v>-6</v>
      </c>
      <c r="K97" s="59" t="str">
        <f t="shared" si="6"/>
        <v>OK</v>
      </c>
      <c r="L97" s="62" t="s">
        <v>771</v>
      </c>
      <c r="M97" s="5" t="str">
        <f t="shared" si="7"/>
        <v>Wed</v>
      </c>
      <c r="N97" s="63">
        <f t="shared" si="8"/>
        <v>9.5</v>
      </c>
      <c r="O97" s="5" t="s">
        <v>758</v>
      </c>
      <c r="P97" s="6">
        <v>46302</v>
      </c>
      <c r="Q97" s="5" t="str">
        <f t="shared" si="9"/>
        <v>Current period</v>
      </c>
      <c r="R97" s="5" t="str">
        <f t="array" ref="R97">_xlfn.XLOOKUP(A97,TRIM(SUBSTITUTE('worker file'!$A$2:$A$406,_xlfn.UNICHAR(160)," ")),'worker file'!$D$2:$D$406,"Not found")</f>
        <v>CA</v>
      </c>
    </row>
    <row r="98" spans="1:18" ht="16" x14ac:dyDescent="0.2">
      <c r="A98" s="5" t="s">
        <v>157</v>
      </c>
      <c r="B98" s="6">
        <v>46303</v>
      </c>
      <c r="C98" s="56">
        <v>0.25</v>
      </c>
      <c r="D98" s="56">
        <v>0.60277777777777797</v>
      </c>
      <c r="E98" s="57">
        <v>0.41111111111111098</v>
      </c>
      <c r="F98" s="58">
        <v>0.43194444444444402</v>
      </c>
      <c r="G98" s="59" t="str">
        <f t="array" ref="G98">_xlfn.XLOOKUP(A98&amp;"|"&amp;B98,ShiftRoster[Employee ID]&amp;"|"&amp;ShiftRoster[Date],ShiftRoster[Shift Code],_xlfn.XLOOKUP(A98,TRIM(SUBSTITUTE('worker file'!$A$2:$A$406,_xlfn.UNICHAR(160)," ")),'worker file'!$X$2:$X$406,"?"),0,-1)</f>
        <v>DAY</v>
      </c>
      <c r="H98" s="59" t="str">
        <f>_xlfn.XLOOKUP(G98,ShiftCodes[Code],ShiftCodes[Work Schedule],"Unknown")</f>
        <v>Shift A – Day (Mon–Fri 06:00–14:30)</v>
      </c>
      <c r="I98" s="60">
        <f>_xlfn.XLOOKUP(G98,ShiftCodes[Code],ShiftCodes[Start],"")</f>
        <v>0.25</v>
      </c>
      <c r="J98" s="61">
        <f t="shared" si="5"/>
        <v>0</v>
      </c>
      <c r="K98" s="59" t="str">
        <f t="shared" si="6"/>
        <v>OK</v>
      </c>
      <c r="L98" s="62"/>
      <c r="M98" s="5" t="str">
        <f t="shared" si="7"/>
        <v>Thu</v>
      </c>
      <c r="N98" s="63">
        <f t="shared" si="8"/>
        <v>7.97</v>
      </c>
      <c r="O98" s="5" t="s">
        <v>758</v>
      </c>
      <c r="P98" s="6">
        <v>46303</v>
      </c>
      <c r="Q98" s="5" t="str">
        <f t="shared" si="9"/>
        <v>Current period</v>
      </c>
      <c r="R98" s="5" t="str">
        <f t="array" ref="R98">_xlfn.XLOOKUP(A98,TRIM(SUBSTITUTE('worker file'!$A$2:$A$406,_xlfn.UNICHAR(160)," ")),'worker file'!$D$2:$D$406,"Not found")</f>
        <v>CA</v>
      </c>
    </row>
    <row r="99" spans="1:18" ht="16" x14ac:dyDescent="0.2">
      <c r="A99" s="5" t="s">
        <v>157</v>
      </c>
      <c r="B99" s="6">
        <v>46304</v>
      </c>
      <c r="C99" s="56">
        <v>0.24652777777777801</v>
      </c>
      <c r="D99" s="56">
        <v>0.59930555555555598</v>
      </c>
      <c r="E99" s="57">
        <v>0.41875000000000001</v>
      </c>
      <c r="F99" s="58">
        <v>0.43958333333333299</v>
      </c>
      <c r="G99" s="59" t="str">
        <f t="array" ref="G99">_xlfn.XLOOKUP(A99&amp;"|"&amp;B99,ShiftRoster[Employee ID]&amp;"|"&amp;ShiftRoster[Date],ShiftRoster[Shift Code],_xlfn.XLOOKUP(A99,TRIM(SUBSTITUTE('worker file'!$A$2:$A$406,_xlfn.UNICHAR(160)," ")),'worker file'!$X$2:$X$406,"?"),0,-1)</f>
        <v>DAY</v>
      </c>
      <c r="H99" s="59" t="str">
        <f>_xlfn.XLOOKUP(G99,ShiftCodes[Code],ShiftCodes[Work Schedule],"Unknown")</f>
        <v>Shift A – Day (Mon–Fri 06:00–14:30)</v>
      </c>
      <c r="I99" s="60">
        <f>_xlfn.XLOOKUP(G99,ShiftCodes[Code],ShiftCodes[Start],"")</f>
        <v>0.25</v>
      </c>
      <c r="J99" s="61">
        <f t="shared" si="5"/>
        <v>-5</v>
      </c>
      <c r="K99" s="59" t="str">
        <f t="shared" si="6"/>
        <v>OK</v>
      </c>
      <c r="L99" s="62"/>
      <c r="M99" s="5" t="str">
        <f t="shared" si="7"/>
        <v>Fri</v>
      </c>
      <c r="N99" s="63">
        <f t="shared" si="8"/>
        <v>7.97</v>
      </c>
      <c r="O99" s="5" t="s">
        <v>758</v>
      </c>
      <c r="P99" s="6">
        <v>46304</v>
      </c>
      <c r="Q99" s="5" t="str">
        <f t="shared" si="9"/>
        <v>Current period</v>
      </c>
      <c r="R99" s="5" t="str">
        <f t="array" ref="R99">_xlfn.XLOOKUP(A99,TRIM(SUBSTITUTE('worker file'!$A$2:$A$406,_xlfn.UNICHAR(160)," ")),'worker file'!$D$2:$D$406,"Not found")</f>
        <v>CA</v>
      </c>
    </row>
    <row r="100" spans="1:18" ht="16" x14ac:dyDescent="0.2">
      <c r="A100" s="5" t="s">
        <v>157</v>
      </c>
      <c r="B100" s="6">
        <v>46305</v>
      </c>
      <c r="C100" s="56">
        <v>0.24861111111111101</v>
      </c>
      <c r="D100" s="56">
        <v>0.59930555555555598</v>
      </c>
      <c r="E100" s="57">
        <v>0.420833333333333</v>
      </c>
      <c r="F100" s="58">
        <v>0.44166666666666698</v>
      </c>
      <c r="G100" s="59" t="str">
        <f t="array" ref="G100">_xlfn.XLOOKUP(A100&amp;"|"&amp;B100,ShiftRoster[Employee ID]&amp;"|"&amp;ShiftRoster[Date],ShiftRoster[Shift Code],_xlfn.XLOOKUP(A100,TRIM(SUBSTITUTE('worker file'!$A$2:$A$406,_xlfn.UNICHAR(160)," ")),'worker file'!$X$2:$X$406,"?"),0,-1)</f>
        <v>DAY</v>
      </c>
      <c r="H100" s="59" t="str">
        <f>_xlfn.XLOOKUP(G100,ShiftCodes[Code],ShiftCodes[Work Schedule],"Unknown")</f>
        <v>Shift A – Day (Mon–Fri 06:00–14:30)</v>
      </c>
      <c r="I100" s="60">
        <f>_xlfn.XLOOKUP(G100,ShiftCodes[Code],ShiftCodes[Start],"")</f>
        <v>0.25</v>
      </c>
      <c r="J100" s="61">
        <f t="shared" si="5"/>
        <v>-2</v>
      </c>
      <c r="K100" s="59" t="str">
        <f t="shared" si="6"/>
        <v>OK</v>
      </c>
      <c r="L100" s="62" t="s">
        <v>760</v>
      </c>
      <c r="M100" s="5" t="str">
        <f t="shared" si="7"/>
        <v>Sat</v>
      </c>
      <c r="N100" s="63">
        <f t="shared" si="8"/>
        <v>7.92</v>
      </c>
      <c r="O100" s="5" t="s">
        <v>758</v>
      </c>
      <c r="P100" s="6">
        <v>46305</v>
      </c>
      <c r="Q100" s="5" t="str">
        <f t="shared" si="9"/>
        <v>Current period</v>
      </c>
      <c r="R100" s="5" t="str">
        <f t="array" ref="R100">_xlfn.XLOOKUP(A100,TRIM(SUBSTITUTE('worker file'!$A$2:$A$406,_xlfn.UNICHAR(160)," ")),'worker file'!$D$2:$D$406,"Not found")</f>
        <v>CA</v>
      </c>
    </row>
    <row r="101" spans="1:18" ht="16" x14ac:dyDescent="0.2">
      <c r="A101" s="5" t="s">
        <v>157</v>
      </c>
      <c r="B101" s="6">
        <v>46307</v>
      </c>
      <c r="C101" s="56">
        <v>0.25208333333333299</v>
      </c>
      <c r="D101" s="56">
        <v>0.60624999999999996</v>
      </c>
      <c r="E101" s="57">
        <v>0.43194444444444402</v>
      </c>
      <c r="F101" s="58">
        <v>0.452777777777778</v>
      </c>
      <c r="G101" s="59" t="str">
        <f t="array" ref="G101">_xlfn.XLOOKUP(A101&amp;"|"&amp;B101,ShiftRoster[Employee ID]&amp;"|"&amp;ShiftRoster[Date],ShiftRoster[Shift Code],_xlfn.XLOOKUP(A101,TRIM(SUBSTITUTE('worker file'!$A$2:$A$406,_xlfn.UNICHAR(160)," ")),'worker file'!$X$2:$X$406,"?"),0,-1)</f>
        <v>DAY</v>
      </c>
      <c r="H101" s="59" t="str">
        <f>_xlfn.XLOOKUP(G101,ShiftCodes[Code],ShiftCodes[Work Schedule],"Unknown")</f>
        <v>Shift A – Day (Mon–Fri 06:00–14:30)</v>
      </c>
      <c r="I101" s="60">
        <f>_xlfn.XLOOKUP(G101,ShiftCodes[Code],ShiftCodes[Start],"")</f>
        <v>0.25</v>
      </c>
      <c r="J101" s="61">
        <f t="shared" si="5"/>
        <v>3</v>
      </c>
      <c r="K101" s="59" t="str">
        <f t="shared" si="6"/>
        <v>OK</v>
      </c>
      <c r="L101" s="62"/>
      <c r="M101" s="5" t="str">
        <f t="shared" si="7"/>
        <v>Mon</v>
      </c>
      <c r="N101" s="63">
        <f t="shared" si="8"/>
        <v>8</v>
      </c>
      <c r="O101" s="5" t="s">
        <v>758</v>
      </c>
      <c r="P101" s="6">
        <v>46307</v>
      </c>
      <c r="Q101" s="5" t="str">
        <f t="shared" si="9"/>
        <v>Current period</v>
      </c>
      <c r="R101" s="5" t="str">
        <f t="array" ref="R101">_xlfn.XLOOKUP(A101,TRIM(SUBSTITUTE('worker file'!$A$2:$A$406,_xlfn.UNICHAR(160)," ")),'worker file'!$D$2:$D$406,"Not found")</f>
        <v>CA</v>
      </c>
    </row>
    <row r="102" spans="1:18" ht="16" x14ac:dyDescent="0.2">
      <c r="A102" s="5" t="s">
        <v>157</v>
      </c>
      <c r="B102" s="6">
        <v>46308</v>
      </c>
      <c r="C102" s="56">
        <v>0.24722222222222201</v>
      </c>
      <c r="D102" s="56">
        <v>0.59791666666666698</v>
      </c>
      <c r="E102" s="57">
        <v>0.43194444444444402</v>
      </c>
      <c r="F102" s="58">
        <v>0.452777777777778</v>
      </c>
      <c r="G102" s="59" t="str">
        <f t="array" ref="G102">_xlfn.XLOOKUP(A102&amp;"|"&amp;B102,ShiftRoster[Employee ID]&amp;"|"&amp;ShiftRoster[Date],ShiftRoster[Shift Code],_xlfn.XLOOKUP(A102,TRIM(SUBSTITUTE('worker file'!$A$2:$A$406,_xlfn.UNICHAR(160)," ")),'worker file'!$X$2:$X$406,"?"),0,-1)</f>
        <v>DAY</v>
      </c>
      <c r="H102" s="59" t="str">
        <f>_xlfn.XLOOKUP(G102,ShiftCodes[Code],ShiftCodes[Work Schedule],"Unknown")</f>
        <v>Shift A – Day (Mon–Fri 06:00–14:30)</v>
      </c>
      <c r="I102" s="60">
        <f>_xlfn.XLOOKUP(G102,ShiftCodes[Code],ShiftCodes[Start],"")</f>
        <v>0.25</v>
      </c>
      <c r="J102" s="61">
        <f t="shared" si="5"/>
        <v>-4</v>
      </c>
      <c r="K102" s="59" t="str">
        <f t="shared" si="6"/>
        <v>OK</v>
      </c>
      <c r="L102" s="62"/>
      <c r="M102" s="5" t="str">
        <f t="shared" si="7"/>
        <v>Tue</v>
      </c>
      <c r="N102" s="63">
        <f t="shared" si="8"/>
        <v>7.92</v>
      </c>
      <c r="O102" s="5" t="s">
        <v>758</v>
      </c>
      <c r="P102" s="6">
        <v>46308</v>
      </c>
      <c r="Q102" s="5" t="str">
        <f t="shared" si="9"/>
        <v>Current period</v>
      </c>
      <c r="R102" s="5" t="str">
        <f t="array" ref="R102">_xlfn.XLOOKUP(A102,TRIM(SUBSTITUTE('worker file'!$A$2:$A$406,_xlfn.UNICHAR(160)," ")),'worker file'!$D$2:$D$406,"Not found")</f>
        <v>CA</v>
      </c>
    </row>
    <row r="103" spans="1:18" ht="16" x14ac:dyDescent="0.2">
      <c r="A103" s="5" t="s">
        <v>157</v>
      </c>
      <c r="B103" s="6">
        <v>46309</v>
      </c>
      <c r="C103" s="56">
        <v>0.249305555555556</v>
      </c>
      <c r="D103" s="56">
        <v>0.59930555555555598</v>
      </c>
      <c r="E103" s="57">
        <v>0.4</v>
      </c>
      <c r="F103" s="58">
        <v>0.420833333333333</v>
      </c>
      <c r="G103" s="59" t="str">
        <f t="array" ref="G103">_xlfn.XLOOKUP(A103&amp;"|"&amp;B103,ShiftRoster[Employee ID]&amp;"|"&amp;ShiftRoster[Date],ShiftRoster[Shift Code],_xlfn.XLOOKUP(A103,TRIM(SUBSTITUTE('worker file'!$A$2:$A$406,_xlfn.UNICHAR(160)," ")),'worker file'!$X$2:$X$406,"?"),0,-1)</f>
        <v>DAY</v>
      </c>
      <c r="H103" s="59" t="str">
        <f>_xlfn.XLOOKUP(G103,ShiftCodes[Code],ShiftCodes[Work Schedule],"Unknown")</f>
        <v>Shift A – Day (Mon–Fri 06:00–14:30)</v>
      </c>
      <c r="I103" s="60">
        <f>_xlfn.XLOOKUP(G103,ShiftCodes[Code],ShiftCodes[Start],"")</f>
        <v>0.25</v>
      </c>
      <c r="J103" s="61">
        <f t="shared" si="5"/>
        <v>-1</v>
      </c>
      <c r="K103" s="59" t="str">
        <f t="shared" si="6"/>
        <v>OK</v>
      </c>
      <c r="L103" s="62"/>
      <c r="M103" s="5" t="str">
        <f t="shared" si="7"/>
        <v>Wed</v>
      </c>
      <c r="N103" s="63">
        <f t="shared" si="8"/>
        <v>7.9</v>
      </c>
      <c r="O103" s="5" t="s">
        <v>758</v>
      </c>
      <c r="P103" s="6">
        <v>46309</v>
      </c>
      <c r="Q103" s="5" t="str">
        <f t="shared" si="9"/>
        <v>Current period</v>
      </c>
      <c r="R103" s="5" t="str">
        <f t="array" ref="R103">_xlfn.XLOOKUP(A103,TRIM(SUBSTITUTE('worker file'!$A$2:$A$406,_xlfn.UNICHAR(160)," ")),'worker file'!$D$2:$D$406,"Not found")</f>
        <v>CA</v>
      </c>
    </row>
    <row r="104" spans="1:18" ht="16" x14ac:dyDescent="0.2">
      <c r="A104" s="5" t="s">
        <v>157</v>
      </c>
      <c r="B104" s="6">
        <v>46310</v>
      </c>
      <c r="C104" s="56">
        <v>0.25138888888888899</v>
      </c>
      <c r="D104" s="56">
        <v>0.60416666666666696</v>
      </c>
      <c r="E104" s="57">
        <v>0.40277777777777801</v>
      </c>
      <c r="F104" s="58">
        <v>0.42361111111111099</v>
      </c>
      <c r="G104" s="59" t="str">
        <f t="array" ref="G104">_xlfn.XLOOKUP(A104&amp;"|"&amp;B104,ShiftRoster[Employee ID]&amp;"|"&amp;ShiftRoster[Date],ShiftRoster[Shift Code],_xlfn.XLOOKUP(A104,TRIM(SUBSTITUTE('worker file'!$A$2:$A$406,_xlfn.UNICHAR(160)," ")),'worker file'!$X$2:$X$406,"?"),0,-1)</f>
        <v>DAY</v>
      </c>
      <c r="H104" s="59" t="str">
        <f>_xlfn.XLOOKUP(G104,ShiftCodes[Code],ShiftCodes[Work Schedule],"Unknown")</f>
        <v>Shift A – Day (Mon–Fri 06:00–14:30)</v>
      </c>
      <c r="I104" s="60">
        <f>_xlfn.XLOOKUP(G104,ShiftCodes[Code],ShiftCodes[Start],"")</f>
        <v>0.25</v>
      </c>
      <c r="J104" s="61">
        <f t="shared" si="5"/>
        <v>2</v>
      </c>
      <c r="K104" s="59" t="str">
        <f t="shared" si="6"/>
        <v>OK</v>
      </c>
      <c r="L104" s="62"/>
      <c r="M104" s="5" t="str">
        <f t="shared" si="7"/>
        <v>Thu</v>
      </c>
      <c r="N104" s="63">
        <f t="shared" si="8"/>
        <v>7.97</v>
      </c>
      <c r="O104" s="5" t="s">
        <v>758</v>
      </c>
      <c r="P104" s="6">
        <v>46310</v>
      </c>
      <c r="Q104" s="5" t="str">
        <f t="shared" si="9"/>
        <v>Current period</v>
      </c>
      <c r="R104" s="5" t="str">
        <f t="array" ref="R104">_xlfn.XLOOKUP(A104,TRIM(SUBSTITUTE('worker file'!$A$2:$A$406,_xlfn.UNICHAR(160)," ")),'worker file'!$D$2:$D$406,"Not found")</f>
        <v>CA</v>
      </c>
    </row>
    <row r="105" spans="1:18" ht="16" x14ac:dyDescent="0.2">
      <c r="A105" s="5" t="s">
        <v>157</v>
      </c>
      <c r="B105" s="6">
        <v>46311</v>
      </c>
      <c r="C105" s="56">
        <v>0.24791666666666701</v>
      </c>
      <c r="D105" s="56">
        <v>0.59652777777777799</v>
      </c>
      <c r="E105" s="57">
        <v>0.39513888888888898</v>
      </c>
      <c r="F105" s="58">
        <v>0.41597222222222202</v>
      </c>
      <c r="G105" s="59" t="str">
        <f t="array" ref="G105">_xlfn.XLOOKUP(A105&amp;"|"&amp;B105,ShiftRoster[Employee ID]&amp;"|"&amp;ShiftRoster[Date],ShiftRoster[Shift Code],_xlfn.XLOOKUP(A105,TRIM(SUBSTITUTE('worker file'!$A$2:$A$406,_xlfn.UNICHAR(160)," ")),'worker file'!$X$2:$X$406,"?"),0,-1)</f>
        <v>DAY</v>
      </c>
      <c r="H105" s="59" t="str">
        <f>_xlfn.XLOOKUP(G105,ShiftCodes[Code],ShiftCodes[Work Schedule],"Unknown")</f>
        <v>Shift A – Day (Mon–Fri 06:00–14:30)</v>
      </c>
      <c r="I105" s="60">
        <f>_xlfn.XLOOKUP(G105,ShiftCodes[Code],ShiftCodes[Start],"")</f>
        <v>0.25</v>
      </c>
      <c r="J105" s="61">
        <f t="shared" si="5"/>
        <v>-3</v>
      </c>
      <c r="K105" s="59" t="str">
        <f t="shared" si="6"/>
        <v>OK</v>
      </c>
      <c r="L105" s="62"/>
      <c r="M105" s="5" t="str">
        <f t="shared" si="7"/>
        <v>Fri</v>
      </c>
      <c r="N105" s="63">
        <f t="shared" si="8"/>
        <v>7.87</v>
      </c>
      <c r="O105" s="5" t="s">
        <v>758</v>
      </c>
      <c r="P105" s="6">
        <v>46311</v>
      </c>
      <c r="Q105" s="5" t="str">
        <f t="shared" si="9"/>
        <v>Current period</v>
      </c>
      <c r="R105" s="5" t="str">
        <f t="array" ref="R105">_xlfn.XLOOKUP(A105,TRIM(SUBSTITUTE('worker file'!$A$2:$A$406,_xlfn.UNICHAR(160)," ")),'worker file'!$D$2:$D$406,"Not found")</f>
        <v>CA</v>
      </c>
    </row>
    <row r="106" spans="1:18" ht="16" x14ac:dyDescent="0.2">
      <c r="A106" s="5" t="s">
        <v>166</v>
      </c>
      <c r="B106" s="6">
        <v>46299</v>
      </c>
      <c r="C106" s="56">
        <v>0.250694444444444</v>
      </c>
      <c r="D106" s="56">
        <v>0.76875000000000004</v>
      </c>
      <c r="E106" s="57">
        <v>0.42499999999999999</v>
      </c>
      <c r="F106" s="58">
        <v>0.44583333333333303</v>
      </c>
      <c r="G106" s="59" t="str">
        <f t="array" ref="G106">_xlfn.XLOOKUP(A106&amp;"|"&amp;B106,ShiftRoster[Employee ID]&amp;"|"&amp;ShiftRoster[Date],ShiftRoster[Shift Code],_xlfn.XLOOKUP(A106,TRIM(SUBSTITUTE('worker file'!$A$2:$A$406,_xlfn.UNICHAR(160)," ")),'worker file'!$X$2:$X$406,"?"),0,-1)</f>
        <v>WKND</v>
      </c>
      <c r="H106" s="59" t="str">
        <f>_xlfn.XLOOKUP(G106,ShiftCodes[Code],ShiftCodes[Work Schedule],"Unknown")</f>
        <v>Shift D – Weekend (Fri–Sun 06:00–18:30)</v>
      </c>
      <c r="I106" s="60">
        <f>_xlfn.XLOOKUP(G106,ShiftCodes[Code],ShiftCodes[Start],"")</f>
        <v>0.25</v>
      </c>
      <c r="J106" s="61">
        <f t="shared" si="5"/>
        <v>1</v>
      </c>
      <c r="K106" s="59" t="str">
        <f t="shared" si="6"/>
        <v>OK</v>
      </c>
      <c r="L106" s="62"/>
      <c r="M106" s="5" t="str">
        <f t="shared" si="7"/>
        <v>Sun</v>
      </c>
      <c r="N106" s="63">
        <f t="shared" si="8"/>
        <v>11.93</v>
      </c>
      <c r="O106" s="5" t="s">
        <v>758</v>
      </c>
      <c r="P106" s="6">
        <v>46299</v>
      </c>
      <c r="Q106" s="5" t="str">
        <f t="shared" si="9"/>
        <v>Current period</v>
      </c>
      <c r="R106" s="5" t="str">
        <f t="array" ref="R106">_xlfn.XLOOKUP(A106,TRIM(SUBSTITUTE('worker file'!$A$2:$A$406,_xlfn.UNICHAR(160)," ")),'worker file'!$D$2:$D$406,"Not found")</f>
        <v>TX</v>
      </c>
    </row>
    <row r="107" spans="1:18" ht="16" x14ac:dyDescent="0.2">
      <c r="A107" s="5" t="s">
        <v>166</v>
      </c>
      <c r="B107" s="6">
        <v>46304</v>
      </c>
      <c r="C107" s="56">
        <v>0.24791666666666701</v>
      </c>
      <c r="D107" s="56">
        <v>0.77083333333333304</v>
      </c>
      <c r="E107" s="57">
        <v>0.42013888888888901</v>
      </c>
      <c r="F107" s="58">
        <v>0.44097222222222199</v>
      </c>
      <c r="G107" s="59" t="str">
        <f t="array" ref="G107">_xlfn.XLOOKUP(A107&amp;"|"&amp;B107,ShiftRoster[Employee ID]&amp;"|"&amp;ShiftRoster[Date],ShiftRoster[Shift Code],_xlfn.XLOOKUP(A107,TRIM(SUBSTITUTE('worker file'!$A$2:$A$406,_xlfn.UNICHAR(160)," ")),'worker file'!$X$2:$X$406,"?"),0,-1)</f>
        <v>WKND</v>
      </c>
      <c r="H107" s="59" t="str">
        <f>_xlfn.XLOOKUP(G107,ShiftCodes[Code],ShiftCodes[Work Schedule],"Unknown")</f>
        <v>Shift D – Weekend (Fri–Sun 06:00–18:30)</v>
      </c>
      <c r="I107" s="60">
        <f>_xlfn.XLOOKUP(G107,ShiftCodes[Code],ShiftCodes[Start],"")</f>
        <v>0.25</v>
      </c>
      <c r="J107" s="61">
        <f t="shared" si="5"/>
        <v>-3</v>
      </c>
      <c r="K107" s="59" t="str">
        <f t="shared" si="6"/>
        <v>OK</v>
      </c>
      <c r="L107" s="62"/>
      <c r="M107" s="5" t="str">
        <f t="shared" si="7"/>
        <v>Fri</v>
      </c>
      <c r="N107" s="63">
        <f t="shared" si="8"/>
        <v>12.05</v>
      </c>
      <c r="O107" s="5" t="s">
        <v>758</v>
      </c>
      <c r="P107" s="6">
        <v>46304</v>
      </c>
      <c r="Q107" s="5" t="str">
        <f t="shared" si="9"/>
        <v>Current period</v>
      </c>
      <c r="R107" s="5" t="str">
        <f t="array" ref="R107">_xlfn.XLOOKUP(A107,TRIM(SUBSTITUTE('worker file'!$A$2:$A$406,_xlfn.UNICHAR(160)," ")),'worker file'!$D$2:$D$406,"Not found")</f>
        <v>TX</v>
      </c>
    </row>
    <row r="108" spans="1:18" ht="16" x14ac:dyDescent="0.2">
      <c r="A108" s="5" t="s">
        <v>166</v>
      </c>
      <c r="B108" s="6">
        <v>46305</v>
      </c>
      <c r="C108" s="56">
        <v>0.24652777777777801</v>
      </c>
      <c r="D108" s="56">
        <v>0.76805555555555605</v>
      </c>
      <c r="E108" s="57">
        <v>0.421527777777778</v>
      </c>
      <c r="F108" s="58">
        <v>0.44236111111111098</v>
      </c>
      <c r="G108" s="59" t="str">
        <f t="array" ref="G108">_xlfn.XLOOKUP(A108&amp;"|"&amp;B108,ShiftRoster[Employee ID]&amp;"|"&amp;ShiftRoster[Date],ShiftRoster[Shift Code],_xlfn.XLOOKUP(A108,TRIM(SUBSTITUTE('worker file'!$A$2:$A$406,_xlfn.UNICHAR(160)," ")),'worker file'!$X$2:$X$406,"?"),0,-1)</f>
        <v>WKND</v>
      </c>
      <c r="H108" s="59" t="str">
        <f>_xlfn.XLOOKUP(G108,ShiftCodes[Code],ShiftCodes[Work Schedule],"Unknown")</f>
        <v>Shift D – Weekend (Fri–Sun 06:00–18:30)</v>
      </c>
      <c r="I108" s="60">
        <f>_xlfn.XLOOKUP(G108,ShiftCodes[Code],ShiftCodes[Start],"")</f>
        <v>0.25</v>
      </c>
      <c r="J108" s="61">
        <f t="shared" si="5"/>
        <v>-5</v>
      </c>
      <c r="K108" s="59" t="str">
        <f t="shared" si="6"/>
        <v>OK</v>
      </c>
      <c r="L108" s="62"/>
      <c r="M108" s="5" t="str">
        <f t="shared" si="7"/>
        <v>Sat</v>
      </c>
      <c r="N108" s="63">
        <f t="shared" si="8"/>
        <v>12.02</v>
      </c>
      <c r="O108" s="5" t="s">
        <v>758</v>
      </c>
      <c r="P108" s="6">
        <v>46305</v>
      </c>
      <c r="Q108" s="5" t="str">
        <f t="shared" si="9"/>
        <v>Current period</v>
      </c>
      <c r="R108" s="5" t="str">
        <f t="array" ref="R108">_xlfn.XLOOKUP(A108,TRIM(SUBSTITUTE('worker file'!$A$2:$A$406,_xlfn.UNICHAR(160)," ")),'worker file'!$D$2:$D$406,"Not found")</f>
        <v>TX</v>
      </c>
    </row>
    <row r="109" spans="1:18" ht="16" x14ac:dyDescent="0.2">
      <c r="A109" s="5" t="s">
        <v>166</v>
      </c>
      <c r="B109" s="6">
        <v>46306</v>
      </c>
      <c r="C109" s="56">
        <v>0.25277777777777799</v>
      </c>
      <c r="D109" s="56">
        <v>0.77291666666666703</v>
      </c>
      <c r="E109" s="57">
        <v>0.42430555555555599</v>
      </c>
      <c r="F109" s="58">
        <v>0.44513888888888897</v>
      </c>
      <c r="G109" s="59" t="str">
        <f t="array" ref="G109">_xlfn.XLOOKUP(A109&amp;"|"&amp;B109,ShiftRoster[Employee ID]&amp;"|"&amp;ShiftRoster[Date],ShiftRoster[Shift Code],_xlfn.XLOOKUP(A109,TRIM(SUBSTITUTE('worker file'!$A$2:$A$406,_xlfn.UNICHAR(160)," ")),'worker file'!$X$2:$X$406,"?"),0,-1)</f>
        <v>WKND</v>
      </c>
      <c r="H109" s="59" t="str">
        <f>_xlfn.XLOOKUP(G109,ShiftCodes[Code],ShiftCodes[Work Schedule],"Unknown")</f>
        <v>Shift D – Weekend (Fri–Sun 06:00–18:30)</v>
      </c>
      <c r="I109" s="60">
        <f>_xlfn.XLOOKUP(G109,ShiftCodes[Code],ShiftCodes[Start],"")</f>
        <v>0.25</v>
      </c>
      <c r="J109" s="61">
        <f t="shared" si="5"/>
        <v>4</v>
      </c>
      <c r="K109" s="59" t="str">
        <f t="shared" si="6"/>
        <v>OK</v>
      </c>
      <c r="L109" s="62"/>
      <c r="M109" s="5" t="str">
        <f t="shared" si="7"/>
        <v>Sun</v>
      </c>
      <c r="N109" s="63">
        <f t="shared" si="8"/>
        <v>11.98</v>
      </c>
      <c r="O109" s="5" t="s">
        <v>758</v>
      </c>
      <c r="P109" s="6">
        <v>46306</v>
      </c>
      <c r="Q109" s="5" t="str">
        <f t="shared" si="9"/>
        <v>Current period</v>
      </c>
      <c r="R109" s="5" t="str">
        <f t="array" ref="R109">_xlfn.XLOOKUP(A109,TRIM(SUBSTITUTE('worker file'!$A$2:$A$406,_xlfn.UNICHAR(160)," ")),'worker file'!$D$2:$D$406,"Not found")</f>
        <v>TX</v>
      </c>
    </row>
    <row r="110" spans="1:18" ht="16" x14ac:dyDescent="0.2">
      <c r="A110" s="5" t="s">
        <v>166</v>
      </c>
      <c r="B110" s="6">
        <v>46311</v>
      </c>
      <c r="C110" s="56">
        <v>0.24722222222222201</v>
      </c>
      <c r="D110" s="56">
        <v>0.76944444444444504</v>
      </c>
      <c r="E110" s="57">
        <v>0.422222222222222</v>
      </c>
      <c r="F110" s="58">
        <v>0.44305555555555598</v>
      </c>
      <c r="G110" s="59" t="str">
        <f t="array" ref="G110">_xlfn.XLOOKUP(A110&amp;"|"&amp;B110,ShiftRoster[Employee ID]&amp;"|"&amp;ShiftRoster[Date],ShiftRoster[Shift Code],_xlfn.XLOOKUP(A110,TRIM(SUBSTITUTE('worker file'!$A$2:$A$406,_xlfn.UNICHAR(160)," ")),'worker file'!$X$2:$X$406,"?"),0,-1)</f>
        <v>WKND</v>
      </c>
      <c r="H110" s="59" t="str">
        <f>_xlfn.XLOOKUP(G110,ShiftCodes[Code],ShiftCodes[Work Schedule],"Unknown")</f>
        <v>Shift D – Weekend (Fri–Sun 06:00–18:30)</v>
      </c>
      <c r="I110" s="60">
        <f>_xlfn.XLOOKUP(G110,ShiftCodes[Code],ShiftCodes[Start],"")</f>
        <v>0.25</v>
      </c>
      <c r="J110" s="61">
        <f t="shared" si="5"/>
        <v>-4</v>
      </c>
      <c r="K110" s="59" t="str">
        <f t="shared" si="6"/>
        <v>OK</v>
      </c>
      <c r="L110" s="62"/>
      <c r="M110" s="5" t="str">
        <f t="shared" si="7"/>
        <v>Fri</v>
      </c>
      <c r="N110" s="63">
        <f t="shared" si="8"/>
        <v>12.03</v>
      </c>
      <c r="O110" s="5" t="s">
        <v>758</v>
      </c>
      <c r="P110" s="6">
        <v>46311</v>
      </c>
      <c r="Q110" s="5" t="str">
        <f t="shared" si="9"/>
        <v>Current period</v>
      </c>
      <c r="R110" s="5" t="str">
        <f t="array" ref="R110">_xlfn.XLOOKUP(A110,TRIM(SUBSTITUTE('worker file'!$A$2:$A$406,_xlfn.UNICHAR(160)," ")),'worker file'!$D$2:$D$406,"Not found")</f>
        <v>TX</v>
      </c>
    </row>
    <row r="111" spans="1:18" ht="16" x14ac:dyDescent="0.2">
      <c r="A111" s="5" t="s">
        <v>166</v>
      </c>
      <c r="B111" s="6">
        <v>46312</v>
      </c>
      <c r="C111" s="56">
        <v>0.25347222222222199</v>
      </c>
      <c r="D111" s="56">
        <v>0.77430555555555602</v>
      </c>
      <c r="E111" s="57">
        <v>0.42499999999999999</v>
      </c>
      <c r="F111" s="58">
        <v>0.44583333333333303</v>
      </c>
      <c r="G111" s="59" t="str">
        <f t="array" ref="G111">_xlfn.XLOOKUP(A111&amp;"|"&amp;B111,ShiftRoster[Employee ID]&amp;"|"&amp;ShiftRoster[Date],ShiftRoster[Shift Code],_xlfn.XLOOKUP(A111,TRIM(SUBSTITUTE('worker file'!$A$2:$A$406,_xlfn.UNICHAR(160)," ")),'worker file'!$X$2:$X$406,"?"),0,-1)</f>
        <v>WKND</v>
      </c>
      <c r="H111" s="59" t="str">
        <f>_xlfn.XLOOKUP(G111,ShiftCodes[Code],ShiftCodes[Work Schedule],"Unknown")</f>
        <v>Shift D – Weekend (Fri–Sun 06:00–18:30)</v>
      </c>
      <c r="I111" s="60">
        <f>_xlfn.XLOOKUP(G111,ShiftCodes[Code],ShiftCodes[Start],"")</f>
        <v>0.25</v>
      </c>
      <c r="J111" s="61">
        <f t="shared" si="5"/>
        <v>5</v>
      </c>
      <c r="K111" s="59" t="str">
        <f t="shared" si="6"/>
        <v>OK</v>
      </c>
      <c r="L111" s="62"/>
      <c r="M111" s="5" t="str">
        <f t="shared" si="7"/>
        <v>Sat</v>
      </c>
      <c r="N111" s="63">
        <f t="shared" si="8"/>
        <v>12</v>
      </c>
      <c r="O111" s="5" t="s">
        <v>758</v>
      </c>
      <c r="P111" s="6">
        <v>46312</v>
      </c>
      <c r="Q111" s="5" t="str">
        <f t="shared" si="9"/>
        <v>Current period</v>
      </c>
      <c r="R111" s="5" t="str">
        <f t="array" ref="R111">_xlfn.XLOOKUP(A111,TRIM(SUBSTITUTE('worker file'!$A$2:$A$406,_xlfn.UNICHAR(160)," ")),'worker file'!$D$2:$D$406,"Not found")</f>
        <v>TX</v>
      </c>
    </row>
    <row r="112" spans="1:18" ht="16" x14ac:dyDescent="0.2">
      <c r="A112" s="5" t="s">
        <v>168</v>
      </c>
      <c r="B112" s="6">
        <v>46299</v>
      </c>
      <c r="C112" s="56">
        <v>0.24652777777777801</v>
      </c>
      <c r="D112" s="56">
        <v>0.76666666666666705</v>
      </c>
      <c r="E112" s="57">
        <v>0.41527777777777802</v>
      </c>
      <c r="F112" s="58">
        <v>0.43611111111111101</v>
      </c>
      <c r="G112" s="59" t="str">
        <f t="array" ref="G112">_xlfn.XLOOKUP(A112&amp;"|"&amp;B112,ShiftRoster[Employee ID]&amp;"|"&amp;ShiftRoster[Date],ShiftRoster[Shift Code],_xlfn.XLOOKUP(A112,TRIM(SUBSTITUTE('worker file'!$A$2:$A$406,_xlfn.UNICHAR(160)," ")),'worker file'!$X$2:$X$406,"?"),0,-1)</f>
        <v>WKND</v>
      </c>
      <c r="H112" s="59" t="str">
        <f>_xlfn.XLOOKUP(G112,ShiftCodes[Code],ShiftCodes[Work Schedule],"Unknown")</f>
        <v>Shift D – Weekend (Fri–Sun 06:00–18:30)</v>
      </c>
      <c r="I112" s="60">
        <f>_xlfn.XLOOKUP(G112,ShiftCodes[Code],ShiftCodes[Start],"")</f>
        <v>0.25</v>
      </c>
      <c r="J112" s="61">
        <f t="shared" si="5"/>
        <v>-5</v>
      </c>
      <c r="K112" s="59" t="str">
        <f t="shared" si="6"/>
        <v>OK</v>
      </c>
      <c r="L112" s="62"/>
      <c r="M112" s="5" t="str">
        <f t="shared" si="7"/>
        <v>Sun</v>
      </c>
      <c r="N112" s="63">
        <f t="shared" si="8"/>
        <v>11.98</v>
      </c>
      <c r="O112" s="5" t="s">
        <v>758</v>
      </c>
      <c r="P112" s="6">
        <v>46299</v>
      </c>
      <c r="Q112" s="5" t="str">
        <f t="shared" si="9"/>
        <v>Current period</v>
      </c>
      <c r="R112" s="5" t="str">
        <f t="array" ref="R112">_xlfn.XLOOKUP(A112,TRIM(SUBSTITUTE('worker file'!$A$2:$A$406,_xlfn.UNICHAR(160)," ")),'worker file'!$D$2:$D$406,"Not found")</f>
        <v>CA</v>
      </c>
    </row>
    <row r="113" spans="1:18" ht="16" x14ac:dyDescent="0.2">
      <c r="A113" s="5" t="s">
        <v>168</v>
      </c>
      <c r="B113" s="6">
        <v>46304</v>
      </c>
      <c r="C113" s="56">
        <v>0.24652777777777801</v>
      </c>
      <c r="D113" s="56">
        <v>0.76249999999999996</v>
      </c>
      <c r="E113" s="57">
        <v>0.41388888888888897</v>
      </c>
      <c r="F113" s="58">
        <v>0.43472222222222201</v>
      </c>
      <c r="G113" s="59" t="str">
        <f t="array" ref="G113">_xlfn.XLOOKUP(A113&amp;"|"&amp;B113,ShiftRoster[Employee ID]&amp;"|"&amp;ShiftRoster[Date],ShiftRoster[Shift Code],_xlfn.XLOOKUP(A113,TRIM(SUBSTITUTE('worker file'!$A$2:$A$406,_xlfn.UNICHAR(160)," ")),'worker file'!$X$2:$X$406,"?"),0,-1)</f>
        <v>WKND</v>
      </c>
      <c r="H113" s="59" t="str">
        <f>_xlfn.XLOOKUP(G113,ShiftCodes[Code],ShiftCodes[Work Schedule],"Unknown")</f>
        <v>Shift D – Weekend (Fri–Sun 06:00–18:30)</v>
      </c>
      <c r="I113" s="60">
        <f>_xlfn.XLOOKUP(G113,ShiftCodes[Code],ShiftCodes[Start],"")</f>
        <v>0.25</v>
      </c>
      <c r="J113" s="61">
        <f t="shared" si="5"/>
        <v>-5</v>
      </c>
      <c r="K113" s="59" t="str">
        <f t="shared" si="6"/>
        <v>OK</v>
      </c>
      <c r="L113" s="62"/>
      <c r="M113" s="5" t="str">
        <f t="shared" si="7"/>
        <v>Fri</v>
      </c>
      <c r="N113" s="63">
        <f t="shared" si="8"/>
        <v>11.88</v>
      </c>
      <c r="O113" s="5" t="s">
        <v>758</v>
      </c>
      <c r="P113" s="6">
        <v>46304</v>
      </c>
      <c r="Q113" s="5" t="str">
        <f t="shared" si="9"/>
        <v>Current period</v>
      </c>
      <c r="R113" s="5" t="str">
        <f t="array" ref="R113">_xlfn.XLOOKUP(A113,TRIM(SUBSTITUTE('worker file'!$A$2:$A$406,_xlfn.UNICHAR(160)," ")),'worker file'!$D$2:$D$406,"Not found")</f>
        <v>CA</v>
      </c>
    </row>
    <row r="114" spans="1:18" ht="16" x14ac:dyDescent="0.2">
      <c r="A114" s="5" t="s">
        <v>168</v>
      </c>
      <c r="B114" s="6">
        <v>46305</v>
      </c>
      <c r="C114" s="56">
        <v>0.25277777777777799</v>
      </c>
      <c r="D114" s="56">
        <v>0.81527777777777799</v>
      </c>
      <c r="E114" s="57">
        <v>0.42916666666666697</v>
      </c>
      <c r="F114" s="58">
        <v>0.45</v>
      </c>
      <c r="G114" s="59" t="str">
        <f t="array" ref="G114">_xlfn.XLOOKUP(A114&amp;"|"&amp;B114,ShiftRoster[Employee ID]&amp;"|"&amp;ShiftRoster[Date],ShiftRoster[Shift Code],_xlfn.XLOOKUP(A114,TRIM(SUBSTITUTE('worker file'!$A$2:$A$406,_xlfn.UNICHAR(160)," ")),'worker file'!$X$2:$X$406,"?"),0,-1)</f>
        <v>WKND</v>
      </c>
      <c r="H114" s="59" t="str">
        <f>_xlfn.XLOOKUP(G114,ShiftCodes[Code],ShiftCodes[Work Schedule],"Unknown")</f>
        <v>Shift D – Weekend (Fri–Sun 06:00–18:30)</v>
      </c>
      <c r="I114" s="60">
        <f>_xlfn.XLOOKUP(G114,ShiftCodes[Code],ShiftCodes[Start],"")</f>
        <v>0.25</v>
      </c>
      <c r="J114" s="61">
        <f t="shared" si="5"/>
        <v>4</v>
      </c>
      <c r="K114" s="59" t="str">
        <f t="shared" si="6"/>
        <v>OK</v>
      </c>
      <c r="L114" s="62" t="s">
        <v>772</v>
      </c>
      <c r="M114" s="5" t="str">
        <f t="shared" si="7"/>
        <v>Sat</v>
      </c>
      <c r="N114" s="63">
        <f t="shared" si="8"/>
        <v>13</v>
      </c>
      <c r="O114" s="5" t="s">
        <v>758</v>
      </c>
      <c r="P114" s="6">
        <v>46305</v>
      </c>
      <c r="Q114" s="5" t="str">
        <f t="shared" si="9"/>
        <v>Current period</v>
      </c>
      <c r="R114" s="5" t="str">
        <f t="array" ref="R114">_xlfn.XLOOKUP(A114,TRIM(SUBSTITUTE('worker file'!$A$2:$A$406,_xlfn.UNICHAR(160)," ")),'worker file'!$D$2:$D$406,"Not found")</f>
        <v>CA</v>
      </c>
    </row>
    <row r="115" spans="1:18" ht="16" x14ac:dyDescent="0.2">
      <c r="A115" s="5" t="s">
        <v>168</v>
      </c>
      <c r="B115" s="6">
        <v>46306</v>
      </c>
      <c r="C115" s="56">
        <v>0.25</v>
      </c>
      <c r="D115" s="56">
        <v>0.77013888888888904</v>
      </c>
      <c r="E115" s="57">
        <v>0.39652777777777798</v>
      </c>
      <c r="F115" s="58">
        <v>0.41736111111111102</v>
      </c>
      <c r="G115" s="59" t="str">
        <f t="array" ref="G115">_xlfn.XLOOKUP(A115&amp;"|"&amp;B115,ShiftRoster[Employee ID]&amp;"|"&amp;ShiftRoster[Date],ShiftRoster[Shift Code],_xlfn.XLOOKUP(A115,TRIM(SUBSTITUTE('worker file'!$A$2:$A$406,_xlfn.UNICHAR(160)," ")),'worker file'!$X$2:$X$406,"?"),0,-1)</f>
        <v>WKND</v>
      </c>
      <c r="H115" s="59" t="str">
        <f>_xlfn.XLOOKUP(G115,ShiftCodes[Code],ShiftCodes[Work Schedule],"Unknown")</f>
        <v>Shift D – Weekend (Fri–Sun 06:00–18:30)</v>
      </c>
      <c r="I115" s="60">
        <f>_xlfn.XLOOKUP(G115,ShiftCodes[Code],ShiftCodes[Start],"")</f>
        <v>0.25</v>
      </c>
      <c r="J115" s="61">
        <f t="shared" si="5"/>
        <v>0</v>
      </c>
      <c r="K115" s="59" t="str">
        <f t="shared" si="6"/>
        <v>OK</v>
      </c>
      <c r="L115" s="62"/>
      <c r="M115" s="5" t="str">
        <f t="shared" si="7"/>
        <v>Sun</v>
      </c>
      <c r="N115" s="63">
        <f t="shared" si="8"/>
        <v>11.98</v>
      </c>
      <c r="O115" s="5" t="s">
        <v>758</v>
      </c>
      <c r="P115" s="6">
        <v>46306</v>
      </c>
      <c r="Q115" s="5" t="str">
        <f t="shared" si="9"/>
        <v>Current period</v>
      </c>
      <c r="R115" s="5" t="str">
        <f t="array" ref="R115">_xlfn.XLOOKUP(A115,TRIM(SUBSTITUTE('worker file'!$A$2:$A$406,_xlfn.UNICHAR(160)," ")),'worker file'!$D$2:$D$406,"Not found")</f>
        <v>CA</v>
      </c>
    </row>
    <row r="116" spans="1:18" ht="16" x14ac:dyDescent="0.2">
      <c r="A116" s="5" t="s">
        <v>168</v>
      </c>
      <c r="B116" s="6">
        <v>46311</v>
      </c>
      <c r="C116" s="56">
        <v>0.25138888888888899</v>
      </c>
      <c r="D116" s="56">
        <v>0.77083333333333304</v>
      </c>
      <c r="E116" s="57">
        <v>0.436805555555556</v>
      </c>
      <c r="F116" s="58">
        <v>0.45763888888888898</v>
      </c>
      <c r="G116" s="59" t="str">
        <f t="array" ref="G116">_xlfn.XLOOKUP(A116&amp;"|"&amp;B116,ShiftRoster[Employee ID]&amp;"|"&amp;ShiftRoster[Date],ShiftRoster[Shift Code],_xlfn.XLOOKUP(A116,TRIM(SUBSTITUTE('worker file'!$A$2:$A$406,_xlfn.UNICHAR(160)," ")),'worker file'!$X$2:$X$406,"?"),0,-1)</f>
        <v>WKND</v>
      </c>
      <c r="H116" s="59" t="str">
        <f>_xlfn.XLOOKUP(G116,ShiftCodes[Code],ShiftCodes[Work Schedule],"Unknown")</f>
        <v>Shift D – Weekend (Fri–Sun 06:00–18:30)</v>
      </c>
      <c r="I116" s="60">
        <f>_xlfn.XLOOKUP(G116,ShiftCodes[Code],ShiftCodes[Start],"")</f>
        <v>0.25</v>
      </c>
      <c r="J116" s="61">
        <f t="shared" si="5"/>
        <v>2</v>
      </c>
      <c r="K116" s="59" t="str">
        <f t="shared" si="6"/>
        <v>OK</v>
      </c>
      <c r="L116" s="62"/>
      <c r="M116" s="5" t="str">
        <f t="shared" si="7"/>
        <v>Fri</v>
      </c>
      <c r="N116" s="63">
        <f t="shared" si="8"/>
        <v>11.97</v>
      </c>
      <c r="O116" s="5" t="s">
        <v>758</v>
      </c>
      <c r="P116" s="6">
        <v>46311</v>
      </c>
      <c r="Q116" s="5" t="str">
        <f t="shared" si="9"/>
        <v>Current period</v>
      </c>
      <c r="R116" s="5" t="str">
        <f t="array" ref="R116">_xlfn.XLOOKUP(A116,TRIM(SUBSTITUTE('worker file'!$A$2:$A$406,_xlfn.UNICHAR(160)," ")),'worker file'!$D$2:$D$406,"Not found")</f>
        <v>CA</v>
      </c>
    </row>
    <row r="117" spans="1:18" ht="16" x14ac:dyDescent="0.2">
      <c r="A117" s="5" t="s">
        <v>168</v>
      </c>
      <c r="B117" s="6">
        <v>46312</v>
      </c>
      <c r="C117" s="56">
        <v>0.25277777777777799</v>
      </c>
      <c r="D117" s="56">
        <v>0.77222222222222203</v>
      </c>
      <c r="E117" s="57">
        <v>0.40833333333333299</v>
      </c>
      <c r="F117" s="58">
        <v>0.42916666666666697</v>
      </c>
      <c r="G117" s="59" t="str">
        <f t="array" ref="G117">_xlfn.XLOOKUP(A117&amp;"|"&amp;B117,ShiftRoster[Employee ID]&amp;"|"&amp;ShiftRoster[Date],ShiftRoster[Shift Code],_xlfn.XLOOKUP(A117,TRIM(SUBSTITUTE('worker file'!$A$2:$A$406,_xlfn.UNICHAR(160)," ")),'worker file'!$X$2:$X$406,"?"),0,-1)</f>
        <v>WKND</v>
      </c>
      <c r="H117" s="59" t="str">
        <f>_xlfn.XLOOKUP(G117,ShiftCodes[Code],ShiftCodes[Work Schedule],"Unknown")</f>
        <v>Shift D – Weekend (Fri–Sun 06:00–18:30)</v>
      </c>
      <c r="I117" s="60">
        <f>_xlfn.XLOOKUP(G117,ShiftCodes[Code],ShiftCodes[Start],"")</f>
        <v>0.25</v>
      </c>
      <c r="J117" s="61">
        <f t="shared" si="5"/>
        <v>4</v>
      </c>
      <c r="K117" s="59" t="str">
        <f t="shared" si="6"/>
        <v>OK</v>
      </c>
      <c r="L117" s="62"/>
      <c r="M117" s="5" t="str">
        <f t="shared" si="7"/>
        <v>Sat</v>
      </c>
      <c r="N117" s="63">
        <f t="shared" si="8"/>
        <v>11.97</v>
      </c>
      <c r="O117" s="5" t="s">
        <v>758</v>
      </c>
      <c r="P117" s="6">
        <v>46312</v>
      </c>
      <c r="Q117" s="5" t="str">
        <f t="shared" si="9"/>
        <v>Current period</v>
      </c>
      <c r="R117" s="5" t="str">
        <f t="array" ref="R117">_xlfn.XLOOKUP(A117,TRIM(SUBSTITUTE('worker file'!$A$2:$A$406,_xlfn.UNICHAR(160)," ")),'worker file'!$D$2:$D$406,"Not found")</f>
        <v>CA</v>
      </c>
    </row>
    <row r="118" spans="1:18" ht="16" x14ac:dyDescent="0.2">
      <c r="A118" s="5" t="s">
        <v>177</v>
      </c>
      <c r="B118" s="6">
        <v>46299</v>
      </c>
      <c r="C118" s="56">
        <v>0.24791666666666701</v>
      </c>
      <c r="D118" s="56">
        <v>0.77083333333333304</v>
      </c>
      <c r="E118" s="57">
        <v>0.422916666666667</v>
      </c>
      <c r="F118" s="58">
        <v>0.44374999999999998</v>
      </c>
      <c r="G118" s="59" t="str">
        <f t="array" ref="G118">_xlfn.XLOOKUP(A118&amp;"|"&amp;B118,ShiftRoster[Employee ID]&amp;"|"&amp;ShiftRoster[Date],ShiftRoster[Shift Code],_xlfn.XLOOKUP(A118,TRIM(SUBSTITUTE('worker file'!$A$2:$A$406,_xlfn.UNICHAR(160)," ")),'worker file'!$X$2:$X$406,"?"),0,-1)</f>
        <v>WKND</v>
      </c>
      <c r="H118" s="59" t="str">
        <f>_xlfn.XLOOKUP(G118,ShiftCodes[Code],ShiftCodes[Work Schedule],"Unknown")</f>
        <v>Shift D – Weekend (Fri–Sun 06:00–18:30)</v>
      </c>
      <c r="I118" s="60">
        <f>_xlfn.XLOOKUP(G118,ShiftCodes[Code],ShiftCodes[Start],"")</f>
        <v>0.25</v>
      </c>
      <c r="J118" s="61">
        <f t="shared" si="5"/>
        <v>-3</v>
      </c>
      <c r="K118" s="59" t="str">
        <f t="shared" si="6"/>
        <v>OK</v>
      </c>
      <c r="L118" s="62"/>
      <c r="M118" s="5" t="str">
        <f t="shared" si="7"/>
        <v>Sun</v>
      </c>
      <c r="N118" s="63">
        <f t="shared" si="8"/>
        <v>12.05</v>
      </c>
      <c r="O118" s="5" t="s">
        <v>758</v>
      </c>
      <c r="P118" s="6">
        <v>46299</v>
      </c>
      <c r="Q118" s="5" t="str">
        <f t="shared" si="9"/>
        <v>Current period</v>
      </c>
      <c r="R118" s="5" t="str">
        <f t="array" ref="R118">_xlfn.XLOOKUP(A118,TRIM(SUBSTITUTE('worker file'!$A$2:$A$406,_xlfn.UNICHAR(160)," ")),'worker file'!$D$2:$D$406,"Not found")</f>
        <v>CA</v>
      </c>
    </row>
    <row r="119" spans="1:18" ht="16" x14ac:dyDescent="0.2">
      <c r="A119" s="5" t="s">
        <v>177</v>
      </c>
      <c r="B119" s="6">
        <v>46304</v>
      </c>
      <c r="C119" s="56">
        <v>0.25277777777777799</v>
      </c>
      <c r="D119" s="56">
        <v>0.77291666666666703</v>
      </c>
      <c r="E119" s="57">
        <v>0.42569444444444399</v>
      </c>
      <c r="F119" s="58">
        <v>0.44652777777777802</v>
      </c>
      <c r="G119" s="59" t="str">
        <f t="array" ref="G119">_xlfn.XLOOKUP(A119&amp;"|"&amp;B119,ShiftRoster[Employee ID]&amp;"|"&amp;ShiftRoster[Date],ShiftRoster[Shift Code],_xlfn.XLOOKUP(A119,TRIM(SUBSTITUTE('worker file'!$A$2:$A$406,_xlfn.UNICHAR(160)," ")),'worker file'!$X$2:$X$406,"?"),0,-1)</f>
        <v>WKND</v>
      </c>
      <c r="H119" s="59" t="str">
        <f>_xlfn.XLOOKUP(G119,ShiftCodes[Code],ShiftCodes[Work Schedule],"Unknown")</f>
        <v>Shift D – Weekend (Fri–Sun 06:00–18:30)</v>
      </c>
      <c r="I119" s="60">
        <f>_xlfn.XLOOKUP(G119,ShiftCodes[Code],ShiftCodes[Start],"")</f>
        <v>0.25</v>
      </c>
      <c r="J119" s="61">
        <f t="shared" si="5"/>
        <v>4</v>
      </c>
      <c r="K119" s="59" t="str">
        <f t="shared" si="6"/>
        <v>OK</v>
      </c>
      <c r="L119" s="62"/>
      <c r="M119" s="5" t="str">
        <f t="shared" si="7"/>
        <v>Fri</v>
      </c>
      <c r="N119" s="63">
        <f t="shared" si="8"/>
        <v>11.98</v>
      </c>
      <c r="O119" s="5" t="s">
        <v>758</v>
      </c>
      <c r="P119" s="6">
        <v>46304</v>
      </c>
      <c r="Q119" s="5" t="str">
        <f t="shared" si="9"/>
        <v>Current period</v>
      </c>
      <c r="R119" s="5" t="str">
        <f t="array" ref="R119">_xlfn.XLOOKUP(A119,TRIM(SUBSTITUTE('worker file'!$A$2:$A$406,_xlfn.UNICHAR(160)," ")),'worker file'!$D$2:$D$406,"Not found")</f>
        <v>CA</v>
      </c>
    </row>
    <row r="120" spans="1:18" ht="16" x14ac:dyDescent="0.2">
      <c r="A120" s="5" t="s">
        <v>177</v>
      </c>
      <c r="B120" s="6">
        <v>46305</v>
      </c>
      <c r="C120" s="56">
        <v>0.25138888888888899</v>
      </c>
      <c r="D120" s="56">
        <v>0.77013888888888904</v>
      </c>
      <c r="E120" s="57">
        <v>0.42708333333333298</v>
      </c>
      <c r="F120" s="58">
        <v>0.44791666666666702</v>
      </c>
      <c r="G120" s="59" t="str">
        <f t="array" ref="G120">_xlfn.XLOOKUP(A120&amp;"|"&amp;B120,ShiftRoster[Employee ID]&amp;"|"&amp;ShiftRoster[Date],ShiftRoster[Shift Code],_xlfn.XLOOKUP(A120,TRIM(SUBSTITUTE('worker file'!$A$2:$A$406,_xlfn.UNICHAR(160)," ")),'worker file'!$X$2:$X$406,"?"),0,-1)</f>
        <v>WKND</v>
      </c>
      <c r="H120" s="59" t="str">
        <f>_xlfn.XLOOKUP(G120,ShiftCodes[Code],ShiftCodes[Work Schedule],"Unknown")</f>
        <v>Shift D – Weekend (Fri–Sun 06:00–18:30)</v>
      </c>
      <c r="I120" s="60">
        <f>_xlfn.XLOOKUP(G120,ShiftCodes[Code],ShiftCodes[Start],"")</f>
        <v>0.25</v>
      </c>
      <c r="J120" s="61">
        <f t="shared" si="5"/>
        <v>2</v>
      </c>
      <c r="K120" s="59" t="str">
        <f t="shared" si="6"/>
        <v>OK</v>
      </c>
      <c r="L120" s="62"/>
      <c r="M120" s="5" t="str">
        <f t="shared" si="7"/>
        <v>Sat</v>
      </c>
      <c r="N120" s="63">
        <f t="shared" si="8"/>
        <v>11.95</v>
      </c>
      <c r="O120" s="5" t="s">
        <v>758</v>
      </c>
      <c r="P120" s="6">
        <v>46305</v>
      </c>
      <c r="Q120" s="5" t="str">
        <f t="shared" si="9"/>
        <v>Current period</v>
      </c>
      <c r="R120" s="5" t="str">
        <f t="array" ref="R120">_xlfn.XLOOKUP(A120,TRIM(SUBSTITUTE('worker file'!$A$2:$A$406,_xlfn.UNICHAR(160)," ")),'worker file'!$D$2:$D$406,"Not found")</f>
        <v>CA</v>
      </c>
    </row>
    <row r="121" spans="1:18" ht="16" x14ac:dyDescent="0.2">
      <c r="A121" s="5" t="s">
        <v>177</v>
      </c>
      <c r="B121" s="6">
        <v>46306</v>
      </c>
      <c r="C121" s="56">
        <v>0.25</v>
      </c>
      <c r="D121" s="56">
        <v>0.76736111111111105</v>
      </c>
      <c r="E121" s="57">
        <v>0.422222222222222</v>
      </c>
      <c r="F121" s="58">
        <v>0.44305555555555598</v>
      </c>
      <c r="G121" s="59" t="str">
        <f t="array" ref="G121">_xlfn.XLOOKUP(A121&amp;"|"&amp;B121,ShiftRoster[Employee ID]&amp;"|"&amp;ShiftRoster[Date],ShiftRoster[Shift Code],_xlfn.XLOOKUP(A121,TRIM(SUBSTITUTE('worker file'!$A$2:$A$406,_xlfn.UNICHAR(160)," ")),'worker file'!$X$2:$X$406,"?"),0,-1)</f>
        <v>WKND</v>
      </c>
      <c r="H121" s="59" t="str">
        <f>_xlfn.XLOOKUP(G121,ShiftCodes[Code],ShiftCodes[Work Schedule],"Unknown")</f>
        <v>Shift D – Weekend (Fri–Sun 06:00–18:30)</v>
      </c>
      <c r="I121" s="60">
        <f>_xlfn.XLOOKUP(G121,ShiftCodes[Code],ShiftCodes[Start],"")</f>
        <v>0.25</v>
      </c>
      <c r="J121" s="61">
        <f t="shared" si="5"/>
        <v>0</v>
      </c>
      <c r="K121" s="59" t="str">
        <f t="shared" si="6"/>
        <v>OK</v>
      </c>
      <c r="L121" s="62"/>
      <c r="M121" s="5" t="str">
        <f t="shared" si="7"/>
        <v>Sun</v>
      </c>
      <c r="N121" s="63">
        <f t="shared" si="8"/>
        <v>11.92</v>
      </c>
      <c r="O121" s="5" t="s">
        <v>758</v>
      </c>
      <c r="P121" s="6">
        <v>46306</v>
      </c>
      <c r="Q121" s="5" t="str">
        <f t="shared" si="9"/>
        <v>Current period</v>
      </c>
      <c r="R121" s="5" t="str">
        <f t="array" ref="R121">_xlfn.XLOOKUP(A121,TRIM(SUBSTITUTE('worker file'!$A$2:$A$406,_xlfn.UNICHAR(160)," ")),'worker file'!$D$2:$D$406,"Not found")</f>
        <v>CA</v>
      </c>
    </row>
    <row r="122" spans="1:18" ht="16" x14ac:dyDescent="0.2">
      <c r="A122" s="5" t="s">
        <v>177</v>
      </c>
      <c r="B122" s="6">
        <v>46311</v>
      </c>
      <c r="C122" s="56">
        <v>0.25208333333333299</v>
      </c>
      <c r="D122" s="56">
        <v>0.77152777777777803</v>
      </c>
      <c r="E122" s="57">
        <v>0.42777777777777798</v>
      </c>
      <c r="F122" s="58">
        <v>0.44861111111111102</v>
      </c>
      <c r="G122" s="59" t="str">
        <f t="array" ref="G122">_xlfn.XLOOKUP(A122&amp;"|"&amp;B122,ShiftRoster[Employee ID]&amp;"|"&amp;ShiftRoster[Date],ShiftRoster[Shift Code],_xlfn.XLOOKUP(A122,TRIM(SUBSTITUTE('worker file'!$A$2:$A$406,_xlfn.UNICHAR(160)," ")),'worker file'!$X$2:$X$406,"?"),0,-1)</f>
        <v>WKND</v>
      </c>
      <c r="H122" s="59" t="str">
        <f>_xlfn.XLOOKUP(G122,ShiftCodes[Code],ShiftCodes[Work Schedule],"Unknown")</f>
        <v>Shift D – Weekend (Fri–Sun 06:00–18:30)</v>
      </c>
      <c r="I122" s="60">
        <f>_xlfn.XLOOKUP(G122,ShiftCodes[Code],ShiftCodes[Start],"")</f>
        <v>0.25</v>
      </c>
      <c r="J122" s="61">
        <f t="shared" si="5"/>
        <v>3</v>
      </c>
      <c r="K122" s="59" t="str">
        <f t="shared" si="6"/>
        <v>OK</v>
      </c>
      <c r="L122" s="62"/>
      <c r="M122" s="5" t="str">
        <f t="shared" si="7"/>
        <v>Fri</v>
      </c>
      <c r="N122" s="63">
        <f t="shared" si="8"/>
        <v>11.97</v>
      </c>
      <c r="O122" s="5" t="s">
        <v>758</v>
      </c>
      <c r="P122" s="6">
        <v>46311</v>
      </c>
      <c r="Q122" s="5" t="str">
        <f t="shared" si="9"/>
        <v>Current period</v>
      </c>
      <c r="R122" s="5" t="str">
        <f t="array" ref="R122">_xlfn.XLOOKUP(A122,TRIM(SUBSTITUTE('worker file'!$A$2:$A$406,_xlfn.UNICHAR(160)," ")),'worker file'!$D$2:$D$406,"Not found")</f>
        <v>CA</v>
      </c>
    </row>
    <row r="123" spans="1:18" ht="16" x14ac:dyDescent="0.2">
      <c r="A123" s="5" t="s">
        <v>177</v>
      </c>
      <c r="B123" s="6">
        <v>46312</v>
      </c>
      <c r="C123" s="56">
        <v>0.250694444444444</v>
      </c>
      <c r="D123" s="56">
        <v>0.76875000000000004</v>
      </c>
      <c r="E123" s="57">
        <v>0.422916666666667</v>
      </c>
      <c r="F123" s="58">
        <v>0.44374999999999998</v>
      </c>
      <c r="G123" s="59" t="str">
        <f t="array" ref="G123">_xlfn.XLOOKUP(A123&amp;"|"&amp;B123,ShiftRoster[Employee ID]&amp;"|"&amp;ShiftRoster[Date],ShiftRoster[Shift Code],_xlfn.XLOOKUP(A123,TRIM(SUBSTITUTE('worker file'!$A$2:$A$406,_xlfn.UNICHAR(160)," ")),'worker file'!$X$2:$X$406,"?"),0,-1)</f>
        <v>WKND</v>
      </c>
      <c r="H123" s="59" t="str">
        <f>_xlfn.XLOOKUP(G123,ShiftCodes[Code],ShiftCodes[Work Schedule],"Unknown")</f>
        <v>Shift D – Weekend (Fri–Sun 06:00–18:30)</v>
      </c>
      <c r="I123" s="60">
        <f>_xlfn.XLOOKUP(G123,ShiftCodes[Code],ShiftCodes[Start],"")</f>
        <v>0.25</v>
      </c>
      <c r="J123" s="61">
        <f t="shared" si="5"/>
        <v>1</v>
      </c>
      <c r="K123" s="59" t="str">
        <f t="shared" si="6"/>
        <v>OK</v>
      </c>
      <c r="L123" s="62"/>
      <c r="M123" s="5" t="str">
        <f t="shared" si="7"/>
        <v>Sat</v>
      </c>
      <c r="N123" s="63">
        <f t="shared" si="8"/>
        <v>11.93</v>
      </c>
      <c r="O123" s="5" t="s">
        <v>758</v>
      </c>
      <c r="P123" s="6">
        <v>46312</v>
      </c>
      <c r="Q123" s="5" t="str">
        <f t="shared" si="9"/>
        <v>Current period</v>
      </c>
      <c r="R123" s="5" t="str">
        <f t="array" ref="R123">_xlfn.XLOOKUP(A123,TRIM(SUBSTITUTE('worker file'!$A$2:$A$406,_xlfn.UNICHAR(160)," ")),'worker file'!$D$2:$D$406,"Not found")</f>
        <v>CA</v>
      </c>
    </row>
    <row r="124" spans="1:18" ht="16" x14ac:dyDescent="0.2">
      <c r="A124" s="5" t="s">
        <v>194</v>
      </c>
      <c r="B124" s="6">
        <v>46296</v>
      </c>
      <c r="C124" s="56">
        <v>0.25</v>
      </c>
      <c r="D124" s="56">
        <v>0.60416666666666696</v>
      </c>
      <c r="E124" s="57">
        <v>0.40972222222222199</v>
      </c>
      <c r="F124" s="58">
        <v>0.43055555555555602</v>
      </c>
      <c r="G124" s="59" t="str">
        <f t="array" ref="G124">_xlfn.XLOOKUP(A124&amp;"|"&amp;B124,ShiftRoster[Employee ID]&amp;"|"&amp;ShiftRoster[Date],ShiftRoster[Shift Code],_xlfn.XLOOKUP(A124,TRIM(SUBSTITUTE('worker file'!$A$2:$A$406,_xlfn.UNICHAR(160)," ")),'worker file'!$X$2:$X$406,"?"),0,-1)</f>
        <v>DAY</v>
      </c>
      <c r="H124" s="59" t="str">
        <f>_xlfn.XLOOKUP(G124,ShiftCodes[Code],ShiftCodes[Work Schedule],"Unknown")</f>
        <v>Shift A – Day (Mon–Fri 06:00–14:30)</v>
      </c>
      <c r="I124" s="60">
        <f>_xlfn.XLOOKUP(G124,ShiftCodes[Code],ShiftCodes[Start],"")</f>
        <v>0.25</v>
      </c>
      <c r="J124" s="61">
        <f t="shared" si="5"/>
        <v>0</v>
      </c>
      <c r="K124" s="59" t="str">
        <f t="shared" si="6"/>
        <v>OK</v>
      </c>
      <c r="L124" s="62" t="s">
        <v>773</v>
      </c>
      <c r="M124" s="5" t="str">
        <f t="shared" si="7"/>
        <v>Thu</v>
      </c>
      <c r="N124" s="63">
        <f t="shared" si="8"/>
        <v>8</v>
      </c>
      <c r="O124" s="5" t="s">
        <v>774</v>
      </c>
      <c r="P124" s="6">
        <v>46307</v>
      </c>
      <c r="Q124" s="5" t="str">
        <f t="shared" si="9"/>
        <v>Prior period</v>
      </c>
      <c r="R124" s="5" t="str">
        <f t="array" ref="R124">_xlfn.XLOOKUP(A124,TRIM(SUBSTITUTE('worker file'!$A$2:$A$406,_xlfn.UNICHAR(160)," ")),'worker file'!$D$2:$D$406,"Not found")</f>
        <v>CA</v>
      </c>
    </row>
    <row r="125" spans="1:18" ht="16" x14ac:dyDescent="0.2">
      <c r="A125" s="5" t="s">
        <v>194</v>
      </c>
      <c r="B125" s="6">
        <v>46300</v>
      </c>
      <c r="C125" s="56">
        <v>0.25138888888888899</v>
      </c>
      <c r="D125" s="56">
        <v>0.60277777777777797</v>
      </c>
      <c r="E125" s="57">
        <v>0.41875000000000001</v>
      </c>
      <c r="F125" s="58">
        <v>0.43958333333333299</v>
      </c>
      <c r="G125" s="59" t="str">
        <f t="array" ref="G125">_xlfn.XLOOKUP(A125&amp;"|"&amp;B125,ShiftRoster[Employee ID]&amp;"|"&amp;ShiftRoster[Date],ShiftRoster[Shift Code],_xlfn.XLOOKUP(A125,TRIM(SUBSTITUTE('worker file'!$A$2:$A$406,_xlfn.UNICHAR(160)," ")),'worker file'!$X$2:$X$406,"?"),0,-1)</f>
        <v>DAY</v>
      </c>
      <c r="H125" s="59" t="str">
        <f>_xlfn.XLOOKUP(G125,ShiftCodes[Code],ShiftCodes[Work Schedule],"Unknown")</f>
        <v>Shift A – Day (Mon–Fri 06:00–14:30)</v>
      </c>
      <c r="I125" s="60">
        <f>_xlfn.XLOOKUP(G125,ShiftCodes[Code],ShiftCodes[Start],"")</f>
        <v>0.25</v>
      </c>
      <c r="J125" s="61">
        <f t="shared" si="5"/>
        <v>2</v>
      </c>
      <c r="K125" s="59" t="str">
        <f t="shared" si="6"/>
        <v>OK</v>
      </c>
      <c r="L125" s="62"/>
      <c r="M125" s="5" t="str">
        <f t="shared" si="7"/>
        <v>Mon</v>
      </c>
      <c r="N125" s="63">
        <f t="shared" si="8"/>
        <v>7.93</v>
      </c>
      <c r="O125" s="5" t="s">
        <v>758</v>
      </c>
      <c r="P125" s="6">
        <v>46300</v>
      </c>
      <c r="Q125" s="5" t="str">
        <f t="shared" si="9"/>
        <v>Current period</v>
      </c>
      <c r="R125" s="5" t="str">
        <f t="array" ref="R125">_xlfn.XLOOKUP(A125,TRIM(SUBSTITUTE('worker file'!$A$2:$A$406,_xlfn.UNICHAR(160)," ")),'worker file'!$D$2:$D$406,"Not found")</f>
        <v>CA</v>
      </c>
    </row>
    <row r="126" spans="1:18" ht="16" x14ac:dyDescent="0.2">
      <c r="A126" s="5" t="s">
        <v>194</v>
      </c>
      <c r="B126" s="6">
        <v>46301</v>
      </c>
      <c r="C126" s="56">
        <v>0.24861111111111101</v>
      </c>
      <c r="D126" s="56">
        <v>0.59930555555555598</v>
      </c>
      <c r="E126" s="57">
        <v>0.39861111111111103</v>
      </c>
      <c r="F126" s="58">
        <v>0.41944444444444401</v>
      </c>
      <c r="G126" s="59" t="str">
        <f t="array" ref="G126">_xlfn.XLOOKUP(A126&amp;"|"&amp;B126,ShiftRoster[Employee ID]&amp;"|"&amp;ShiftRoster[Date],ShiftRoster[Shift Code],_xlfn.XLOOKUP(A126,TRIM(SUBSTITUTE('worker file'!$A$2:$A$406,_xlfn.UNICHAR(160)," ")),'worker file'!$X$2:$X$406,"?"),0,-1)</f>
        <v>DAY</v>
      </c>
      <c r="H126" s="59" t="str">
        <f>_xlfn.XLOOKUP(G126,ShiftCodes[Code],ShiftCodes[Work Schedule],"Unknown")</f>
        <v>Shift A – Day (Mon–Fri 06:00–14:30)</v>
      </c>
      <c r="I126" s="60">
        <f>_xlfn.XLOOKUP(G126,ShiftCodes[Code],ShiftCodes[Start],"")</f>
        <v>0.25</v>
      </c>
      <c r="J126" s="61">
        <f t="shared" si="5"/>
        <v>-2</v>
      </c>
      <c r="K126" s="59" t="str">
        <f t="shared" si="6"/>
        <v>OK</v>
      </c>
      <c r="L126" s="62"/>
      <c r="M126" s="5" t="str">
        <f t="shared" si="7"/>
        <v>Tue</v>
      </c>
      <c r="N126" s="63">
        <f t="shared" si="8"/>
        <v>7.92</v>
      </c>
      <c r="O126" s="5" t="s">
        <v>758</v>
      </c>
      <c r="P126" s="6">
        <v>46301</v>
      </c>
      <c r="Q126" s="5" t="str">
        <f t="shared" si="9"/>
        <v>Current period</v>
      </c>
      <c r="R126" s="5" t="str">
        <f t="array" ref="R126">_xlfn.XLOOKUP(A126,TRIM(SUBSTITUTE('worker file'!$A$2:$A$406,_xlfn.UNICHAR(160)," ")),'worker file'!$D$2:$D$406,"Not found")</f>
        <v>CA</v>
      </c>
    </row>
    <row r="127" spans="1:18" ht="16" x14ac:dyDescent="0.2">
      <c r="A127" s="5" t="s">
        <v>194</v>
      </c>
      <c r="B127" s="6">
        <v>46302</v>
      </c>
      <c r="C127" s="56">
        <v>0.25277777777777799</v>
      </c>
      <c r="D127" s="56">
        <v>0.60277777777777797</v>
      </c>
      <c r="E127" s="57">
        <v>0.40416666666666701</v>
      </c>
      <c r="F127" s="58">
        <v>0.42499999999999999</v>
      </c>
      <c r="G127" s="59" t="str">
        <f t="array" ref="G127">_xlfn.XLOOKUP(A127&amp;"|"&amp;B127,ShiftRoster[Employee ID]&amp;"|"&amp;ShiftRoster[Date],ShiftRoster[Shift Code],_xlfn.XLOOKUP(A127,TRIM(SUBSTITUTE('worker file'!$A$2:$A$406,_xlfn.UNICHAR(160)," ")),'worker file'!$X$2:$X$406,"?"),0,-1)</f>
        <v>DAY</v>
      </c>
      <c r="H127" s="59" t="str">
        <f>_xlfn.XLOOKUP(G127,ShiftCodes[Code],ShiftCodes[Work Schedule],"Unknown")</f>
        <v>Shift A – Day (Mon–Fri 06:00–14:30)</v>
      </c>
      <c r="I127" s="60">
        <f>_xlfn.XLOOKUP(G127,ShiftCodes[Code],ShiftCodes[Start],"")</f>
        <v>0.25</v>
      </c>
      <c r="J127" s="61">
        <f t="shared" si="5"/>
        <v>4</v>
      </c>
      <c r="K127" s="59" t="str">
        <f t="shared" si="6"/>
        <v>OK</v>
      </c>
      <c r="L127" s="62"/>
      <c r="M127" s="5" t="str">
        <f t="shared" si="7"/>
        <v>Wed</v>
      </c>
      <c r="N127" s="63">
        <f t="shared" si="8"/>
        <v>7.9</v>
      </c>
      <c r="O127" s="5" t="s">
        <v>758</v>
      </c>
      <c r="P127" s="6">
        <v>46302</v>
      </c>
      <c r="Q127" s="5" t="str">
        <f t="shared" si="9"/>
        <v>Current period</v>
      </c>
      <c r="R127" s="5" t="str">
        <f t="array" ref="R127">_xlfn.XLOOKUP(A127,TRIM(SUBSTITUTE('worker file'!$A$2:$A$406,_xlfn.UNICHAR(160)," ")),'worker file'!$D$2:$D$406,"Not found")</f>
        <v>CA</v>
      </c>
    </row>
    <row r="128" spans="1:18" ht="16" x14ac:dyDescent="0.2">
      <c r="A128" s="5" t="s">
        <v>194</v>
      </c>
      <c r="B128" s="6">
        <v>46303</v>
      </c>
      <c r="C128" s="56">
        <v>0.250694444444444</v>
      </c>
      <c r="D128" s="56">
        <v>0.60069444444444398</v>
      </c>
      <c r="E128" s="57">
        <v>0.43055555555555602</v>
      </c>
      <c r="F128" s="58">
        <v>0.45138888888888901</v>
      </c>
      <c r="G128" s="59" t="str">
        <f t="array" ref="G128">_xlfn.XLOOKUP(A128&amp;"|"&amp;B128,ShiftRoster[Employee ID]&amp;"|"&amp;ShiftRoster[Date],ShiftRoster[Shift Code],_xlfn.XLOOKUP(A128,TRIM(SUBSTITUTE('worker file'!$A$2:$A$406,_xlfn.UNICHAR(160)," ")),'worker file'!$X$2:$X$406,"?"),0,-1)</f>
        <v>DAY</v>
      </c>
      <c r="H128" s="59" t="str">
        <f>_xlfn.XLOOKUP(G128,ShiftCodes[Code],ShiftCodes[Work Schedule],"Unknown")</f>
        <v>Shift A – Day (Mon–Fri 06:00–14:30)</v>
      </c>
      <c r="I128" s="60">
        <f>_xlfn.XLOOKUP(G128,ShiftCodes[Code],ShiftCodes[Start],"")</f>
        <v>0.25</v>
      </c>
      <c r="J128" s="61">
        <f t="shared" si="5"/>
        <v>1</v>
      </c>
      <c r="K128" s="59" t="str">
        <f t="shared" si="6"/>
        <v>OK</v>
      </c>
      <c r="L128" s="62"/>
      <c r="M128" s="5" t="str">
        <f t="shared" si="7"/>
        <v>Thu</v>
      </c>
      <c r="N128" s="63">
        <f t="shared" si="8"/>
        <v>7.9</v>
      </c>
      <c r="O128" s="5" t="s">
        <v>758</v>
      </c>
      <c r="P128" s="6">
        <v>46303</v>
      </c>
      <c r="Q128" s="5" t="str">
        <f t="shared" si="9"/>
        <v>Current period</v>
      </c>
      <c r="R128" s="5" t="str">
        <f t="array" ref="R128">_xlfn.XLOOKUP(A128,TRIM(SUBSTITUTE('worker file'!$A$2:$A$406,_xlfn.UNICHAR(160)," ")),'worker file'!$D$2:$D$406,"Not found")</f>
        <v>CA</v>
      </c>
    </row>
    <row r="129" spans="1:18" ht="16" x14ac:dyDescent="0.2">
      <c r="A129" s="5" t="s">
        <v>194</v>
      </c>
      <c r="B129" s="6">
        <v>46304</v>
      </c>
      <c r="C129" s="56">
        <v>0.24722222222222201</v>
      </c>
      <c r="D129" s="56">
        <v>0.59722222222222199</v>
      </c>
      <c r="E129" s="57">
        <v>0.39583333333333298</v>
      </c>
      <c r="F129" s="58">
        <v>0.41666666666666702</v>
      </c>
      <c r="G129" s="59" t="str">
        <f t="array" ref="G129">_xlfn.XLOOKUP(A129&amp;"|"&amp;B129,ShiftRoster[Employee ID]&amp;"|"&amp;ShiftRoster[Date],ShiftRoster[Shift Code],_xlfn.XLOOKUP(A129,TRIM(SUBSTITUTE('worker file'!$A$2:$A$406,_xlfn.UNICHAR(160)," ")),'worker file'!$X$2:$X$406,"?"),0,-1)</f>
        <v>DAY</v>
      </c>
      <c r="H129" s="59" t="str">
        <f>_xlfn.XLOOKUP(G129,ShiftCodes[Code],ShiftCodes[Work Schedule],"Unknown")</f>
        <v>Shift A – Day (Mon–Fri 06:00–14:30)</v>
      </c>
      <c r="I129" s="60">
        <f>_xlfn.XLOOKUP(G129,ShiftCodes[Code],ShiftCodes[Start],"")</f>
        <v>0.25</v>
      </c>
      <c r="J129" s="61">
        <f t="shared" si="5"/>
        <v>-4</v>
      </c>
      <c r="K129" s="59" t="str">
        <f t="shared" si="6"/>
        <v>OK</v>
      </c>
      <c r="L129" s="62"/>
      <c r="M129" s="5" t="str">
        <f t="shared" si="7"/>
        <v>Fri</v>
      </c>
      <c r="N129" s="63">
        <f t="shared" si="8"/>
        <v>7.9</v>
      </c>
      <c r="O129" s="5" t="s">
        <v>758</v>
      </c>
      <c r="P129" s="6">
        <v>46304</v>
      </c>
      <c r="Q129" s="5" t="str">
        <f t="shared" si="9"/>
        <v>Current period</v>
      </c>
      <c r="R129" s="5" t="str">
        <f t="array" ref="R129">_xlfn.XLOOKUP(A129,TRIM(SUBSTITUTE('worker file'!$A$2:$A$406,_xlfn.UNICHAR(160)," ")),'worker file'!$D$2:$D$406,"Not found")</f>
        <v>CA</v>
      </c>
    </row>
    <row r="130" spans="1:18" ht="16" x14ac:dyDescent="0.2">
      <c r="A130" s="5" t="s">
        <v>194</v>
      </c>
      <c r="B130" s="6">
        <v>46307</v>
      </c>
      <c r="C130" s="56">
        <v>0.24583333333333299</v>
      </c>
      <c r="D130" s="56">
        <v>0.59722222222222199</v>
      </c>
      <c r="E130" s="57">
        <v>0.43263888888888902</v>
      </c>
      <c r="F130" s="58">
        <v>0.453472222222222</v>
      </c>
      <c r="G130" s="59" t="str">
        <f t="array" ref="G130">_xlfn.XLOOKUP(A130&amp;"|"&amp;B130,ShiftRoster[Employee ID]&amp;"|"&amp;ShiftRoster[Date],ShiftRoster[Shift Code],_xlfn.XLOOKUP(A130,TRIM(SUBSTITUTE('worker file'!$A$2:$A$406,_xlfn.UNICHAR(160)," ")),'worker file'!$X$2:$X$406,"?"),0,-1)</f>
        <v>DAY</v>
      </c>
      <c r="H130" s="59" t="str">
        <f>_xlfn.XLOOKUP(G130,ShiftCodes[Code],ShiftCodes[Work Schedule],"Unknown")</f>
        <v>Shift A – Day (Mon–Fri 06:00–14:30)</v>
      </c>
      <c r="I130" s="60">
        <f>_xlfn.XLOOKUP(G130,ShiftCodes[Code],ShiftCodes[Start],"")</f>
        <v>0.25</v>
      </c>
      <c r="J130" s="61">
        <f t="shared" ref="J130:J193" si="10">IF(OR(C130="",I130=""),"",ROUND((MOD(C130-I130+0.5,1)-0.5)*1440,0))</f>
        <v>-6</v>
      </c>
      <c r="K130" s="59" t="str">
        <f t="shared" ref="K130:K193" si="11">IF(J130="","",IF(ABS(J130)&gt;$U$3,"Off-schedule","OK"))</f>
        <v>OK</v>
      </c>
      <c r="L130" s="62"/>
      <c r="M130" s="5" t="str">
        <f t="shared" ref="M130:M193" si="12">TEXT(B130,"ddd")</f>
        <v>Mon</v>
      </c>
      <c r="N130" s="63">
        <f t="shared" ref="N130:N193" si="13">IF(OR(C130="",D130=""),"",ROUND((MOD(D130-C130,1)-IF(ISNUMBER(E130),MOD(F130-E130,1),0))*24,2))</f>
        <v>7.93</v>
      </c>
      <c r="O130" s="5" t="s">
        <v>758</v>
      </c>
      <c r="P130" s="6">
        <v>46307</v>
      </c>
      <c r="Q130" s="5" t="str">
        <f t="shared" ref="Q130:Q193" si="14">IF(B130&lt;$U$1,"Prior period",IF(B130&gt;$U$2,"Future period","Current period"))</f>
        <v>Current period</v>
      </c>
      <c r="R130" s="5" t="str">
        <f t="array" ref="R130">_xlfn.XLOOKUP(A130,TRIM(SUBSTITUTE('worker file'!$A$2:$A$406,_xlfn.UNICHAR(160)," ")),'worker file'!$D$2:$D$406,"Not found")</f>
        <v>CA</v>
      </c>
    </row>
    <row r="131" spans="1:18" ht="16" x14ac:dyDescent="0.2">
      <c r="A131" s="5" t="s">
        <v>194</v>
      </c>
      <c r="B131" s="6">
        <v>46308</v>
      </c>
      <c r="C131" s="56">
        <v>0.24722222222222201</v>
      </c>
      <c r="D131" s="56">
        <v>0.59722222222222199</v>
      </c>
      <c r="E131" s="57">
        <v>0.41180555555555598</v>
      </c>
      <c r="F131" s="58">
        <v>0.43263888888888902</v>
      </c>
      <c r="G131" s="59" t="str">
        <f t="array" ref="G131">_xlfn.XLOOKUP(A131&amp;"|"&amp;B131,ShiftRoster[Employee ID]&amp;"|"&amp;ShiftRoster[Date],ShiftRoster[Shift Code],_xlfn.XLOOKUP(A131,TRIM(SUBSTITUTE('worker file'!$A$2:$A$406,_xlfn.UNICHAR(160)," ")),'worker file'!$X$2:$X$406,"?"),0,-1)</f>
        <v>DAY</v>
      </c>
      <c r="H131" s="59" t="str">
        <f>_xlfn.XLOOKUP(G131,ShiftCodes[Code],ShiftCodes[Work Schedule],"Unknown")</f>
        <v>Shift A – Day (Mon–Fri 06:00–14:30)</v>
      </c>
      <c r="I131" s="60">
        <f>_xlfn.XLOOKUP(G131,ShiftCodes[Code],ShiftCodes[Start],"")</f>
        <v>0.25</v>
      </c>
      <c r="J131" s="61">
        <f t="shared" si="10"/>
        <v>-4</v>
      </c>
      <c r="K131" s="59" t="str">
        <f t="shared" si="11"/>
        <v>OK</v>
      </c>
      <c r="L131" s="62"/>
      <c r="M131" s="5" t="str">
        <f t="shared" si="12"/>
        <v>Tue</v>
      </c>
      <c r="N131" s="63">
        <f t="shared" si="13"/>
        <v>7.9</v>
      </c>
      <c r="O131" s="5" t="s">
        <v>758</v>
      </c>
      <c r="P131" s="6">
        <v>46308</v>
      </c>
      <c r="Q131" s="5" t="str">
        <f t="shared" si="14"/>
        <v>Current period</v>
      </c>
      <c r="R131" s="5" t="str">
        <f t="array" ref="R131">_xlfn.XLOOKUP(A131,TRIM(SUBSTITUTE('worker file'!$A$2:$A$406,_xlfn.UNICHAR(160)," ")),'worker file'!$D$2:$D$406,"Not found")</f>
        <v>CA</v>
      </c>
    </row>
    <row r="132" spans="1:18" ht="16" x14ac:dyDescent="0.2">
      <c r="A132" s="5" t="s">
        <v>194</v>
      </c>
      <c r="B132" s="6">
        <v>46309</v>
      </c>
      <c r="C132" s="56">
        <v>0.25208333333333299</v>
      </c>
      <c r="D132" s="56">
        <v>0.60277777777777797</v>
      </c>
      <c r="E132" s="57">
        <v>0.40138888888888902</v>
      </c>
      <c r="F132" s="58">
        <v>0.422222222222222</v>
      </c>
      <c r="G132" s="59" t="str">
        <f t="array" ref="G132">_xlfn.XLOOKUP(A132&amp;"|"&amp;B132,ShiftRoster[Employee ID]&amp;"|"&amp;ShiftRoster[Date],ShiftRoster[Shift Code],_xlfn.XLOOKUP(A132,TRIM(SUBSTITUTE('worker file'!$A$2:$A$406,_xlfn.UNICHAR(160)," ")),'worker file'!$X$2:$X$406,"?"),0,-1)</f>
        <v>DAY</v>
      </c>
      <c r="H132" s="59" t="str">
        <f>_xlfn.XLOOKUP(G132,ShiftCodes[Code],ShiftCodes[Work Schedule],"Unknown")</f>
        <v>Shift A – Day (Mon–Fri 06:00–14:30)</v>
      </c>
      <c r="I132" s="60">
        <f>_xlfn.XLOOKUP(G132,ShiftCodes[Code],ShiftCodes[Start],"")</f>
        <v>0.25</v>
      </c>
      <c r="J132" s="61">
        <f t="shared" si="10"/>
        <v>3</v>
      </c>
      <c r="K132" s="59" t="str">
        <f t="shared" si="11"/>
        <v>OK</v>
      </c>
      <c r="L132" s="62"/>
      <c r="M132" s="5" t="str">
        <f t="shared" si="12"/>
        <v>Wed</v>
      </c>
      <c r="N132" s="63">
        <f t="shared" si="13"/>
        <v>7.92</v>
      </c>
      <c r="O132" s="5" t="s">
        <v>758</v>
      </c>
      <c r="P132" s="6">
        <v>46309</v>
      </c>
      <c r="Q132" s="5" t="str">
        <f t="shared" si="14"/>
        <v>Current period</v>
      </c>
      <c r="R132" s="5" t="str">
        <f t="array" ref="R132">_xlfn.XLOOKUP(A132,TRIM(SUBSTITUTE('worker file'!$A$2:$A$406,_xlfn.UNICHAR(160)," ")),'worker file'!$D$2:$D$406,"Not found")</f>
        <v>CA</v>
      </c>
    </row>
    <row r="133" spans="1:18" ht="16" x14ac:dyDescent="0.2">
      <c r="A133" s="5" t="s">
        <v>194</v>
      </c>
      <c r="B133" s="6">
        <v>46310</v>
      </c>
      <c r="C133" s="56">
        <v>0.24791666666666701</v>
      </c>
      <c r="D133" s="56">
        <v>0.59652777777777799</v>
      </c>
      <c r="E133" s="57">
        <v>0.42777777777777798</v>
      </c>
      <c r="F133" s="58">
        <v>0.44861111111111102</v>
      </c>
      <c r="G133" s="59" t="str">
        <f t="array" ref="G133">_xlfn.XLOOKUP(A133&amp;"|"&amp;B133,ShiftRoster[Employee ID]&amp;"|"&amp;ShiftRoster[Date],ShiftRoster[Shift Code],_xlfn.XLOOKUP(A133,TRIM(SUBSTITUTE('worker file'!$A$2:$A$406,_xlfn.UNICHAR(160)," ")),'worker file'!$X$2:$X$406,"?"),0,-1)</f>
        <v>DAY</v>
      </c>
      <c r="H133" s="59" t="str">
        <f>_xlfn.XLOOKUP(G133,ShiftCodes[Code],ShiftCodes[Work Schedule],"Unknown")</f>
        <v>Shift A – Day (Mon–Fri 06:00–14:30)</v>
      </c>
      <c r="I133" s="60">
        <f>_xlfn.XLOOKUP(G133,ShiftCodes[Code],ShiftCodes[Start],"")</f>
        <v>0.25</v>
      </c>
      <c r="J133" s="61">
        <f t="shared" si="10"/>
        <v>-3</v>
      </c>
      <c r="K133" s="59" t="str">
        <f t="shared" si="11"/>
        <v>OK</v>
      </c>
      <c r="L133" s="62"/>
      <c r="M133" s="5" t="str">
        <f t="shared" si="12"/>
        <v>Thu</v>
      </c>
      <c r="N133" s="63">
        <f t="shared" si="13"/>
        <v>7.87</v>
      </c>
      <c r="O133" s="5" t="s">
        <v>758</v>
      </c>
      <c r="P133" s="6">
        <v>46310</v>
      </c>
      <c r="Q133" s="5" t="str">
        <f t="shared" si="14"/>
        <v>Current period</v>
      </c>
      <c r="R133" s="5" t="str">
        <f t="array" ref="R133">_xlfn.XLOOKUP(A133,TRIM(SUBSTITUTE('worker file'!$A$2:$A$406,_xlfn.UNICHAR(160)," ")),'worker file'!$D$2:$D$406,"Not found")</f>
        <v>CA</v>
      </c>
    </row>
    <row r="134" spans="1:18" ht="16" x14ac:dyDescent="0.2">
      <c r="A134" s="5" t="s">
        <v>194</v>
      </c>
      <c r="B134" s="6">
        <v>46311</v>
      </c>
      <c r="C134" s="56">
        <v>0.25</v>
      </c>
      <c r="D134" s="56">
        <v>0.60208333333333297</v>
      </c>
      <c r="E134" s="57">
        <v>0.39722222222222198</v>
      </c>
      <c r="F134" s="58">
        <v>0.41805555555555601</v>
      </c>
      <c r="G134" s="59" t="str">
        <f t="array" ref="G134">_xlfn.XLOOKUP(A134&amp;"|"&amp;B134,ShiftRoster[Employee ID]&amp;"|"&amp;ShiftRoster[Date],ShiftRoster[Shift Code],_xlfn.XLOOKUP(A134,TRIM(SUBSTITUTE('worker file'!$A$2:$A$406,_xlfn.UNICHAR(160)," ")),'worker file'!$X$2:$X$406,"?"),0,-1)</f>
        <v>DAY</v>
      </c>
      <c r="H134" s="59" t="str">
        <f>_xlfn.XLOOKUP(G134,ShiftCodes[Code],ShiftCodes[Work Schedule],"Unknown")</f>
        <v>Shift A – Day (Mon–Fri 06:00–14:30)</v>
      </c>
      <c r="I134" s="60">
        <f>_xlfn.XLOOKUP(G134,ShiftCodes[Code],ShiftCodes[Start],"")</f>
        <v>0.25</v>
      </c>
      <c r="J134" s="61">
        <f t="shared" si="10"/>
        <v>0</v>
      </c>
      <c r="K134" s="59" t="str">
        <f t="shared" si="11"/>
        <v>OK</v>
      </c>
      <c r="L134" s="62"/>
      <c r="M134" s="5" t="str">
        <f t="shared" si="12"/>
        <v>Fri</v>
      </c>
      <c r="N134" s="63">
        <f t="shared" si="13"/>
        <v>7.95</v>
      </c>
      <c r="O134" s="5" t="s">
        <v>758</v>
      </c>
      <c r="P134" s="6">
        <v>46311</v>
      </c>
      <c r="Q134" s="5" t="str">
        <f t="shared" si="14"/>
        <v>Current period</v>
      </c>
      <c r="R134" s="5" t="str">
        <f t="array" ref="R134">_xlfn.XLOOKUP(A134,TRIM(SUBSTITUTE('worker file'!$A$2:$A$406,_xlfn.UNICHAR(160)," ")),'worker file'!$D$2:$D$406,"Not found")</f>
        <v>CA</v>
      </c>
    </row>
    <row r="135" spans="1:18" ht="16" x14ac:dyDescent="0.2">
      <c r="A135" s="5" t="s">
        <v>196</v>
      </c>
      <c r="B135" s="6">
        <v>46300</v>
      </c>
      <c r="C135" s="56">
        <v>0.25</v>
      </c>
      <c r="D135" s="56">
        <v>0.60069444444444398</v>
      </c>
      <c r="E135" s="57">
        <v>0.41875000000000001</v>
      </c>
      <c r="F135" s="58">
        <v>0.43958333333333299</v>
      </c>
      <c r="G135" s="59" t="str">
        <f t="array" ref="G135">_xlfn.XLOOKUP(A135&amp;"|"&amp;B135,ShiftRoster[Employee ID]&amp;"|"&amp;ShiftRoster[Date],ShiftRoster[Shift Code],_xlfn.XLOOKUP(A135,TRIM(SUBSTITUTE('worker file'!$A$2:$A$406,_xlfn.UNICHAR(160)," ")),'worker file'!$X$2:$X$406,"?"),0,-1)</f>
        <v>PT</v>
      </c>
      <c r="H135" s="59" t="str">
        <f>_xlfn.XLOOKUP(G135,ShiftCodes[Code],ShiftCodes[Work Schedule],"Unknown")</f>
        <v>Part-time – Day (Mon/Wed/Fri 06:00–14:30)</v>
      </c>
      <c r="I135" s="60">
        <f>_xlfn.XLOOKUP(G135,ShiftCodes[Code],ShiftCodes[Start],"")</f>
        <v>0.25</v>
      </c>
      <c r="J135" s="61">
        <f t="shared" si="10"/>
        <v>0</v>
      </c>
      <c r="K135" s="59" t="str">
        <f t="shared" si="11"/>
        <v>OK</v>
      </c>
      <c r="L135" s="62"/>
      <c r="M135" s="5" t="str">
        <f t="shared" si="12"/>
        <v>Mon</v>
      </c>
      <c r="N135" s="63">
        <f t="shared" si="13"/>
        <v>7.92</v>
      </c>
      <c r="O135" s="5" t="s">
        <v>758</v>
      </c>
      <c r="P135" s="6">
        <v>46300</v>
      </c>
      <c r="Q135" s="5" t="str">
        <f t="shared" si="14"/>
        <v>Current period</v>
      </c>
      <c r="R135" s="5" t="str">
        <f t="array" ref="R135">_xlfn.XLOOKUP(A135,TRIM(SUBSTITUTE('worker file'!$A$2:$A$406,_xlfn.UNICHAR(160)," ")),'worker file'!$D$2:$D$406,"Not found")</f>
        <v>TX</v>
      </c>
    </row>
    <row r="136" spans="1:18" ht="16" x14ac:dyDescent="0.2">
      <c r="A136" s="5" t="s">
        <v>196</v>
      </c>
      <c r="B136" s="6">
        <v>46304</v>
      </c>
      <c r="C136" s="56">
        <v>0.25208333333333299</v>
      </c>
      <c r="D136" s="56">
        <v>0.60486111111111096</v>
      </c>
      <c r="E136" s="57">
        <v>0.41944444444444401</v>
      </c>
      <c r="F136" s="58">
        <v>0.44027777777777799</v>
      </c>
      <c r="G136" s="59" t="str">
        <f t="array" ref="G136">_xlfn.XLOOKUP(A136&amp;"|"&amp;B136,ShiftRoster[Employee ID]&amp;"|"&amp;ShiftRoster[Date],ShiftRoster[Shift Code],_xlfn.XLOOKUP(A136,TRIM(SUBSTITUTE('worker file'!$A$2:$A$406,_xlfn.UNICHAR(160)," ")),'worker file'!$X$2:$X$406,"?"),0,-1)</f>
        <v>PT</v>
      </c>
      <c r="H136" s="59" t="str">
        <f>_xlfn.XLOOKUP(G136,ShiftCodes[Code],ShiftCodes[Work Schedule],"Unknown")</f>
        <v>Part-time – Day (Mon/Wed/Fri 06:00–14:30)</v>
      </c>
      <c r="I136" s="60">
        <f>_xlfn.XLOOKUP(G136,ShiftCodes[Code],ShiftCodes[Start],"")</f>
        <v>0.25</v>
      </c>
      <c r="J136" s="61">
        <f t="shared" si="10"/>
        <v>3</v>
      </c>
      <c r="K136" s="59" t="str">
        <f t="shared" si="11"/>
        <v>OK</v>
      </c>
      <c r="L136" s="62"/>
      <c r="M136" s="5" t="str">
        <f t="shared" si="12"/>
        <v>Fri</v>
      </c>
      <c r="N136" s="63">
        <f t="shared" si="13"/>
        <v>7.97</v>
      </c>
      <c r="O136" s="5" t="s">
        <v>758</v>
      </c>
      <c r="P136" s="6">
        <v>46304</v>
      </c>
      <c r="Q136" s="5" t="str">
        <f t="shared" si="14"/>
        <v>Current period</v>
      </c>
      <c r="R136" s="5" t="str">
        <f t="array" ref="R136">_xlfn.XLOOKUP(A136,TRIM(SUBSTITUTE('worker file'!$A$2:$A$406,_xlfn.UNICHAR(160)," ")),'worker file'!$D$2:$D$406,"Not found")</f>
        <v>TX</v>
      </c>
    </row>
    <row r="137" spans="1:18" ht="16" x14ac:dyDescent="0.2">
      <c r="A137" s="5" t="s">
        <v>196</v>
      </c>
      <c r="B137" s="6">
        <v>46307</v>
      </c>
      <c r="C137" s="56">
        <v>0.24791666666666701</v>
      </c>
      <c r="D137" s="56">
        <v>0.41458333333333303</v>
      </c>
      <c r="E137" s="57"/>
      <c r="F137" s="58"/>
      <c r="G137" s="59" t="str">
        <f t="array" ref="G137">_xlfn.XLOOKUP(A137&amp;"|"&amp;B137,ShiftRoster[Employee ID]&amp;"|"&amp;ShiftRoster[Date],ShiftRoster[Shift Code],_xlfn.XLOOKUP(A137,TRIM(SUBSTITUTE('worker file'!$A$2:$A$406,_xlfn.UNICHAR(160)," ")),'worker file'!$X$2:$X$406,"?"),0,-1)</f>
        <v>PT</v>
      </c>
      <c r="H137" s="59" t="str">
        <f>_xlfn.XLOOKUP(G137,ShiftCodes[Code],ShiftCodes[Work Schedule],"Unknown")</f>
        <v>Part-time – Day (Mon/Wed/Fri 06:00–14:30)</v>
      </c>
      <c r="I137" s="60">
        <f>_xlfn.XLOOKUP(G137,ShiftCodes[Code],ShiftCodes[Start],"")</f>
        <v>0.25</v>
      </c>
      <c r="J137" s="61">
        <f t="shared" si="10"/>
        <v>-3</v>
      </c>
      <c r="K137" s="59" t="str">
        <f t="shared" si="11"/>
        <v>OK</v>
      </c>
      <c r="L137" s="62" t="s">
        <v>775</v>
      </c>
      <c r="M137" s="5" t="str">
        <f t="shared" si="12"/>
        <v>Mon</v>
      </c>
      <c r="N137" s="63">
        <f t="shared" si="13"/>
        <v>4</v>
      </c>
      <c r="O137" s="5" t="s">
        <v>758</v>
      </c>
      <c r="P137" s="6">
        <v>46307</v>
      </c>
      <c r="Q137" s="5" t="str">
        <f t="shared" si="14"/>
        <v>Current period</v>
      </c>
      <c r="R137" s="5" t="str">
        <f t="array" ref="R137">_xlfn.XLOOKUP(A137,TRIM(SUBSTITUTE('worker file'!$A$2:$A$406,_xlfn.UNICHAR(160)," ")),'worker file'!$D$2:$D$406,"Not found")</f>
        <v>TX</v>
      </c>
    </row>
    <row r="138" spans="1:18" ht="16" x14ac:dyDescent="0.2">
      <c r="A138" s="5" t="s">
        <v>196</v>
      </c>
      <c r="B138" s="6">
        <v>46309</v>
      </c>
      <c r="C138" s="56">
        <v>0.24791666666666701</v>
      </c>
      <c r="D138" s="56">
        <v>0.60416666666666696</v>
      </c>
      <c r="E138" s="57">
        <v>0.41597222222222202</v>
      </c>
      <c r="F138" s="58">
        <v>0.436805555555556</v>
      </c>
      <c r="G138" s="59" t="str">
        <f t="array" ref="G138">_xlfn.XLOOKUP(A138&amp;"|"&amp;B138,ShiftRoster[Employee ID]&amp;"|"&amp;ShiftRoster[Date],ShiftRoster[Shift Code],_xlfn.XLOOKUP(A138,TRIM(SUBSTITUTE('worker file'!$A$2:$A$406,_xlfn.UNICHAR(160)," ")),'worker file'!$X$2:$X$406,"?"),0,-1)</f>
        <v>PT</v>
      </c>
      <c r="H138" s="59" t="str">
        <f>_xlfn.XLOOKUP(G138,ShiftCodes[Code],ShiftCodes[Work Schedule],"Unknown")</f>
        <v>Part-time – Day (Mon/Wed/Fri 06:00–14:30)</v>
      </c>
      <c r="I138" s="60">
        <f>_xlfn.XLOOKUP(G138,ShiftCodes[Code],ShiftCodes[Start],"")</f>
        <v>0.25</v>
      </c>
      <c r="J138" s="61">
        <f t="shared" si="10"/>
        <v>-3</v>
      </c>
      <c r="K138" s="59" t="str">
        <f t="shared" si="11"/>
        <v>OK</v>
      </c>
      <c r="L138" s="62"/>
      <c r="M138" s="5" t="str">
        <f t="shared" si="12"/>
        <v>Wed</v>
      </c>
      <c r="N138" s="63">
        <f t="shared" si="13"/>
        <v>8.0500000000000007</v>
      </c>
      <c r="O138" s="5" t="s">
        <v>758</v>
      </c>
      <c r="P138" s="6">
        <v>46309</v>
      </c>
      <c r="Q138" s="5" t="str">
        <f t="shared" si="14"/>
        <v>Current period</v>
      </c>
      <c r="R138" s="5" t="str">
        <f t="array" ref="R138">_xlfn.XLOOKUP(A138,TRIM(SUBSTITUTE('worker file'!$A$2:$A$406,_xlfn.UNICHAR(160)," ")),'worker file'!$D$2:$D$406,"Not found")</f>
        <v>TX</v>
      </c>
    </row>
    <row r="139" spans="1:18" ht="16" x14ac:dyDescent="0.2">
      <c r="A139" s="5" t="s">
        <v>196</v>
      </c>
      <c r="B139" s="6">
        <v>46311</v>
      </c>
      <c r="C139" s="56">
        <v>0.24652777777777801</v>
      </c>
      <c r="D139" s="56">
        <v>0.60138888888888897</v>
      </c>
      <c r="E139" s="57">
        <v>0.41597222222222202</v>
      </c>
      <c r="F139" s="58">
        <v>0.436805555555556</v>
      </c>
      <c r="G139" s="59" t="str">
        <f t="array" ref="G139">_xlfn.XLOOKUP(A139&amp;"|"&amp;B139,ShiftRoster[Employee ID]&amp;"|"&amp;ShiftRoster[Date],ShiftRoster[Shift Code],_xlfn.XLOOKUP(A139,TRIM(SUBSTITUTE('worker file'!$A$2:$A$406,_xlfn.UNICHAR(160)," ")),'worker file'!$X$2:$X$406,"?"),0,-1)</f>
        <v>PT</v>
      </c>
      <c r="H139" s="59" t="str">
        <f>_xlfn.XLOOKUP(G139,ShiftCodes[Code],ShiftCodes[Work Schedule],"Unknown")</f>
        <v>Part-time – Day (Mon/Wed/Fri 06:00–14:30)</v>
      </c>
      <c r="I139" s="60">
        <f>_xlfn.XLOOKUP(G139,ShiftCodes[Code],ShiftCodes[Start],"")</f>
        <v>0.25</v>
      </c>
      <c r="J139" s="61">
        <f t="shared" si="10"/>
        <v>-5</v>
      </c>
      <c r="K139" s="59" t="str">
        <f t="shared" si="11"/>
        <v>OK</v>
      </c>
      <c r="L139" s="62"/>
      <c r="M139" s="5" t="str">
        <f t="shared" si="12"/>
        <v>Fri</v>
      </c>
      <c r="N139" s="63">
        <f t="shared" si="13"/>
        <v>8.02</v>
      </c>
      <c r="O139" s="5" t="s">
        <v>758</v>
      </c>
      <c r="P139" s="6">
        <v>46311</v>
      </c>
      <c r="Q139" s="5" t="str">
        <f t="shared" si="14"/>
        <v>Current period</v>
      </c>
      <c r="R139" s="5" t="str">
        <f t="array" ref="R139">_xlfn.XLOOKUP(A139,TRIM(SUBSTITUTE('worker file'!$A$2:$A$406,_xlfn.UNICHAR(160)," ")),'worker file'!$D$2:$D$406,"Not found")</f>
        <v>TX</v>
      </c>
    </row>
    <row r="140" spans="1:18" ht="16" x14ac:dyDescent="0.2">
      <c r="A140" s="5" t="s">
        <v>197</v>
      </c>
      <c r="B140" s="6">
        <v>46300</v>
      </c>
      <c r="C140" s="56">
        <v>0.58055555555555605</v>
      </c>
      <c r="D140" s="56">
        <v>0.93472222222222201</v>
      </c>
      <c r="E140" s="57">
        <v>0.75</v>
      </c>
      <c r="F140" s="58">
        <v>0.77083333333333304</v>
      </c>
      <c r="G140" s="59" t="str">
        <f t="array" ref="G140">_xlfn.XLOOKUP(A140&amp;"|"&amp;B140,ShiftRoster[Employee ID]&amp;"|"&amp;ShiftRoster[Date],ShiftRoster[Shift Code],_xlfn.XLOOKUP(A140,TRIM(SUBSTITUTE('worker file'!$A$2:$A$406,_xlfn.UNICHAR(160)," ")),'worker file'!$X$2:$X$406,"?"),0,-1)</f>
        <v>SWNG</v>
      </c>
      <c r="H140" s="59" t="str">
        <f>_xlfn.XLOOKUP(G140,ShiftCodes[Code],ShiftCodes[Work Schedule],"Unknown")</f>
        <v>Shift B – Swing (Mon–Fri 14:00–22:30)</v>
      </c>
      <c r="I140" s="60">
        <f>_xlfn.XLOOKUP(G140,ShiftCodes[Code],ShiftCodes[Start],"")</f>
        <v>0.58333333333333304</v>
      </c>
      <c r="J140" s="61">
        <f t="shared" si="10"/>
        <v>-4</v>
      </c>
      <c r="K140" s="59" t="str">
        <f t="shared" si="11"/>
        <v>OK</v>
      </c>
      <c r="L140" s="62"/>
      <c r="M140" s="5" t="str">
        <f t="shared" si="12"/>
        <v>Mon</v>
      </c>
      <c r="N140" s="63">
        <f t="shared" si="13"/>
        <v>8</v>
      </c>
      <c r="O140" s="5" t="s">
        <v>758</v>
      </c>
      <c r="P140" s="6">
        <v>46300</v>
      </c>
      <c r="Q140" s="5" t="str">
        <f t="shared" si="14"/>
        <v>Current period</v>
      </c>
      <c r="R140" s="5" t="str">
        <f t="array" ref="R140">_xlfn.XLOOKUP(A140,TRIM(SUBSTITUTE('worker file'!$A$2:$A$406,_xlfn.UNICHAR(160)," ")),'worker file'!$D$2:$D$406,"Not found")</f>
        <v>CA</v>
      </c>
    </row>
    <row r="141" spans="1:18" ht="16" x14ac:dyDescent="0.2">
      <c r="A141" s="5" t="s">
        <v>197</v>
      </c>
      <c r="B141" s="6">
        <v>46301</v>
      </c>
      <c r="C141" s="56">
        <v>0.58402777777777803</v>
      </c>
      <c r="D141" s="56">
        <v>0.93541666666666701</v>
      </c>
      <c r="E141" s="57">
        <v>0.73680555555555605</v>
      </c>
      <c r="F141" s="58">
        <v>0.75763888888888897</v>
      </c>
      <c r="G141" s="59" t="str">
        <f t="array" ref="G141">_xlfn.XLOOKUP(A141&amp;"|"&amp;B141,ShiftRoster[Employee ID]&amp;"|"&amp;ShiftRoster[Date],ShiftRoster[Shift Code],_xlfn.XLOOKUP(A141,TRIM(SUBSTITUTE('worker file'!$A$2:$A$406,_xlfn.UNICHAR(160)," ")),'worker file'!$X$2:$X$406,"?"),0,-1)</f>
        <v>SWNG</v>
      </c>
      <c r="H141" s="59" t="str">
        <f>_xlfn.XLOOKUP(G141,ShiftCodes[Code],ShiftCodes[Work Schedule],"Unknown")</f>
        <v>Shift B – Swing (Mon–Fri 14:00–22:30)</v>
      </c>
      <c r="I141" s="60">
        <f>_xlfn.XLOOKUP(G141,ShiftCodes[Code],ShiftCodes[Start],"")</f>
        <v>0.58333333333333304</v>
      </c>
      <c r="J141" s="61">
        <f t="shared" si="10"/>
        <v>1</v>
      </c>
      <c r="K141" s="59" t="str">
        <f t="shared" si="11"/>
        <v>OK</v>
      </c>
      <c r="L141" s="62"/>
      <c r="M141" s="5" t="str">
        <f t="shared" si="12"/>
        <v>Tue</v>
      </c>
      <c r="N141" s="63">
        <f t="shared" si="13"/>
        <v>7.93</v>
      </c>
      <c r="O141" s="5" t="s">
        <v>758</v>
      </c>
      <c r="P141" s="6">
        <v>46301</v>
      </c>
      <c r="Q141" s="5" t="str">
        <f t="shared" si="14"/>
        <v>Current period</v>
      </c>
      <c r="R141" s="5" t="str">
        <f t="array" ref="R141">_xlfn.XLOOKUP(A141,TRIM(SUBSTITUTE('worker file'!$A$2:$A$406,_xlfn.UNICHAR(160)," ")),'worker file'!$D$2:$D$406,"Not found")</f>
        <v>CA</v>
      </c>
    </row>
    <row r="142" spans="1:18" ht="16" x14ac:dyDescent="0.2">
      <c r="A142" s="5" t="s">
        <v>197</v>
      </c>
      <c r="B142" s="6">
        <v>46302</v>
      </c>
      <c r="C142" s="56">
        <v>0.57916666666666705</v>
      </c>
      <c r="D142" s="56">
        <v>0.93125000000000002</v>
      </c>
      <c r="E142" s="57">
        <v>0.73958333333333304</v>
      </c>
      <c r="F142" s="58">
        <v>0.76041666666666696</v>
      </c>
      <c r="G142" s="59" t="str">
        <f t="array" ref="G142">_xlfn.XLOOKUP(A142&amp;"|"&amp;B142,ShiftRoster[Employee ID]&amp;"|"&amp;ShiftRoster[Date],ShiftRoster[Shift Code],_xlfn.XLOOKUP(A142,TRIM(SUBSTITUTE('worker file'!$A$2:$A$406,_xlfn.UNICHAR(160)," ")),'worker file'!$X$2:$X$406,"?"),0,-1)</f>
        <v>SWNG</v>
      </c>
      <c r="H142" s="59" t="str">
        <f>_xlfn.XLOOKUP(G142,ShiftCodes[Code],ShiftCodes[Work Schedule],"Unknown")</f>
        <v>Shift B – Swing (Mon–Fri 14:00–22:30)</v>
      </c>
      <c r="I142" s="60">
        <f>_xlfn.XLOOKUP(G142,ShiftCodes[Code],ShiftCodes[Start],"")</f>
        <v>0.58333333333333304</v>
      </c>
      <c r="J142" s="61">
        <f t="shared" si="10"/>
        <v>-6</v>
      </c>
      <c r="K142" s="59" t="str">
        <f t="shared" si="11"/>
        <v>OK</v>
      </c>
      <c r="L142" s="62"/>
      <c r="M142" s="5" t="str">
        <f t="shared" si="12"/>
        <v>Wed</v>
      </c>
      <c r="N142" s="63">
        <f t="shared" si="13"/>
        <v>7.95</v>
      </c>
      <c r="O142" s="5" t="s">
        <v>758</v>
      </c>
      <c r="P142" s="6">
        <v>46302</v>
      </c>
      <c r="Q142" s="5" t="str">
        <f t="shared" si="14"/>
        <v>Current period</v>
      </c>
      <c r="R142" s="5" t="str">
        <f t="array" ref="R142">_xlfn.XLOOKUP(A142,TRIM(SUBSTITUTE('worker file'!$A$2:$A$406,_xlfn.UNICHAR(160)," ")),'worker file'!$D$2:$D$406,"Not found")</f>
        <v>CA</v>
      </c>
    </row>
    <row r="143" spans="1:18" ht="16" x14ac:dyDescent="0.2">
      <c r="A143" s="5" t="s">
        <v>197</v>
      </c>
      <c r="B143" s="6">
        <v>46303</v>
      </c>
      <c r="C143" s="56">
        <v>0.58472222222222203</v>
      </c>
      <c r="D143" s="56">
        <v>0.91249999999999998</v>
      </c>
      <c r="E143" s="57" t="s">
        <v>764</v>
      </c>
      <c r="F143" s="58" t="s">
        <v>764</v>
      </c>
      <c r="G143" s="59" t="str">
        <f t="array" ref="G143">_xlfn.XLOOKUP(A143&amp;"|"&amp;B143,ShiftRoster[Employee ID]&amp;"|"&amp;ShiftRoster[Date],ShiftRoster[Shift Code],_xlfn.XLOOKUP(A143,TRIM(SUBSTITUTE('worker file'!$A$2:$A$406,_xlfn.UNICHAR(160)," ")),'worker file'!$X$2:$X$406,"?"),0,-1)</f>
        <v>SWNG</v>
      </c>
      <c r="H143" s="59" t="str">
        <f>_xlfn.XLOOKUP(G143,ShiftCodes[Code],ShiftCodes[Work Schedule],"Unknown")</f>
        <v>Shift B – Swing (Mon–Fri 14:00–22:30)</v>
      </c>
      <c r="I143" s="60">
        <f>_xlfn.XLOOKUP(G143,ShiftCodes[Code],ShiftCodes[Start],"")</f>
        <v>0.58333333333333304</v>
      </c>
      <c r="J143" s="61">
        <f t="shared" si="10"/>
        <v>2</v>
      </c>
      <c r="K143" s="59" t="str">
        <f t="shared" si="11"/>
        <v>OK</v>
      </c>
      <c r="L143" s="62" t="s">
        <v>765</v>
      </c>
      <c r="M143" s="5" t="str">
        <f t="shared" si="12"/>
        <v>Thu</v>
      </c>
      <c r="N143" s="63">
        <f t="shared" si="13"/>
        <v>7.87</v>
      </c>
      <c r="O143" s="5" t="s">
        <v>758</v>
      </c>
      <c r="P143" s="6">
        <v>46303</v>
      </c>
      <c r="Q143" s="5" t="str">
        <f t="shared" si="14"/>
        <v>Current period</v>
      </c>
      <c r="R143" s="5" t="str">
        <f t="array" ref="R143">_xlfn.XLOOKUP(A143,TRIM(SUBSTITUTE('worker file'!$A$2:$A$406,_xlfn.UNICHAR(160)," ")),'worker file'!$D$2:$D$406,"Not found")</f>
        <v>CA</v>
      </c>
    </row>
    <row r="144" spans="1:18" ht="16" x14ac:dyDescent="0.2">
      <c r="A144" s="5" t="s">
        <v>197</v>
      </c>
      <c r="B144" s="6">
        <v>46304</v>
      </c>
      <c r="C144" s="56">
        <v>0.58333333333333304</v>
      </c>
      <c r="D144" s="56">
        <v>0.93263888888888902</v>
      </c>
      <c r="E144" s="57">
        <v>0.73402777777777795</v>
      </c>
      <c r="F144" s="58">
        <v>0.75486111111111098</v>
      </c>
      <c r="G144" s="59" t="str">
        <f t="array" ref="G144">_xlfn.XLOOKUP(A144&amp;"|"&amp;B144,ShiftRoster[Employee ID]&amp;"|"&amp;ShiftRoster[Date],ShiftRoster[Shift Code],_xlfn.XLOOKUP(A144,TRIM(SUBSTITUTE('worker file'!$A$2:$A$406,_xlfn.UNICHAR(160)," ")),'worker file'!$X$2:$X$406,"?"),0,-1)</f>
        <v>SWNG</v>
      </c>
      <c r="H144" s="59" t="str">
        <f>_xlfn.XLOOKUP(G144,ShiftCodes[Code],ShiftCodes[Work Schedule],"Unknown")</f>
        <v>Shift B – Swing (Mon–Fri 14:00–22:30)</v>
      </c>
      <c r="I144" s="60">
        <f>_xlfn.XLOOKUP(G144,ShiftCodes[Code],ShiftCodes[Start],"")</f>
        <v>0.58333333333333304</v>
      </c>
      <c r="J144" s="61">
        <f t="shared" si="10"/>
        <v>0</v>
      </c>
      <c r="K144" s="59" t="str">
        <f t="shared" si="11"/>
        <v>OK</v>
      </c>
      <c r="L144" s="62"/>
      <c r="M144" s="5" t="str">
        <f t="shared" si="12"/>
        <v>Fri</v>
      </c>
      <c r="N144" s="63">
        <f t="shared" si="13"/>
        <v>7.88</v>
      </c>
      <c r="O144" s="5" t="s">
        <v>758</v>
      </c>
      <c r="P144" s="6">
        <v>46304</v>
      </c>
      <c r="Q144" s="5" t="str">
        <f t="shared" si="14"/>
        <v>Current period</v>
      </c>
      <c r="R144" s="5" t="str">
        <f t="array" ref="R144">_xlfn.XLOOKUP(A144,TRIM(SUBSTITUTE('worker file'!$A$2:$A$406,_xlfn.UNICHAR(160)," ")),'worker file'!$D$2:$D$406,"Not found")</f>
        <v>CA</v>
      </c>
    </row>
    <row r="145" spans="1:18" ht="16" x14ac:dyDescent="0.2">
      <c r="A145" s="5" t="s">
        <v>197</v>
      </c>
      <c r="B145" s="6">
        <v>46307</v>
      </c>
      <c r="C145" s="56">
        <v>0.58611111111111103</v>
      </c>
      <c r="D145" s="56">
        <v>0.938194444444444</v>
      </c>
      <c r="E145" s="57">
        <v>0.77152777777777803</v>
      </c>
      <c r="F145" s="58">
        <v>0.79236111111111096</v>
      </c>
      <c r="G145" s="59" t="str">
        <f t="array" ref="G145">_xlfn.XLOOKUP(A145&amp;"|"&amp;B145,ShiftRoster[Employee ID]&amp;"|"&amp;ShiftRoster[Date],ShiftRoster[Shift Code],_xlfn.XLOOKUP(A145,TRIM(SUBSTITUTE('worker file'!$A$2:$A$406,_xlfn.UNICHAR(160)," ")),'worker file'!$X$2:$X$406,"?"),0,-1)</f>
        <v>SWNG</v>
      </c>
      <c r="H145" s="59" t="str">
        <f>_xlfn.XLOOKUP(G145,ShiftCodes[Code],ShiftCodes[Work Schedule],"Unknown")</f>
        <v>Shift B – Swing (Mon–Fri 14:00–22:30)</v>
      </c>
      <c r="I145" s="60">
        <f>_xlfn.XLOOKUP(G145,ShiftCodes[Code],ShiftCodes[Start],"")</f>
        <v>0.58333333333333304</v>
      </c>
      <c r="J145" s="61">
        <f t="shared" si="10"/>
        <v>4</v>
      </c>
      <c r="K145" s="59" t="str">
        <f t="shared" si="11"/>
        <v>OK</v>
      </c>
      <c r="L145" s="62"/>
      <c r="M145" s="5" t="str">
        <f t="shared" si="12"/>
        <v>Mon</v>
      </c>
      <c r="N145" s="63">
        <f t="shared" si="13"/>
        <v>7.95</v>
      </c>
      <c r="O145" s="5" t="s">
        <v>758</v>
      </c>
      <c r="P145" s="6">
        <v>46307</v>
      </c>
      <c r="Q145" s="5" t="str">
        <f t="shared" si="14"/>
        <v>Current period</v>
      </c>
      <c r="R145" s="5" t="str">
        <f t="array" ref="R145">_xlfn.XLOOKUP(A145,TRIM(SUBSTITUTE('worker file'!$A$2:$A$406,_xlfn.UNICHAR(160)," ")),'worker file'!$D$2:$D$406,"Not found")</f>
        <v>CA</v>
      </c>
    </row>
    <row r="146" spans="1:18" ht="16" x14ac:dyDescent="0.2">
      <c r="A146" s="5" t="s">
        <v>197</v>
      </c>
      <c r="B146" s="6">
        <v>46308</v>
      </c>
      <c r="C146" s="56">
        <v>0.58055555555555605</v>
      </c>
      <c r="D146" s="56">
        <v>0.93402777777777801</v>
      </c>
      <c r="E146" s="57">
        <v>0.73611111111111105</v>
      </c>
      <c r="F146" s="58">
        <v>0.75694444444444398</v>
      </c>
      <c r="G146" s="59" t="str">
        <f t="array" ref="G146">_xlfn.XLOOKUP(A146&amp;"|"&amp;B146,ShiftRoster[Employee ID]&amp;"|"&amp;ShiftRoster[Date],ShiftRoster[Shift Code],_xlfn.XLOOKUP(A146,TRIM(SUBSTITUTE('worker file'!$A$2:$A$406,_xlfn.UNICHAR(160)," ")),'worker file'!$X$2:$X$406,"?"),0,-1)</f>
        <v>SWNG</v>
      </c>
      <c r="H146" s="59" t="str">
        <f>_xlfn.XLOOKUP(G146,ShiftCodes[Code],ShiftCodes[Work Schedule],"Unknown")</f>
        <v>Shift B – Swing (Mon–Fri 14:00–22:30)</v>
      </c>
      <c r="I146" s="60">
        <f>_xlfn.XLOOKUP(G146,ShiftCodes[Code],ShiftCodes[Start],"")</f>
        <v>0.58333333333333304</v>
      </c>
      <c r="J146" s="61">
        <f t="shared" si="10"/>
        <v>-4</v>
      </c>
      <c r="K146" s="59" t="str">
        <f t="shared" si="11"/>
        <v>OK</v>
      </c>
      <c r="L146" s="62"/>
      <c r="M146" s="5" t="str">
        <f t="shared" si="12"/>
        <v>Tue</v>
      </c>
      <c r="N146" s="63">
        <f t="shared" si="13"/>
        <v>7.98</v>
      </c>
      <c r="O146" s="5" t="s">
        <v>758</v>
      </c>
      <c r="P146" s="6">
        <v>46308</v>
      </c>
      <c r="Q146" s="5" t="str">
        <f t="shared" si="14"/>
        <v>Current period</v>
      </c>
      <c r="R146" s="5" t="str">
        <f t="array" ref="R146">_xlfn.XLOOKUP(A146,TRIM(SUBSTITUTE('worker file'!$A$2:$A$406,_xlfn.UNICHAR(160)," ")),'worker file'!$D$2:$D$406,"Not found")</f>
        <v>CA</v>
      </c>
    </row>
    <row r="147" spans="1:18" ht="16" x14ac:dyDescent="0.2">
      <c r="A147" s="5" t="s">
        <v>197</v>
      </c>
      <c r="B147" s="6">
        <v>46309</v>
      </c>
      <c r="C147" s="56">
        <v>0.57986111111111105</v>
      </c>
      <c r="D147" s="56">
        <v>0.92847222222222203</v>
      </c>
      <c r="E147" s="57">
        <v>0.76527777777777795</v>
      </c>
      <c r="F147" s="58">
        <v>0.78611111111111098</v>
      </c>
      <c r="G147" s="59" t="str">
        <f t="array" ref="G147">_xlfn.XLOOKUP(A147&amp;"|"&amp;B147,ShiftRoster[Employee ID]&amp;"|"&amp;ShiftRoster[Date],ShiftRoster[Shift Code],_xlfn.XLOOKUP(A147,TRIM(SUBSTITUTE('worker file'!$A$2:$A$406,_xlfn.UNICHAR(160)," ")),'worker file'!$X$2:$X$406,"?"),0,-1)</f>
        <v>SWNG</v>
      </c>
      <c r="H147" s="59" t="str">
        <f>_xlfn.XLOOKUP(G147,ShiftCodes[Code],ShiftCodes[Work Schedule],"Unknown")</f>
        <v>Shift B – Swing (Mon–Fri 14:00–22:30)</v>
      </c>
      <c r="I147" s="60">
        <f>_xlfn.XLOOKUP(G147,ShiftCodes[Code],ShiftCodes[Start],"")</f>
        <v>0.58333333333333304</v>
      </c>
      <c r="J147" s="61">
        <f t="shared" si="10"/>
        <v>-5</v>
      </c>
      <c r="K147" s="59" t="str">
        <f t="shared" si="11"/>
        <v>OK</v>
      </c>
      <c r="L147" s="62"/>
      <c r="M147" s="5" t="str">
        <f t="shared" si="12"/>
        <v>Wed</v>
      </c>
      <c r="N147" s="63">
        <f t="shared" si="13"/>
        <v>7.87</v>
      </c>
      <c r="O147" s="5" t="s">
        <v>758</v>
      </c>
      <c r="P147" s="6">
        <v>46309</v>
      </c>
      <c r="Q147" s="5" t="str">
        <f t="shared" si="14"/>
        <v>Current period</v>
      </c>
      <c r="R147" s="5" t="str">
        <f t="array" ref="R147">_xlfn.XLOOKUP(A147,TRIM(SUBSTITUTE('worker file'!$A$2:$A$406,_xlfn.UNICHAR(160)," ")),'worker file'!$D$2:$D$406,"Not found")</f>
        <v>CA</v>
      </c>
    </row>
    <row r="148" spans="1:18" ht="16" x14ac:dyDescent="0.2">
      <c r="A148" s="5" t="s">
        <v>197</v>
      </c>
      <c r="B148" s="6">
        <v>46310</v>
      </c>
      <c r="C148" s="56">
        <v>0.58194444444444504</v>
      </c>
      <c r="D148" s="56">
        <v>0.93194444444444502</v>
      </c>
      <c r="E148" s="57">
        <v>0.74305555555555602</v>
      </c>
      <c r="F148" s="58">
        <v>0.76388888888888895</v>
      </c>
      <c r="G148" s="59" t="str">
        <f t="array" ref="G148">_xlfn.XLOOKUP(A148&amp;"|"&amp;B148,ShiftRoster[Employee ID]&amp;"|"&amp;ShiftRoster[Date],ShiftRoster[Shift Code],_xlfn.XLOOKUP(A148,TRIM(SUBSTITUTE('worker file'!$A$2:$A$406,_xlfn.UNICHAR(160)," ")),'worker file'!$X$2:$X$406,"?"),0,-1)</f>
        <v>SWNG</v>
      </c>
      <c r="H148" s="59" t="str">
        <f>_xlfn.XLOOKUP(G148,ShiftCodes[Code],ShiftCodes[Work Schedule],"Unknown")</f>
        <v>Shift B – Swing (Mon–Fri 14:00–22:30)</v>
      </c>
      <c r="I148" s="60">
        <f>_xlfn.XLOOKUP(G148,ShiftCodes[Code],ShiftCodes[Start],"")</f>
        <v>0.58333333333333304</v>
      </c>
      <c r="J148" s="61">
        <f t="shared" si="10"/>
        <v>-2</v>
      </c>
      <c r="K148" s="59" t="str">
        <f t="shared" si="11"/>
        <v>OK</v>
      </c>
      <c r="L148" s="62"/>
      <c r="M148" s="5" t="str">
        <f t="shared" si="12"/>
        <v>Thu</v>
      </c>
      <c r="N148" s="63">
        <f t="shared" si="13"/>
        <v>7.9</v>
      </c>
      <c r="O148" s="5" t="s">
        <v>758</v>
      </c>
      <c r="P148" s="6">
        <v>46310</v>
      </c>
      <c r="Q148" s="5" t="str">
        <f t="shared" si="14"/>
        <v>Current period</v>
      </c>
      <c r="R148" s="5" t="str">
        <f t="array" ref="R148">_xlfn.XLOOKUP(A148,TRIM(SUBSTITUTE('worker file'!$A$2:$A$406,_xlfn.UNICHAR(160)," ")),'worker file'!$D$2:$D$406,"Not found")</f>
        <v>CA</v>
      </c>
    </row>
    <row r="149" spans="1:18" ht="16" x14ac:dyDescent="0.2">
      <c r="A149" s="5" t="s">
        <v>197</v>
      </c>
      <c r="B149" s="6">
        <v>46311</v>
      </c>
      <c r="C149" s="56">
        <v>0.57986111111111105</v>
      </c>
      <c r="D149" s="56">
        <v>0.93125000000000002</v>
      </c>
      <c r="E149" s="57">
        <v>0.73958333333333304</v>
      </c>
      <c r="F149" s="58">
        <v>0.76041666666666696</v>
      </c>
      <c r="G149" s="59" t="str">
        <f t="array" ref="G149">_xlfn.XLOOKUP(A149&amp;"|"&amp;B149,ShiftRoster[Employee ID]&amp;"|"&amp;ShiftRoster[Date],ShiftRoster[Shift Code],_xlfn.XLOOKUP(A149,TRIM(SUBSTITUTE('worker file'!$A$2:$A$406,_xlfn.UNICHAR(160)," ")),'worker file'!$X$2:$X$406,"?"),0,-1)</f>
        <v>SWNG</v>
      </c>
      <c r="H149" s="59" t="str">
        <f>_xlfn.XLOOKUP(G149,ShiftCodes[Code],ShiftCodes[Work Schedule],"Unknown")</f>
        <v>Shift B – Swing (Mon–Fri 14:00–22:30)</v>
      </c>
      <c r="I149" s="60">
        <f>_xlfn.XLOOKUP(G149,ShiftCodes[Code],ShiftCodes[Start],"")</f>
        <v>0.58333333333333304</v>
      </c>
      <c r="J149" s="61">
        <f t="shared" si="10"/>
        <v>-5</v>
      </c>
      <c r="K149" s="59" t="str">
        <f t="shared" si="11"/>
        <v>OK</v>
      </c>
      <c r="L149" s="62"/>
      <c r="M149" s="5" t="str">
        <f t="shared" si="12"/>
        <v>Fri</v>
      </c>
      <c r="N149" s="63">
        <f t="shared" si="13"/>
        <v>7.93</v>
      </c>
      <c r="O149" s="5" t="s">
        <v>758</v>
      </c>
      <c r="P149" s="6">
        <v>46311</v>
      </c>
      <c r="Q149" s="5" t="str">
        <f t="shared" si="14"/>
        <v>Current period</v>
      </c>
      <c r="R149" s="5" t="str">
        <f t="array" ref="R149">_xlfn.XLOOKUP(A149,TRIM(SUBSTITUTE('worker file'!$A$2:$A$406,_xlfn.UNICHAR(160)," ")),'worker file'!$D$2:$D$406,"Not found")</f>
        <v>CA</v>
      </c>
    </row>
    <row r="150" spans="1:18" ht="16" x14ac:dyDescent="0.2">
      <c r="A150" s="5" t="s">
        <v>201</v>
      </c>
      <c r="B150" s="6">
        <v>46300</v>
      </c>
      <c r="C150" s="56">
        <v>0.25138888888888899</v>
      </c>
      <c r="D150" s="56">
        <v>0.60347222222222197</v>
      </c>
      <c r="E150" s="57">
        <v>0.43125000000000002</v>
      </c>
      <c r="F150" s="58">
        <v>0.452083333333333</v>
      </c>
      <c r="G150" s="59" t="str">
        <f t="array" ref="G150">_xlfn.XLOOKUP(A150&amp;"|"&amp;B150,ShiftRoster[Employee ID]&amp;"|"&amp;ShiftRoster[Date],ShiftRoster[Shift Code],_xlfn.XLOOKUP(A150,TRIM(SUBSTITUTE('worker file'!$A$2:$A$406,_xlfn.UNICHAR(160)," ")),'worker file'!$X$2:$X$406,"?"),0,-1)</f>
        <v>DAY</v>
      </c>
      <c r="H150" s="59" t="str">
        <f>_xlfn.XLOOKUP(G150,ShiftCodes[Code],ShiftCodes[Work Schedule],"Unknown")</f>
        <v>Shift A – Day (Mon–Fri 06:00–14:30)</v>
      </c>
      <c r="I150" s="60">
        <f>_xlfn.XLOOKUP(G150,ShiftCodes[Code],ShiftCodes[Start],"")</f>
        <v>0.25</v>
      </c>
      <c r="J150" s="61">
        <f t="shared" si="10"/>
        <v>2</v>
      </c>
      <c r="K150" s="59" t="str">
        <f t="shared" si="11"/>
        <v>OK</v>
      </c>
      <c r="L150" s="62"/>
      <c r="M150" s="5" t="str">
        <f t="shared" si="12"/>
        <v>Mon</v>
      </c>
      <c r="N150" s="63">
        <f t="shared" si="13"/>
        <v>7.95</v>
      </c>
      <c r="O150" s="5" t="s">
        <v>758</v>
      </c>
      <c r="P150" s="6">
        <v>46300</v>
      </c>
      <c r="Q150" s="5" t="str">
        <f t="shared" si="14"/>
        <v>Current period</v>
      </c>
      <c r="R150" s="5" t="str">
        <f t="array" ref="R150">_xlfn.XLOOKUP(A150,TRIM(SUBSTITUTE('worker file'!$A$2:$A$406,_xlfn.UNICHAR(160)," ")),'worker file'!$D$2:$D$406,"Not found")</f>
        <v>CA</v>
      </c>
    </row>
    <row r="151" spans="1:18" ht="16" x14ac:dyDescent="0.2">
      <c r="A151" s="5" t="s">
        <v>201</v>
      </c>
      <c r="B151" s="6">
        <v>46301</v>
      </c>
      <c r="C151" s="56">
        <v>0.250694444444444</v>
      </c>
      <c r="D151" s="56">
        <v>0.59930555555555598</v>
      </c>
      <c r="E151" s="57">
        <v>0.42708333333333298</v>
      </c>
      <c r="F151" s="58">
        <v>0.44791666666666702</v>
      </c>
      <c r="G151" s="59" t="str">
        <f t="array" ref="G151">_xlfn.XLOOKUP(A151&amp;"|"&amp;B151,ShiftRoster[Employee ID]&amp;"|"&amp;ShiftRoster[Date],ShiftRoster[Shift Code],_xlfn.XLOOKUP(A151,TRIM(SUBSTITUTE('worker file'!$A$2:$A$406,_xlfn.UNICHAR(160)," ")),'worker file'!$X$2:$X$406,"?"),0,-1)</f>
        <v>DAY</v>
      </c>
      <c r="H151" s="59" t="str">
        <f>_xlfn.XLOOKUP(G151,ShiftCodes[Code],ShiftCodes[Work Schedule],"Unknown")</f>
        <v>Shift A – Day (Mon–Fri 06:00–14:30)</v>
      </c>
      <c r="I151" s="60">
        <f>_xlfn.XLOOKUP(G151,ShiftCodes[Code],ShiftCodes[Start],"")</f>
        <v>0.25</v>
      </c>
      <c r="J151" s="61">
        <f t="shared" si="10"/>
        <v>1</v>
      </c>
      <c r="K151" s="59" t="str">
        <f t="shared" si="11"/>
        <v>OK</v>
      </c>
      <c r="L151" s="62"/>
      <c r="M151" s="5" t="str">
        <f t="shared" si="12"/>
        <v>Tue</v>
      </c>
      <c r="N151" s="63">
        <f t="shared" si="13"/>
        <v>7.87</v>
      </c>
      <c r="O151" s="5" t="s">
        <v>758</v>
      </c>
      <c r="P151" s="6">
        <v>46301</v>
      </c>
      <c r="Q151" s="5" t="str">
        <f t="shared" si="14"/>
        <v>Current period</v>
      </c>
      <c r="R151" s="5" t="str">
        <f t="array" ref="R151">_xlfn.XLOOKUP(A151,TRIM(SUBSTITUTE('worker file'!$A$2:$A$406,_xlfn.UNICHAR(160)," ")),'worker file'!$D$2:$D$406,"Not found")</f>
        <v>CA</v>
      </c>
    </row>
    <row r="152" spans="1:18" ht="16" x14ac:dyDescent="0.2">
      <c r="A152" s="5" t="s">
        <v>201</v>
      </c>
      <c r="B152" s="6">
        <v>46302</v>
      </c>
      <c r="C152" s="56">
        <v>0.24861111111111101</v>
      </c>
      <c r="D152" s="56">
        <v>0.60208333333333297</v>
      </c>
      <c r="E152" s="57">
        <v>0.406944444444444</v>
      </c>
      <c r="F152" s="58">
        <v>0.42777777777777798</v>
      </c>
      <c r="G152" s="59" t="str">
        <f t="array" ref="G152">_xlfn.XLOOKUP(A152&amp;"|"&amp;B152,ShiftRoster[Employee ID]&amp;"|"&amp;ShiftRoster[Date],ShiftRoster[Shift Code],_xlfn.XLOOKUP(A152,TRIM(SUBSTITUTE('worker file'!$A$2:$A$406,_xlfn.UNICHAR(160)," ")),'worker file'!$X$2:$X$406,"?"),0,-1)</f>
        <v>DAY</v>
      </c>
      <c r="H152" s="59" t="str">
        <f>_xlfn.XLOOKUP(G152,ShiftCodes[Code],ShiftCodes[Work Schedule],"Unknown")</f>
        <v>Shift A – Day (Mon–Fri 06:00–14:30)</v>
      </c>
      <c r="I152" s="60">
        <f>_xlfn.XLOOKUP(G152,ShiftCodes[Code],ShiftCodes[Start],"")</f>
        <v>0.25</v>
      </c>
      <c r="J152" s="61">
        <f t="shared" si="10"/>
        <v>-2</v>
      </c>
      <c r="K152" s="59" t="str">
        <f t="shared" si="11"/>
        <v>OK</v>
      </c>
      <c r="L152" s="62"/>
      <c r="M152" s="5" t="str">
        <f t="shared" si="12"/>
        <v>Wed</v>
      </c>
      <c r="N152" s="63">
        <f t="shared" si="13"/>
        <v>7.98</v>
      </c>
      <c r="O152" s="5" t="s">
        <v>758</v>
      </c>
      <c r="P152" s="6">
        <v>46302</v>
      </c>
      <c r="Q152" s="5" t="str">
        <f t="shared" si="14"/>
        <v>Current period</v>
      </c>
      <c r="R152" s="5" t="str">
        <f t="array" ref="R152">_xlfn.XLOOKUP(A152,TRIM(SUBSTITUTE('worker file'!$A$2:$A$406,_xlfn.UNICHAR(160)," ")),'worker file'!$D$2:$D$406,"Not found")</f>
        <v>CA</v>
      </c>
    </row>
    <row r="153" spans="1:18" ht="16" x14ac:dyDescent="0.2">
      <c r="A153" s="5" t="s">
        <v>201</v>
      </c>
      <c r="B153" s="6">
        <v>46303</v>
      </c>
      <c r="C153" s="56">
        <v>0.24652777777777801</v>
      </c>
      <c r="D153" s="56">
        <v>0.6</v>
      </c>
      <c r="E153" s="57">
        <v>0.39236111111111099</v>
      </c>
      <c r="F153" s="58">
        <v>0.41319444444444398</v>
      </c>
      <c r="G153" s="59" t="str">
        <f t="array" ref="G153">_xlfn.XLOOKUP(A153&amp;"|"&amp;B153,ShiftRoster[Employee ID]&amp;"|"&amp;ShiftRoster[Date],ShiftRoster[Shift Code],_xlfn.XLOOKUP(A153,TRIM(SUBSTITUTE('worker file'!$A$2:$A$406,_xlfn.UNICHAR(160)," ")),'worker file'!$X$2:$X$406,"?"),0,-1)</f>
        <v>DAY</v>
      </c>
      <c r="H153" s="59" t="str">
        <f>_xlfn.XLOOKUP(G153,ShiftCodes[Code],ShiftCodes[Work Schedule],"Unknown")</f>
        <v>Shift A – Day (Mon–Fri 06:00–14:30)</v>
      </c>
      <c r="I153" s="60">
        <f>_xlfn.XLOOKUP(G153,ShiftCodes[Code],ShiftCodes[Start],"")</f>
        <v>0.25</v>
      </c>
      <c r="J153" s="61">
        <f t="shared" si="10"/>
        <v>-5</v>
      </c>
      <c r="K153" s="59" t="str">
        <f t="shared" si="11"/>
        <v>OK</v>
      </c>
      <c r="L153" s="62"/>
      <c r="M153" s="5" t="str">
        <f t="shared" si="12"/>
        <v>Thu</v>
      </c>
      <c r="N153" s="63">
        <f t="shared" si="13"/>
        <v>7.98</v>
      </c>
      <c r="O153" s="5" t="s">
        <v>758</v>
      </c>
      <c r="P153" s="6">
        <v>46303</v>
      </c>
      <c r="Q153" s="5" t="str">
        <f t="shared" si="14"/>
        <v>Current period</v>
      </c>
      <c r="R153" s="5" t="str">
        <f t="array" ref="R153">_xlfn.XLOOKUP(A153,TRIM(SUBSTITUTE('worker file'!$A$2:$A$406,_xlfn.UNICHAR(160)," ")),'worker file'!$D$2:$D$406,"Not found")</f>
        <v>CA</v>
      </c>
    </row>
    <row r="154" spans="1:18" ht="16" x14ac:dyDescent="0.2">
      <c r="A154" s="5" t="s">
        <v>201</v>
      </c>
      <c r="B154" s="6">
        <v>46303</v>
      </c>
      <c r="C154" s="56">
        <v>0.24652777777777801</v>
      </c>
      <c r="D154" s="56">
        <v>0.6</v>
      </c>
      <c r="E154" s="57">
        <v>0.39236111111111099</v>
      </c>
      <c r="F154" s="58">
        <v>0.41319444444444398</v>
      </c>
      <c r="G154" s="59" t="str">
        <f t="array" ref="G154">_xlfn.XLOOKUP(A154&amp;"|"&amp;B154,ShiftRoster[Employee ID]&amp;"|"&amp;ShiftRoster[Date],ShiftRoster[Shift Code],_xlfn.XLOOKUP(A154,TRIM(SUBSTITUTE('worker file'!$A$2:$A$406,_xlfn.UNICHAR(160)," ")),'worker file'!$X$2:$X$406,"?"),0,-1)</f>
        <v>DAY</v>
      </c>
      <c r="H154" s="59" t="str">
        <f>_xlfn.XLOOKUP(G154,ShiftCodes[Code],ShiftCodes[Work Schedule],"Unknown")</f>
        <v>Shift A – Day (Mon–Fri 06:00–14:30)</v>
      </c>
      <c r="I154" s="60">
        <f>_xlfn.XLOOKUP(G154,ShiftCodes[Code],ShiftCodes[Start],"")</f>
        <v>0.25</v>
      </c>
      <c r="J154" s="61">
        <f t="shared" si="10"/>
        <v>-5</v>
      </c>
      <c r="K154" s="59" t="str">
        <f t="shared" si="11"/>
        <v>OK</v>
      </c>
      <c r="L154" s="62" t="s">
        <v>776</v>
      </c>
      <c r="M154" s="5" t="str">
        <f t="shared" si="12"/>
        <v>Thu</v>
      </c>
      <c r="N154" s="63">
        <f t="shared" si="13"/>
        <v>7.98</v>
      </c>
      <c r="O154" s="5" t="s">
        <v>758</v>
      </c>
      <c r="P154" s="6">
        <v>46303</v>
      </c>
      <c r="Q154" s="5" t="str">
        <f t="shared" si="14"/>
        <v>Current period</v>
      </c>
      <c r="R154" s="5" t="str">
        <f t="array" ref="R154">_xlfn.XLOOKUP(A154,TRIM(SUBSTITUTE('worker file'!$A$2:$A$406,_xlfn.UNICHAR(160)," ")),'worker file'!$D$2:$D$406,"Not found")</f>
        <v>CA</v>
      </c>
    </row>
    <row r="155" spans="1:18" ht="16" x14ac:dyDescent="0.2">
      <c r="A155" s="5" t="s">
        <v>201</v>
      </c>
      <c r="B155" s="6">
        <v>46304</v>
      </c>
      <c r="C155" s="56">
        <v>0.24583333333333299</v>
      </c>
      <c r="D155" s="56">
        <v>0.59930555555555598</v>
      </c>
      <c r="E155" s="57">
        <v>0.39374999999999999</v>
      </c>
      <c r="F155" s="58">
        <v>0.41458333333333303</v>
      </c>
      <c r="G155" s="59" t="str">
        <f t="array" ref="G155">_xlfn.XLOOKUP(A155&amp;"|"&amp;B155,ShiftRoster[Employee ID]&amp;"|"&amp;ShiftRoster[Date],ShiftRoster[Shift Code],_xlfn.XLOOKUP(A155,TRIM(SUBSTITUTE('worker file'!$A$2:$A$406,_xlfn.UNICHAR(160)," ")),'worker file'!$X$2:$X$406,"?"),0,-1)</f>
        <v>DAY</v>
      </c>
      <c r="H155" s="59" t="str">
        <f>_xlfn.XLOOKUP(G155,ShiftCodes[Code],ShiftCodes[Work Schedule],"Unknown")</f>
        <v>Shift A – Day (Mon–Fri 06:00–14:30)</v>
      </c>
      <c r="I155" s="60">
        <f>_xlfn.XLOOKUP(G155,ShiftCodes[Code],ShiftCodes[Start],"")</f>
        <v>0.25</v>
      </c>
      <c r="J155" s="61">
        <f t="shared" si="10"/>
        <v>-6</v>
      </c>
      <c r="K155" s="59" t="str">
        <f t="shared" si="11"/>
        <v>OK</v>
      </c>
      <c r="L155" s="62"/>
      <c r="M155" s="5" t="str">
        <f t="shared" si="12"/>
        <v>Fri</v>
      </c>
      <c r="N155" s="63">
        <f t="shared" si="13"/>
        <v>7.98</v>
      </c>
      <c r="O155" s="5" t="s">
        <v>758</v>
      </c>
      <c r="P155" s="6">
        <v>46304</v>
      </c>
      <c r="Q155" s="5" t="str">
        <f t="shared" si="14"/>
        <v>Current period</v>
      </c>
      <c r="R155" s="5" t="str">
        <f t="array" ref="R155">_xlfn.XLOOKUP(A155,TRIM(SUBSTITUTE('worker file'!$A$2:$A$406,_xlfn.UNICHAR(160)," ")),'worker file'!$D$2:$D$406,"Not found")</f>
        <v>CA</v>
      </c>
    </row>
    <row r="156" spans="1:18" ht="16" x14ac:dyDescent="0.2">
      <c r="A156" s="5" t="s">
        <v>201</v>
      </c>
      <c r="B156" s="6">
        <v>46307</v>
      </c>
      <c r="C156" s="56">
        <v>0.250694444444444</v>
      </c>
      <c r="D156" s="56">
        <v>0.60208333333333297</v>
      </c>
      <c r="E156" s="57">
        <v>0.40486111111111101</v>
      </c>
      <c r="F156" s="58">
        <v>0.42569444444444399</v>
      </c>
      <c r="G156" s="59" t="str">
        <f t="array" ref="G156">_xlfn.XLOOKUP(A156&amp;"|"&amp;B156,ShiftRoster[Employee ID]&amp;"|"&amp;ShiftRoster[Date],ShiftRoster[Shift Code],_xlfn.XLOOKUP(A156,TRIM(SUBSTITUTE('worker file'!$A$2:$A$406,_xlfn.UNICHAR(160)," ")),'worker file'!$X$2:$X$406,"?"),0,-1)</f>
        <v>DAY</v>
      </c>
      <c r="H156" s="59" t="str">
        <f>_xlfn.XLOOKUP(G156,ShiftCodes[Code],ShiftCodes[Work Schedule],"Unknown")</f>
        <v>Shift A – Day (Mon–Fri 06:00–14:30)</v>
      </c>
      <c r="I156" s="60">
        <f>_xlfn.XLOOKUP(G156,ShiftCodes[Code],ShiftCodes[Start],"")</f>
        <v>0.25</v>
      </c>
      <c r="J156" s="61">
        <f t="shared" si="10"/>
        <v>1</v>
      </c>
      <c r="K156" s="59" t="str">
        <f t="shared" si="11"/>
        <v>OK</v>
      </c>
      <c r="L156" s="62"/>
      <c r="M156" s="5" t="str">
        <f t="shared" si="12"/>
        <v>Mon</v>
      </c>
      <c r="N156" s="63">
        <f t="shared" si="13"/>
        <v>7.93</v>
      </c>
      <c r="O156" s="5" t="s">
        <v>758</v>
      </c>
      <c r="P156" s="6">
        <v>46307</v>
      </c>
      <c r="Q156" s="5" t="str">
        <f t="shared" si="14"/>
        <v>Current period</v>
      </c>
      <c r="R156" s="5" t="str">
        <f t="array" ref="R156">_xlfn.XLOOKUP(A156,TRIM(SUBSTITUTE('worker file'!$A$2:$A$406,_xlfn.UNICHAR(160)," ")),'worker file'!$D$2:$D$406,"Not found")</f>
        <v>CA</v>
      </c>
    </row>
    <row r="157" spans="1:18" ht="16" x14ac:dyDescent="0.2">
      <c r="A157" s="5" t="s">
        <v>201</v>
      </c>
      <c r="B157" s="6">
        <v>46308</v>
      </c>
      <c r="C157" s="56">
        <v>0.24583333333333299</v>
      </c>
      <c r="D157" s="56">
        <v>0.59791666666666698</v>
      </c>
      <c r="E157" s="57">
        <v>0.40625</v>
      </c>
      <c r="F157" s="58">
        <v>0.42708333333333298</v>
      </c>
      <c r="G157" s="59" t="str">
        <f t="array" ref="G157">_xlfn.XLOOKUP(A157&amp;"|"&amp;B157,ShiftRoster[Employee ID]&amp;"|"&amp;ShiftRoster[Date],ShiftRoster[Shift Code],_xlfn.XLOOKUP(A157,TRIM(SUBSTITUTE('worker file'!$A$2:$A$406,_xlfn.UNICHAR(160)," ")),'worker file'!$X$2:$X$406,"?"),0,-1)</f>
        <v>DAY</v>
      </c>
      <c r="H157" s="59" t="str">
        <f>_xlfn.XLOOKUP(G157,ShiftCodes[Code],ShiftCodes[Work Schedule],"Unknown")</f>
        <v>Shift A – Day (Mon–Fri 06:00–14:30)</v>
      </c>
      <c r="I157" s="60">
        <f>_xlfn.XLOOKUP(G157,ShiftCodes[Code],ShiftCodes[Start],"")</f>
        <v>0.25</v>
      </c>
      <c r="J157" s="61">
        <f t="shared" si="10"/>
        <v>-6</v>
      </c>
      <c r="K157" s="59" t="str">
        <f t="shared" si="11"/>
        <v>OK</v>
      </c>
      <c r="L157" s="62"/>
      <c r="M157" s="5" t="str">
        <f t="shared" si="12"/>
        <v>Tue</v>
      </c>
      <c r="N157" s="63">
        <f t="shared" si="13"/>
        <v>7.95</v>
      </c>
      <c r="O157" s="5" t="s">
        <v>758</v>
      </c>
      <c r="P157" s="6">
        <v>46308</v>
      </c>
      <c r="Q157" s="5" t="str">
        <f t="shared" si="14"/>
        <v>Current period</v>
      </c>
      <c r="R157" s="5" t="str">
        <f t="array" ref="R157">_xlfn.XLOOKUP(A157,TRIM(SUBSTITUTE('worker file'!$A$2:$A$406,_xlfn.UNICHAR(160)," ")),'worker file'!$D$2:$D$406,"Not found")</f>
        <v>CA</v>
      </c>
    </row>
    <row r="158" spans="1:18" ht="16" x14ac:dyDescent="0.2">
      <c r="A158" s="5" t="s">
        <v>201</v>
      </c>
      <c r="B158" s="6">
        <v>46309</v>
      </c>
      <c r="C158" s="56">
        <v>0.25277777777777799</v>
      </c>
      <c r="D158" s="56">
        <v>0.60138888888888897</v>
      </c>
      <c r="E158" s="57">
        <v>0.41944444444444401</v>
      </c>
      <c r="F158" s="58">
        <v>0.44027777777777799</v>
      </c>
      <c r="G158" s="59" t="str">
        <f t="array" ref="G158">_xlfn.XLOOKUP(A158&amp;"|"&amp;B158,ShiftRoster[Employee ID]&amp;"|"&amp;ShiftRoster[Date],ShiftRoster[Shift Code],_xlfn.XLOOKUP(A158,TRIM(SUBSTITUTE('worker file'!$A$2:$A$406,_xlfn.UNICHAR(160)," ")),'worker file'!$X$2:$X$406,"?"),0,-1)</f>
        <v>DAY</v>
      </c>
      <c r="H158" s="59" t="str">
        <f>_xlfn.XLOOKUP(G158,ShiftCodes[Code],ShiftCodes[Work Schedule],"Unknown")</f>
        <v>Shift A – Day (Mon–Fri 06:00–14:30)</v>
      </c>
      <c r="I158" s="60">
        <f>_xlfn.XLOOKUP(G158,ShiftCodes[Code],ShiftCodes[Start],"")</f>
        <v>0.25</v>
      </c>
      <c r="J158" s="61">
        <f t="shared" si="10"/>
        <v>4</v>
      </c>
      <c r="K158" s="59" t="str">
        <f t="shared" si="11"/>
        <v>OK</v>
      </c>
      <c r="L158" s="62"/>
      <c r="M158" s="5" t="str">
        <f t="shared" si="12"/>
        <v>Wed</v>
      </c>
      <c r="N158" s="63">
        <f t="shared" si="13"/>
        <v>7.87</v>
      </c>
      <c r="O158" s="5" t="s">
        <v>758</v>
      </c>
      <c r="P158" s="6">
        <v>46309</v>
      </c>
      <c r="Q158" s="5" t="str">
        <f t="shared" si="14"/>
        <v>Current period</v>
      </c>
      <c r="R158" s="5" t="str">
        <f t="array" ref="R158">_xlfn.XLOOKUP(A158,TRIM(SUBSTITUTE('worker file'!$A$2:$A$406,_xlfn.UNICHAR(160)," ")),'worker file'!$D$2:$D$406,"Not found")</f>
        <v>CA</v>
      </c>
    </row>
    <row r="159" spans="1:18" ht="16" x14ac:dyDescent="0.2">
      <c r="A159" s="5" t="s">
        <v>201</v>
      </c>
      <c r="B159" s="6">
        <v>46310</v>
      </c>
      <c r="C159" s="56">
        <v>0.24791666666666701</v>
      </c>
      <c r="D159" s="56">
        <v>0.6</v>
      </c>
      <c r="E159" s="57">
        <v>0.4</v>
      </c>
      <c r="F159" s="58">
        <v>0.420833333333333</v>
      </c>
      <c r="G159" s="59" t="str">
        <f t="array" ref="G159">_xlfn.XLOOKUP(A159&amp;"|"&amp;B159,ShiftRoster[Employee ID]&amp;"|"&amp;ShiftRoster[Date],ShiftRoster[Shift Code],_xlfn.XLOOKUP(A159,TRIM(SUBSTITUTE('worker file'!$A$2:$A$406,_xlfn.UNICHAR(160)," ")),'worker file'!$X$2:$X$406,"?"),0,-1)</f>
        <v>DAY</v>
      </c>
      <c r="H159" s="59" t="str">
        <f>_xlfn.XLOOKUP(G159,ShiftCodes[Code],ShiftCodes[Work Schedule],"Unknown")</f>
        <v>Shift A – Day (Mon–Fri 06:00–14:30)</v>
      </c>
      <c r="I159" s="60">
        <f>_xlfn.XLOOKUP(G159,ShiftCodes[Code],ShiftCodes[Start],"")</f>
        <v>0.25</v>
      </c>
      <c r="J159" s="61">
        <f t="shared" si="10"/>
        <v>-3</v>
      </c>
      <c r="K159" s="59" t="str">
        <f t="shared" si="11"/>
        <v>OK</v>
      </c>
      <c r="L159" s="62"/>
      <c r="M159" s="5" t="str">
        <f t="shared" si="12"/>
        <v>Thu</v>
      </c>
      <c r="N159" s="63">
        <f t="shared" si="13"/>
        <v>7.95</v>
      </c>
      <c r="O159" s="5" t="s">
        <v>758</v>
      </c>
      <c r="P159" s="6">
        <v>46310</v>
      </c>
      <c r="Q159" s="5" t="str">
        <f t="shared" si="14"/>
        <v>Current period</v>
      </c>
      <c r="R159" s="5" t="str">
        <f t="array" ref="R159">_xlfn.XLOOKUP(A159,TRIM(SUBSTITUTE('worker file'!$A$2:$A$406,_xlfn.UNICHAR(160)," ")),'worker file'!$D$2:$D$406,"Not found")</f>
        <v>CA</v>
      </c>
    </row>
    <row r="160" spans="1:18" ht="16" x14ac:dyDescent="0.2">
      <c r="A160" s="5" t="s">
        <v>201</v>
      </c>
      <c r="B160" s="6">
        <v>46311</v>
      </c>
      <c r="C160" s="56">
        <v>0.25208333333333299</v>
      </c>
      <c r="D160" s="56">
        <v>0.60416666666666696</v>
      </c>
      <c r="E160" s="57">
        <v>0.4375</v>
      </c>
      <c r="F160" s="58">
        <v>0.45833333333333298</v>
      </c>
      <c r="G160" s="59" t="str">
        <f t="array" ref="G160">_xlfn.XLOOKUP(A160&amp;"|"&amp;B160,ShiftRoster[Employee ID]&amp;"|"&amp;ShiftRoster[Date],ShiftRoster[Shift Code],_xlfn.XLOOKUP(A160,TRIM(SUBSTITUTE('worker file'!$A$2:$A$406,_xlfn.UNICHAR(160)," ")),'worker file'!$X$2:$X$406,"?"),0,-1)</f>
        <v>DAY</v>
      </c>
      <c r="H160" s="59" t="str">
        <f>_xlfn.XLOOKUP(G160,ShiftCodes[Code],ShiftCodes[Work Schedule],"Unknown")</f>
        <v>Shift A – Day (Mon–Fri 06:00–14:30)</v>
      </c>
      <c r="I160" s="60">
        <f>_xlfn.XLOOKUP(G160,ShiftCodes[Code],ShiftCodes[Start],"")</f>
        <v>0.25</v>
      </c>
      <c r="J160" s="61">
        <f t="shared" si="10"/>
        <v>3</v>
      </c>
      <c r="K160" s="59" t="str">
        <f t="shared" si="11"/>
        <v>OK</v>
      </c>
      <c r="L160" s="62"/>
      <c r="M160" s="5" t="str">
        <f t="shared" si="12"/>
        <v>Fri</v>
      </c>
      <c r="N160" s="63">
        <f t="shared" si="13"/>
        <v>7.95</v>
      </c>
      <c r="O160" s="5" t="s">
        <v>758</v>
      </c>
      <c r="P160" s="6">
        <v>46311</v>
      </c>
      <c r="Q160" s="5" t="str">
        <f t="shared" si="14"/>
        <v>Current period</v>
      </c>
      <c r="R160" s="5" t="str">
        <f t="array" ref="R160">_xlfn.XLOOKUP(A160,TRIM(SUBSTITUTE('worker file'!$A$2:$A$406,_xlfn.UNICHAR(160)," ")),'worker file'!$D$2:$D$406,"Not found")</f>
        <v>CA</v>
      </c>
    </row>
    <row r="161" spans="1:18" ht="16" x14ac:dyDescent="0.2">
      <c r="A161" s="5" t="s">
        <v>211</v>
      </c>
      <c r="B161" s="6">
        <v>46299</v>
      </c>
      <c r="C161" s="56">
        <v>0.24861111111111101</v>
      </c>
      <c r="D161" s="56">
        <v>0.77222222222222203</v>
      </c>
      <c r="E161" s="57">
        <v>0.420833333333333</v>
      </c>
      <c r="F161" s="58">
        <v>0.44166666666666698</v>
      </c>
      <c r="G161" s="59" t="str">
        <f t="array" ref="G161">_xlfn.XLOOKUP(A161&amp;"|"&amp;B161,ShiftRoster[Employee ID]&amp;"|"&amp;ShiftRoster[Date],ShiftRoster[Shift Code],_xlfn.XLOOKUP(A161,TRIM(SUBSTITUTE('worker file'!$A$2:$A$406,_xlfn.UNICHAR(160)," ")),'worker file'!$X$2:$X$406,"?"),0,-1)</f>
        <v>WKND</v>
      </c>
      <c r="H161" s="59" t="str">
        <f>_xlfn.XLOOKUP(G161,ShiftCodes[Code],ShiftCodes[Work Schedule],"Unknown")</f>
        <v>Shift D – Weekend (Fri–Sun 06:00–18:30)</v>
      </c>
      <c r="I161" s="60">
        <f>_xlfn.XLOOKUP(G161,ShiftCodes[Code],ShiftCodes[Start],"")</f>
        <v>0.25</v>
      </c>
      <c r="J161" s="61">
        <f t="shared" si="10"/>
        <v>-2</v>
      </c>
      <c r="K161" s="59" t="str">
        <f t="shared" si="11"/>
        <v>OK</v>
      </c>
      <c r="L161" s="62"/>
      <c r="M161" s="5" t="str">
        <f t="shared" si="12"/>
        <v>Sun</v>
      </c>
      <c r="N161" s="63">
        <f t="shared" si="13"/>
        <v>12.07</v>
      </c>
      <c r="O161" s="5" t="s">
        <v>758</v>
      </c>
      <c r="P161" s="6">
        <v>46299</v>
      </c>
      <c r="Q161" s="5" t="str">
        <f t="shared" si="14"/>
        <v>Current period</v>
      </c>
      <c r="R161" s="5" t="str">
        <f t="array" ref="R161">_xlfn.XLOOKUP(A161,TRIM(SUBSTITUTE('worker file'!$A$2:$A$406,_xlfn.UNICHAR(160)," ")),'worker file'!$D$2:$D$406,"Not found")</f>
        <v>CA</v>
      </c>
    </row>
    <row r="162" spans="1:18" ht="16" x14ac:dyDescent="0.2">
      <c r="A162" s="5" t="s">
        <v>211</v>
      </c>
      <c r="B162" s="6">
        <v>46305</v>
      </c>
      <c r="C162" s="56">
        <v>0.25208333333333299</v>
      </c>
      <c r="D162" s="56">
        <v>0.77152777777777803</v>
      </c>
      <c r="E162" s="57">
        <v>0.42499999999999999</v>
      </c>
      <c r="F162" s="58">
        <v>0.44583333333333303</v>
      </c>
      <c r="G162" s="59" t="str">
        <f t="array" ref="G162">_xlfn.XLOOKUP(A162&amp;"|"&amp;B162,ShiftRoster[Employee ID]&amp;"|"&amp;ShiftRoster[Date],ShiftRoster[Shift Code],_xlfn.XLOOKUP(A162,TRIM(SUBSTITUTE('worker file'!$A$2:$A$406,_xlfn.UNICHAR(160)," ")),'worker file'!$X$2:$X$406,"?"),0,-1)</f>
        <v>WKND</v>
      </c>
      <c r="H162" s="59" t="str">
        <f>_xlfn.XLOOKUP(G162,ShiftCodes[Code],ShiftCodes[Work Schedule],"Unknown")</f>
        <v>Shift D – Weekend (Fri–Sun 06:00–18:30)</v>
      </c>
      <c r="I162" s="60">
        <f>_xlfn.XLOOKUP(G162,ShiftCodes[Code],ShiftCodes[Start],"")</f>
        <v>0.25</v>
      </c>
      <c r="J162" s="61">
        <f t="shared" si="10"/>
        <v>3</v>
      </c>
      <c r="K162" s="59" t="str">
        <f t="shared" si="11"/>
        <v>OK</v>
      </c>
      <c r="L162" s="62"/>
      <c r="M162" s="5" t="str">
        <f t="shared" si="12"/>
        <v>Sat</v>
      </c>
      <c r="N162" s="63">
        <f t="shared" si="13"/>
        <v>11.97</v>
      </c>
      <c r="O162" s="5" t="s">
        <v>758</v>
      </c>
      <c r="P162" s="6">
        <v>46305</v>
      </c>
      <c r="Q162" s="5" t="str">
        <f t="shared" si="14"/>
        <v>Current period</v>
      </c>
      <c r="R162" s="5" t="str">
        <f t="array" ref="R162">_xlfn.XLOOKUP(A162,TRIM(SUBSTITUTE('worker file'!$A$2:$A$406,_xlfn.UNICHAR(160)," ")),'worker file'!$D$2:$D$406,"Not found")</f>
        <v>CA</v>
      </c>
    </row>
    <row r="163" spans="1:18" ht="16" x14ac:dyDescent="0.2">
      <c r="A163" s="5" t="s">
        <v>211</v>
      </c>
      <c r="B163" s="6">
        <v>46306</v>
      </c>
      <c r="C163" s="56">
        <v>0.250694444444444</v>
      </c>
      <c r="D163" s="56">
        <v>0.76875000000000004</v>
      </c>
      <c r="E163" s="57">
        <v>0.42638888888888898</v>
      </c>
      <c r="F163" s="58">
        <v>0.44722222222222202</v>
      </c>
      <c r="G163" s="59" t="str">
        <f t="array" ref="G163">_xlfn.XLOOKUP(A163&amp;"|"&amp;B163,ShiftRoster[Employee ID]&amp;"|"&amp;ShiftRoster[Date],ShiftRoster[Shift Code],_xlfn.XLOOKUP(A163,TRIM(SUBSTITUTE('worker file'!$A$2:$A$406,_xlfn.UNICHAR(160)," ")),'worker file'!$X$2:$X$406,"?"),0,-1)</f>
        <v>WKND</v>
      </c>
      <c r="H163" s="59" t="str">
        <f>_xlfn.XLOOKUP(G163,ShiftCodes[Code],ShiftCodes[Work Schedule],"Unknown")</f>
        <v>Shift D – Weekend (Fri–Sun 06:00–18:30)</v>
      </c>
      <c r="I163" s="60">
        <f>_xlfn.XLOOKUP(G163,ShiftCodes[Code],ShiftCodes[Start],"")</f>
        <v>0.25</v>
      </c>
      <c r="J163" s="61">
        <f t="shared" si="10"/>
        <v>1</v>
      </c>
      <c r="K163" s="59" t="str">
        <f t="shared" si="11"/>
        <v>OK</v>
      </c>
      <c r="L163" s="62"/>
      <c r="M163" s="5" t="str">
        <f t="shared" si="12"/>
        <v>Sun</v>
      </c>
      <c r="N163" s="63">
        <f t="shared" si="13"/>
        <v>11.93</v>
      </c>
      <c r="O163" s="5" t="s">
        <v>758</v>
      </c>
      <c r="P163" s="6">
        <v>46306</v>
      </c>
      <c r="Q163" s="5" t="str">
        <f t="shared" si="14"/>
        <v>Current period</v>
      </c>
      <c r="R163" s="5" t="str">
        <f t="array" ref="R163">_xlfn.XLOOKUP(A163,TRIM(SUBSTITUTE('worker file'!$A$2:$A$406,_xlfn.UNICHAR(160)," ")),'worker file'!$D$2:$D$406,"Not found")</f>
        <v>CA</v>
      </c>
    </row>
    <row r="164" spans="1:18" ht="16" x14ac:dyDescent="0.2">
      <c r="A164" s="5" t="s">
        <v>211</v>
      </c>
      <c r="B164" s="6">
        <v>46312</v>
      </c>
      <c r="C164" s="56">
        <v>0.25138888888888899</v>
      </c>
      <c r="D164" s="56">
        <v>0.77013888888888904</v>
      </c>
      <c r="E164" s="57">
        <v>0.42708333333333298</v>
      </c>
      <c r="F164" s="58">
        <v>0.44791666666666702</v>
      </c>
      <c r="G164" s="59" t="str">
        <f t="array" ref="G164">_xlfn.XLOOKUP(A164&amp;"|"&amp;B164,ShiftRoster[Employee ID]&amp;"|"&amp;ShiftRoster[Date],ShiftRoster[Shift Code],_xlfn.XLOOKUP(A164,TRIM(SUBSTITUTE('worker file'!$A$2:$A$406,_xlfn.UNICHAR(160)," ")),'worker file'!$X$2:$X$406,"?"),0,-1)</f>
        <v>WKND</v>
      </c>
      <c r="H164" s="59" t="str">
        <f>_xlfn.XLOOKUP(G164,ShiftCodes[Code],ShiftCodes[Work Schedule],"Unknown")</f>
        <v>Shift D – Weekend (Fri–Sun 06:00–18:30)</v>
      </c>
      <c r="I164" s="60">
        <f>_xlfn.XLOOKUP(G164,ShiftCodes[Code],ShiftCodes[Start],"")</f>
        <v>0.25</v>
      </c>
      <c r="J164" s="61">
        <f t="shared" si="10"/>
        <v>2</v>
      </c>
      <c r="K164" s="59" t="str">
        <f t="shared" si="11"/>
        <v>OK</v>
      </c>
      <c r="L164" s="62"/>
      <c r="M164" s="5" t="str">
        <f t="shared" si="12"/>
        <v>Sat</v>
      </c>
      <c r="N164" s="63">
        <f t="shared" si="13"/>
        <v>11.95</v>
      </c>
      <c r="O164" s="5" t="s">
        <v>758</v>
      </c>
      <c r="P164" s="6">
        <v>46312</v>
      </c>
      <c r="Q164" s="5" t="str">
        <f t="shared" si="14"/>
        <v>Current period</v>
      </c>
      <c r="R164" s="5" t="str">
        <f t="array" ref="R164">_xlfn.XLOOKUP(A164,TRIM(SUBSTITUTE('worker file'!$A$2:$A$406,_xlfn.UNICHAR(160)," ")),'worker file'!$D$2:$D$406,"Not found")</f>
        <v>CA</v>
      </c>
    </row>
    <row r="165" spans="1:18" ht="16" x14ac:dyDescent="0.2">
      <c r="A165" s="5" t="s">
        <v>219</v>
      </c>
      <c r="B165" s="6">
        <v>46299</v>
      </c>
      <c r="C165" s="56">
        <v>0.250694444444444</v>
      </c>
      <c r="D165" s="56">
        <v>0.76875000000000004</v>
      </c>
      <c r="E165" s="57">
        <v>0.42708333333333298</v>
      </c>
      <c r="F165" s="58">
        <v>0.44791666666666702</v>
      </c>
      <c r="G165" s="59" t="str">
        <f t="array" ref="G165">_xlfn.XLOOKUP(A165&amp;"|"&amp;B165,ShiftRoster[Employee ID]&amp;"|"&amp;ShiftRoster[Date],ShiftRoster[Shift Code],_xlfn.XLOOKUP(A165,TRIM(SUBSTITUTE('worker file'!$A$2:$A$406,_xlfn.UNICHAR(160)," ")),'worker file'!$X$2:$X$406,"?"),0,-1)</f>
        <v>WKND</v>
      </c>
      <c r="H165" s="59" t="str">
        <f>_xlfn.XLOOKUP(G165,ShiftCodes[Code],ShiftCodes[Work Schedule],"Unknown")</f>
        <v>Shift D – Weekend (Fri–Sun 06:00–18:30)</v>
      </c>
      <c r="I165" s="60">
        <f>_xlfn.XLOOKUP(G165,ShiftCodes[Code],ShiftCodes[Start],"")</f>
        <v>0.25</v>
      </c>
      <c r="J165" s="61">
        <f t="shared" si="10"/>
        <v>1</v>
      </c>
      <c r="K165" s="59" t="str">
        <f t="shared" si="11"/>
        <v>OK</v>
      </c>
      <c r="L165" s="62"/>
      <c r="M165" s="5" t="str">
        <f t="shared" si="12"/>
        <v>Sun</v>
      </c>
      <c r="N165" s="63">
        <f t="shared" si="13"/>
        <v>11.93</v>
      </c>
      <c r="O165" s="5" t="s">
        <v>758</v>
      </c>
      <c r="P165" s="6">
        <v>46299</v>
      </c>
      <c r="Q165" s="5" t="str">
        <f t="shared" si="14"/>
        <v>Current period</v>
      </c>
      <c r="R165" s="5" t="str">
        <f t="array" ref="R165">_xlfn.XLOOKUP(A165,TRIM(SUBSTITUTE('worker file'!$A$2:$A$406,_xlfn.UNICHAR(160)," ")),'worker file'!$D$2:$D$406,"Not found")</f>
        <v>TX</v>
      </c>
    </row>
    <row r="166" spans="1:18" ht="16" x14ac:dyDescent="0.2">
      <c r="A166" s="5" t="s">
        <v>219</v>
      </c>
      <c r="B166" s="6">
        <v>46304</v>
      </c>
      <c r="C166" s="56">
        <v>0.24791666666666701</v>
      </c>
      <c r="D166" s="56">
        <v>0.77083333333333304</v>
      </c>
      <c r="E166" s="57">
        <v>0.422222222222222</v>
      </c>
      <c r="F166" s="58">
        <v>0.44305555555555598</v>
      </c>
      <c r="G166" s="59" t="str">
        <f t="array" ref="G166">_xlfn.XLOOKUP(A166&amp;"|"&amp;B166,ShiftRoster[Employee ID]&amp;"|"&amp;ShiftRoster[Date],ShiftRoster[Shift Code],_xlfn.XLOOKUP(A166,TRIM(SUBSTITUTE('worker file'!$A$2:$A$406,_xlfn.UNICHAR(160)," ")),'worker file'!$X$2:$X$406,"?"),0,-1)</f>
        <v>WKND</v>
      </c>
      <c r="H166" s="59" t="str">
        <f>_xlfn.XLOOKUP(G166,ShiftCodes[Code],ShiftCodes[Work Schedule],"Unknown")</f>
        <v>Shift D – Weekend (Fri–Sun 06:00–18:30)</v>
      </c>
      <c r="I166" s="60">
        <f>_xlfn.XLOOKUP(G166,ShiftCodes[Code],ShiftCodes[Start],"")</f>
        <v>0.25</v>
      </c>
      <c r="J166" s="61">
        <f t="shared" si="10"/>
        <v>-3</v>
      </c>
      <c r="K166" s="59" t="str">
        <f t="shared" si="11"/>
        <v>OK</v>
      </c>
      <c r="L166" s="62"/>
      <c r="M166" s="5" t="str">
        <f t="shared" si="12"/>
        <v>Fri</v>
      </c>
      <c r="N166" s="63">
        <f t="shared" si="13"/>
        <v>12.05</v>
      </c>
      <c r="O166" s="5" t="s">
        <v>758</v>
      </c>
      <c r="P166" s="6">
        <v>46304</v>
      </c>
      <c r="Q166" s="5" t="str">
        <f t="shared" si="14"/>
        <v>Current period</v>
      </c>
      <c r="R166" s="5" t="str">
        <f t="array" ref="R166">_xlfn.XLOOKUP(A166,TRIM(SUBSTITUTE('worker file'!$A$2:$A$406,_xlfn.UNICHAR(160)," ")),'worker file'!$D$2:$D$406,"Not found")</f>
        <v>TX</v>
      </c>
    </row>
    <row r="167" spans="1:18" ht="16" x14ac:dyDescent="0.2">
      <c r="A167" s="5" t="s">
        <v>219</v>
      </c>
      <c r="B167" s="6">
        <v>46305</v>
      </c>
      <c r="C167" s="56">
        <v>0.24652777777777801</v>
      </c>
      <c r="D167" s="56">
        <v>0.76805555555555605</v>
      </c>
      <c r="E167" s="57">
        <v>0.41736111111111102</v>
      </c>
      <c r="F167" s="58">
        <v>0.438194444444444</v>
      </c>
      <c r="G167" s="59" t="str">
        <f t="array" ref="G167">_xlfn.XLOOKUP(A167&amp;"|"&amp;B167,ShiftRoster[Employee ID]&amp;"|"&amp;ShiftRoster[Date],ShiftRoster[Shift Code],_xlfn.XLOOKUP(A167,TRIM(SUBSTITUTE('worker file'!$A$2:$A$406,_xlfn.UNICHAR(160)," ")),'worker file'!$X$2:$X$406,"?"),0,-1)</f>
        <v>WKND</v>
      </c>
      <c r="H167" s="59" t="str">
        <f>_xlfn.XLOOKUP(G167,ShiftCodes[Code],ShiftCodes[Work Schedule],"Unknown")</f>
        <v>Shift D – Weekend (Fri–Sun 06:00–18:30)</v>
      </c>
      <c r="I167" s="60">
        <f>_xlfn.XLOOKUP(G167,ShiftCodes[Code],ShiftCodes[Start],"")</f>
        <v>0.25</v>
      </c>
      <c r="J167" s="61">
        <f t="shared" si="10"/>
        <v>-5</v>
      </c>
      <c r="K167" s="59" t="str">
        <f t="shared" si="11"/>
        <v>OK</v>
      </c>
      <c r="L167" s="62"/>
      <c r="M167" s="5" t="str">
        <f t="shared" si="12"/>
        <v>Sat</v>
      </c>
      <c r="N167" s="63">
        <f t="shared" si="13"/>
        <v>12.02</v>
      </c>
      <c r="O167" s="5" t="s">
        <v>758</v>
      </c>
      <c r="P167" s="6">
        <v>46305</v>
      </c>
      <c r="Q167" s="5" t="str">
        <f t="shared" si="14"/>
        <v>Current period</v>
      </c>
      <c r="R167" s="5" t="str">
        <f t="array" ref="R167">_xlfn.XLOOKUP(A167,TRIM(SUBSTITUTE('worker file'!$A$2:$A$406,_xlfn.UNICHAR(160)," ")),'worker file'!$D$2:$D$406,"Not found")</f>
        <v>TX</v>
      </c>
    </row>
    <row r="168" spans="1:18" ht="16" x14ac:dyDescent="0.2">
      <c r="A168" s="5" t="s">
        <v>219</v>
      </c>
      <c r="B168" s="6">
        <v>46306</v>
      </c>
      <c r="C168" s="56">
        <v>0.25277777777777799</v>
      </c>
      <c r="D168" s="56">
        <v>0.77291666666666703</v>
      </c>
      <c r="E168" s="57">
        <v>0.42638888888888898</v>
      </c>
      <c r="F168" s="58">
        <v>0.44722222222222202</v>
      </c>
      <c r="G168" s="59" t="str">
        <f t="array" ref="G168">_xlfn.XLOOKUP(A168&amp;"|"&amp;B168,ShiftRoster[Employee ID]&amp;"|"&amp;ShiftRoster[Date],ShiftRoster[Shift Code],_xlfn.XLOOKUP(A168,TRIM(SUBSTITUTE('worker file'!$A$2:$A$406,_xlfn.UNICHAR(160)," ")),'worker file'!$X$2:$X$406,"?"),0,-1)</f>
        <v>WKND</v>
      </c>
      <c r="H168" s="59" t="str">
        <f>_xlfn.XLOOKUP(G168,ShiftCodes[Code],ShiftCodes[Work Schedule],"Unknown")</f>
        <v>Shift D – Weekend (Fri–Sun 06:00–18:30)</v>
      </c>
      <c r="I168" s="60">
        <f>_xlfn.XLOOKUP(G168,ShiftCodes[Code],ShiftCodes[Start],"")</f>
        <v>0.25</v>
      </c>
      <c r="J168" s="61">
        <f t="shared" si="10"/>
        <v>4</v>
      </c>
      <c r="K168" s="59" t="str">
        <f t="shared" si="11"/>
        <v>OK</v>
      </c>
      <c r="L168" s="62"/>
      <c r="M168" s="5" t="str">
        <f t="shared" si="12"/>
        <v>Sun</v>
      </c>
      <c r="N168" s="63">
        <f t="shared" si="13"/>
        <v>11.98</v>
      </c>
      <c r="O168" s="5" t="s">
        <v>758</v>
      </c>
      <c r="P168" s="6">
        <v>46306</v>
      </c>
      <c r="Q168" s="5" t="str">
        <f t="shared" si="14"/>
        <v>Current period</v>
      </c>
      <c r="R168" s="5" t="str">
        <f t="array" ref="R168">_xlfn.XLOOKUP(A168,TRIM(SUBSTITUTE('worker file'!$A$2:$A$406,_xlfn.UNICHAR(160)," ")),'worker file'!$D$2:$D$406,"Not found")</f>
        <v>TX</v>
      </c>
    </row>
    <row r="169" spans="1:18" ht="16" x14ac:dyDescent="0.2">
      <c r="A169" s="5" t="s">
        <v>219</v>
      </c>
      <c r="B169" s="6">
        <v>46311</v>
      </c>
      <c r="C169" s="56">
        <v>0.24722222222222201</v>
      </c>
      <c r="D169" s="56">
        <v>0.64305555555555605</v>
      </c>
      <c r="E169" s="57">
        <v>0.41111111111111098</v>
      </c>
      <c r="F169" s="58">
        <v>0.43194444444444402</v>
      </c>
      <c r="G169" s="59" t="str">
        <f t="array" ref="G169">_xlfn.XLOOKUP(A169&amp;"|"&amp;B169,ShiftRoster[Employee ID]&amp;"|"&amp;ShiftRoster[Date],ShiftRoster[Shift Code],_xlfn.XLOOKUP(A169,TRIM(SUBSTITUTE('worker file'!$A$2:$A$406,_xlfn.UNICHAR(160)," ")),'worker file'!$X$2:$X$406,"?"),0,-1)</f>
        <v>WKND</v>
      </c>
      <c r="H169" s="59" t="str">
        <f>_xlfn.XLOOKUP(G169,ShiftCodes[Code],ShiftCodes[Work Schedule],"Unknown")</f>
        <v>Shift D – Weekend (Fri–Sun 06:00–18:30)</v>
      </c>
      <c r="I169" s="60">
        <f>_xlfn.XLOOKUP(G169,ShiftCodes[Code],ShiftCodes[Start],"")</f>
        <v>0.25</v>
      </c>
      <c r="J169" s="61">
        <f t="shared" si="10"/>
        <v>-4</v>
      </c>
      <c r="K169" s="59" t="str">
        <f t="shared" si="11"/>
        <v>OK</v>
      </c>
      <c r="L169" s="62" t="s">
        <v>777</v>
      </c>
      <c r="M169" s="5" t="str">
        <f t="shared" si="12"/>
        <v>Fri</v>
      </c>
      <c r="N169" s="63">
        <f t="shared" si="13"/>
        <v>9</v>
      </c>
      <c r="O169" s="5" t="s">
        <v>758</v>
      </c>
      <c r="P169" s="6">
        <v>46311</v>
      </c>
      <c r="Q169" s="5" t="str">
        <f t="shared" si="14"/>
        <v>Current period</v>
      </c>
      <c r="R169" s="5" t="str">
        <f t="array" ref="R169">_xlfn.XLOOKUP(A169,TRIM(SUBSTITUTE('worker file'!$A$2:$A$406,_xlfn.UNICHAR(160)," ")),'worker file'!$D$2:$D$406,"Not found")</f>
        <v>TX</v>
      </c>
    </row>
    <row r="170" spans="1:18" ht="16" x14ac:dyDescent="0.2">
      <c r="A170" s="5" t="s">
        <v>219</v>
      </c>
      <c r="B170" s="6">
        <v>46312</v>
      </c>
      <c r="C170" s="56">
        <v>0.25347222222222199</v>
      </c>
      <c r="D170" s="56">
        <v>0.77430555555555602</v>
      </c>
      <c r="E170" s="57">
        <v>0.42708333333333298</v>
      </c>
      <c r="F170" s="58">
        <v>0.44791666666666702</v>
      </c>
      <c r="G170" s="59" t="str">
        <f t="array" ref="G170">_xlfn.XLOOKUP(A170&amp;"|"&amp;B170,ShiftRoster[Employee ID]&amp;"|"&amp;ShiftRoster[Date],ShiftRoster[Shift Code],_xlfn.XLOOKUP(A170,TRIM(SUBSTITUTE('worker file'!$A$2:$A$406,_xlfn.UNICHAR(160)," ")),'worker file'!$X$2:$X$406,"?"),0,-1)</f>
        <v>WKND</v>
      </c>
      <c r="H170" s="59" t="str">
        <f>_xlfn.XLOOKUP(G170,ShiftCodes[Code],ShiftCodes[Work Schedule],"Unknown")</f>
        <v>Shift D – Weekend (Fri–Sun 06:00–18:30)</v>
      </c>
      <c r="I170" s="60">
        <f>_xlfn.XLOOKUP(G170,ShiftCodes[Code],ShiftCodes[Start],"")</f>
        <v>0.25</v>
      </c>
      <c r="J170" s="61">
        <f t="shared" si="10"/>
        <v>5</v>
      </c>
      <c r="K170" s="59" t="str">
        <f t="shared" si="11"/>
        <v>OK</v>
      </c>
      <c r="L170" s="62"/>
      <c r="M170" s="5" t="str">
        <f t="shared" si="12"/>
        <v>Sat</v>
      </c>
      <c r="N170" s="63">
        <f t="shared" si="13"/>
        <v>12</v>
      </c>
      <c r="O170" s="5" t="s">
        <v>758</v>
      </c>
      <c r="P170" s="6">
        <v>46312</v>
      </c>
      <c r="Q170" s="5" t="str">
        <f t="shared" si="14"/>
        <v>Current period</v>
      </c>
      <c r="R170" s="5" t="str">
        <f t="array" ref="R170">_xlfn.XLOOKUP(A170,TRIM(SUBSTITUTE('worker file'!$A$2:$A$406,_xlfn.UNICHAR(160)," ")),'worker file'!$D$2:$D$406,"Not found")</f>
        <v>TX</v>
      </c>
    </row>
    <row r="171" spans="1:18" ht="16" x14ac:dyDescent="0.2">
      <c r="A171" s="5" t="s">
        <v>238</v>
      </c>
      <c r="B171" s="6">
        <v>46295</v>
      </c>
      <c r="C171" s="56">
        <v>0.91666666666666696</v>
      </c>
      <c r="D171" s="56">
        <v>0.29166666666666702</v>
      </c>
      <c r="E171" s="57">
        <v>0.10347222222222199</v>
      </c>
      <c r="F171" s="58">
        <v>0.124305555555556</v>
      </c>
      <c r="G171" s="59" t="str">
        <f t="array" ref="G171">_xlfn.XLOOKUP(A171&amp;"|"&amp;B171,ShiftRoster[Employee ID]&amp;"|"&amp;ShiftRoster[Date],ShiftRoster[Shift Code],_xlfn.XLOOKUP(A171,TRIM(SUBSTITUTE('worker file'!$A$2:$A$406,_xlfn.UNICHAR(160)," ")),'worker file'!$X$2:$X$406,"?"),0,-1)</f>
        <v>NGHT</v>
      </c>
      <c r="H171" s="59" t="str">
        <f>_xlfn.XLOOKUP(G171,ShiftCodes[Code],ShiftCodes[Work Schedule],"Unknown")</f>
        <v>Shift C – Night (Sun–Thu 22:00–06:30)</v>
      </c>
      <c r="I171" s="60">
        <f>_xlfn.XLOOKUP(G171,ShiftCodes[Code],ShiftCodes[Start],"")</f>
        <v>0.91666666666666696</v>
      </c>
      <c r="J171" s="61">
        <f t="shared" si="10"/>
        <v>0</v>
      </c>
      <c r="K171" s="59" t="str">
        <f t="shared" si="11"/>
        <v>OK</v>
      </c>
      <c r="L171" s="62" t="s">
        <v>778</v>
      </c>
      <c r="M171" s="5" t="str">
        <f t="shared" si="12"/>
        <v>Wed</v>
      </c>
      <c r="N171" s="63">
        <f t="shared" si="13"/>
        <v>8.5</v>
      </c>
      <c r="O171" s="5" t="s">
        <v>774</v>
      </c>
      <c r="P171" s="6">
        <v>46309</v>
      </c>
      <c r="Q171" s="5" t="str">
        <f t="shared" si="14"/>
        <v>Prior period</v>
      </c>
      <c r="R171" s="5" t="str">
        <f t="array" ref="R171">_xlfn.XLOOKUP(A171,TRIM(SUBSTITUTE('worker file'!$A$2:$A$406,_xlfn.UNICHAR(160)," ")),'worker file'!$D$2:$D$406,"Not found")</f>
        <v>CA</v>
      </c>
    </row>
    <row r="172" spans="1:18" ht="16" x14ac:dyDescent="0.2">
      <c r="A172" s="5" t="s">
        <v>238</v>
      </c>
      <c r="B172" s="6">
        <v>46299</v>
      </c>
      <c r="C172" s="56">
        <v>0.91805555555555596</v>
      </c>
      <c r="D172" s="56">
        <v>0.27013888888888898</v>
      </c>
      <c r="E172" s="57">
        <v>8.7499999999999994E-2</v>
      </c>
      <c r="F172" s="58">
        <v>0.108333333333333</v>
      </c>
      <c r="G172" s="59" t="str">
        <f t="array" ref="G172">_xlfn.XLOOKUP(A172&amp;"|"&amp;B172,ShiftRoster[Employee ID]&amp;"|"&amp;ShiftRoster[Date],ShiftRoster[Shift Code],_xlfn.XLOOKUP(A172,TRIM(SUBSTITUTE('worker file'!$A$2:$A$406,_xlfn.UNICHAR(160)," ")),'worker file'!$X$2:$X$406,"?"),0,-1)</f>
        <v>NGHT</v>
      </c>
      <c r="H172" s="59" t="str">
        <f>_xlfn.XLOOKUP(G172,ShiftCodes[Code],ShiftCodes[Work Schedule],"Unknown")</f>
        <v>Shift C – Night (Sun–Thu 22:00–06:30)</v>
      </c>
      <c r="I172" s="60">
        <f>_xlfn.XLOOKUP(G172,ShiftCodes[Code],ShiftCodes[Start],"")</f>
        <v>0.91666666666666696</v>
      </c>
      <c r="J172" s="61">
        <f t="shared" si="10"/>
        <v>2</v>
      </c>
      <c r="K172" s="59" t="str">
        <f t="shared" si="11"/>
        <v>OK</v>
      </c>
      <c r="L172" s="62" t="s">
        <v>779</v>
      </c>
      <c r="M172" s="5" t="str">
        <f t="shared" si="12"/>
        <v>Sun</v>
      </c>
      <c r="N172" s="63">
        <f t="shared" si="13"/>
        <v>7.95</v>
      </c>
      <c r="O172" s="5" t="s">
        <v>758</v>
      </c>
      <c r="P172" s="6">
        <v>46300</v>
      </c>
      <c r="Q172" s="5" t="str">
        <f t="shared" si="14"/>
        <v>Current period</v>
      </c>
      <c r="R172" s="5" t="str">
        <f t="array" ref="R172">_xlfn.XLOOKUP(A172,TRIM(SUBSTITUTE('worker file'!$A$2:$A$406,_xlfn.UNICHAR(160)," ")),'worker file'!$D$2:$D$406,"Not found")</f>
        <v>CA</v>
      </c>
    </row>
    <row r="173" spans="1:18" ht="16" x14ac:dyDescent="0.2">
      <c r="A173" s="5" t="s">
        <v>238</v>
      </c>
      <c r="B173" s="6">
        <v>46300</v>
      </c>
      <c r="C173" s="56">
        <v>0.91527777777777797</v>
      </c>
      <c r="D173" s="56">
        <v>0.26388888888888901</v>
      </c>
      <c r="E173" s="57">
        <v>8.0555555555555602E-2</v>
      </c>
      <c r="F173" s="58">
        <v>0.101388888888889</v>
      </c>
      <c r="G173" s="59" t="str">
        <f t="array" ref="G173">_xlfn.XLOOKUP(A173&amp;"|"&amp;B173,ShiftRoster[Employee ID]&amp;"|"&amp;ShiftRoster[Date],ShiftRoster[Shift Code],_xlfn.XLOOKUP(A173,TRIM(SUBSTITUTE('worker file'!$A$2:$A$406,_xlfn.UNICHAR(160)," ")),'worker file'!$X$2:$X$406,"?"),0,-1)</f>
        <v>NGHT</v>
      </c>
      <c r="H173" s="59" t="str">
        <f>_xlfn.XLOOKUP(G173,ShiftCodes[Code],ShiftCodes[Work Schedule],"Unknown")</f>
        <v>Shift C – Night (Sun–Thu 22:00–06:30)</v>
      </c>
      <c r="I173" s="60">
        <f>_xlfn.XLOOKUP(G173,ShiftCodes[Code],ShiftCodes[Start],"")</f>
        <v>0.91666666666666696</v>
      </c>
      <c r="J173" s="61">
        <f t="shared" si="10"/>
        <v>-2</v>
      </c>
      <c r="K173" s="59" t="str">
        <f t="shared" si="11"/>
        <v>OK</v>
      </c>
      <c r="L173" s="62" t="s">
        <v>779</v>
      </c>
      <c r="M173" s="5" t="str">
        <f t="shared" si="12"/>
        <v>Mon</v>
      </c>
      <c r="N173" s="63">
        <f t="shared" si="13"/>
        <v>7.87</v>
      </c>
      <c r="O173" s="5" t="s">
        <v>758</v>
      </c>
      <c r="P173" s="6">
        <v>46301</v>
      </c>
      <c r="Q173" s="5" t="str">
        <f t="shared" si="14"/>
        <v>Current period</v>
      </c>
      <c r="R173" s="5" t="str">
        <f t="array" ref="R173">_xlfn.XLOOKUP(A173,TRIM(SUBSTITUTE('worker file'!$A$2:$A$406,_xlfn.UNICHAR(160)," ")),'worker file'!$D$2:$D$406,"Not found")</f>
        <v>CA</v>
      </c>
    </row>
    <row r="174" spans="1:18" ht="16" x14ac:dyDescent="0.2">
      <c r="A174" s="5" t="s">
        <v>238</v>
      </c>
      <c r="B174" s="6">
        <v>46301</v>
      </c>
      <c r="C174" s="56">
        <v>0.91527777777777797</v>
      </c>
      <c r="D174" s="56">
        <v>0.26388888888888901</v>
      </c>
      <c r="E174" s="57">
        <v>9.7916666666666693E-2</v>
      </c>
      <c r="F174" s="58">
        <v>0.11874999999999999</v>
      </c>
      <c r="G174" s="59" t="str">
        <f t="array" ref="G174">_xlfn.XLOOKUP(A174&amp;"|"&amp;B174,ShiftRoster[Employee ID]&amp;"|"&amp;ShiftRoster[Date],ShiftRoster[Shift Code],_xlfn.XLOOKUP(A174,TRIM(SUBSTITUTE('worker file'!$A$2:$A$406,_xlfn.UNICHAR(160)," ")),'worker file'!$X$2:$X$406,"?"),0,-1)</f>
        <v>NGHT</v>
      </c>
      <c r="H174" s="59" t="str">
        <f>_xlfn.XLOOKUP(G174,ShiftCodes[Code],ShiftCodes[Work Schedule],"Unknown")</f>
        <v>Shift C – Night (Sun–Thu 22:00–06:30)</v>
      </c>
      <c r="I174" s="60">
        <f>_xlfn.XLOOKUP(G174,ShiftCodes[Code],ShiftCodes[Start],"")</f>
        <v>0.91666666666666696</v>
      </c>
      <c r="J174" s="61">
        <f t="shared" si="10"/>
        <v>-2</v>
      </c>
      <c r="K174" s="59" t="str">
        <f t="shared" si="11"/>
        <v>OK</v>
      </c>
      <c r="L174" s="62" t="s">
        <v>779</v>
      </c>
      <c r="M174" s="5" t="str">
        <f t="shared" si="12"/>
        <v>Tue</v>
      </c>
      <c r="N174" s="63">
        <f t="shared" si="13"/>
        <v>7.87</v>
      </c>
      <c r="O174" s="5" t="s">
        <v>758</v>
      </c>
      <c r="P174" s="6">
        <v>46302</v>
      </c>
      <c r="Q174" s="5" t="str">
        <f t="shared" si="14"/>
        <v>Current period</v>
      </c>
      <c r="R174" s="5" t="str">
        <f t="array" ref="R174">_xlfn.XLOOKUP(A174,TRIM(SUBSTITUTE('worker file'!$A$2:$A$406,_xlfn.UNICHAR(160)," ")),'worker file'!$D$2:$D$406,"Not found")</f>
        <v>CA</v>
      </c>
    </row>
    <row r="175" spans="1:18" ht="16" x14ac:dyDescent="0.2">
      <c r="A175" s="5" t="s">
        <v>238</v>
      </c>
      <c r="B175" s="6">
        <v>46302</v>
      </c>
      <c r="C175" s="56">
        <v>0.91527777777777797</v>
      </c>
      <c r="D175" s="56">
        <v>0.265972222222222</v>
      </c>
      <c r="E175" s="57">
        <v>6.8750000000000006E-2</v>
      </c>
      <c r="F175" s="58">
        <v>8.9583333333333307E-2</v>
      </c>
      <c r="G175" s="59" t="str">
        <f t="array" ref="G175">_xlfn.XLOOKUP(A175&amp;"|"&amp;B175,ShiftRoster[Employee ID]&amp;"|"&amp;ShiftRoster[Date],ShiftRoster[Shift Code],_xlfn.XLOOKUP(A175,TRIM(SUBSTITUTE('worker file'!$A$2:$A$406,_xlfn.UNICHAR(160)," ")),'worker file'!$X$2:$X$406,"?"),0,-1)</f>
        <v>NGHT</v>
      </c>
      <c r="H175" s="59" t="str">
        <f>_xlfn.XLOOKUP(G175,ShiftCodes[Code],ShiftCodes[Work Schedule],"Unknown")</f>
        <v>Shift C – Night (Sun–Thu 22:00–06:30)</v>
      </c>
      <c r="I175" s="60">
        <f>_xlfn.XLOOKUP(G175,ShiftCodes[Code],ShiftCodes[Start],"")</f>
        <v>0.91666666666666696</v>
      </c>
      <c r="J175" s="61">
        <f t="shared" si="10"/>
        <v>-2</v>
      </c>
      <c r="K175" s="59" t="str">
        <f t="shared" si="11"/>
        <v>OK</v>
      </c>
      <c r="L175" s="62" t="s">
        <v>779</v>
      </c>
      <c r="M175" s="5" t="str">
        <f t="shared" si="12"/>
        <v>Wed</v>
      </c>
      <c r="N175" s="63">
        <f t="shared" si="13"/>
        <v>7.92</v>
      </c>
      <c r="O175" s="5" t="s">
        <v>758</v>
      </c>
      <c r="P175" s="6">
        <v>46303</v>
      </c>
      <c r="Q175" s="5" t="str">
        <f t="shared" si="14"/>
        <v>Current period</v>
      </c>
      <c r="R175" s="5" t="str">
        <f t="array" ref="R175">_xlfn.XLOOKUP(A175,TRIM(SUBSTITUTE('worker file'!$A$2:$A$406,_xlfn.UNICHAR(160)," ")),'worker file'!$D$2:$D$406,"Not found")</f>
        <v>CA</v>
      </c>
    </row>
    <row r="176" spans="1:18" ht="16" x14ac:dyDescent="0.2">
      <c r="A176" s="5" t="s">
        <v>238</v>
      </c>
      <c r="B176" s="6">
        <v>46303</v>
      </c>
      <c r="C176" s="56">
        <v>0.91527777777777797</v>
      </c>
      <c r="D176" s="56">
        <v>0.266666666666667</v>
      </c>
      <c r="E176" s="57">
        <v>9.7916666666666693E-2</v>
      </c>
      <c r="F176" s="58">
        <v>0.11874999999999999</v>
      </c>
      <c r="G176" s="59" t="str">
        <f t="array" ref="G176">_xlfn.XLOOKUP(A176&amp;"|"&amp;B176,ShiftRoster[Employee ID]&amp;"|"&amp;ShiftRoster[Date],ShiftRoster[Shift Code],_xlfn.XLOOKUP(A176,TRIM(SUBSTITUTE('worker file'!$A$2:$A$406,_xlfn.UNICHAR(160)," ")),'worker file'!$X$2:$X$406,"?"),0,-1)</f>
        <v>NGHT</v>
      </c>
      <c r="H176" s="59" t="str">
        <f>_xlfn.XLOOKUP(G176,ShiftCodes[Code],ShiftCodes[Work Schedule],"Unknown")</f>
        <v>Shift C – Night (Sun–Thu 22:00–06:30)</v>
      </c>
      <c r="I176" s="60">
        <f>_xlfn.XLOOKUP(G176,ShiftCodes[Code],ShiftCodes[Start],"")</f>
        <v>0.91666666666666696</v>
      </c>
      <c r="J176" s="61">
        <f t="shared" si="10"/>
        <v>-2</v>
      </c>
      <c r="K176" s="59" t="str">
        <f t="shared" si="11"/>
        <v>OK</v>
      </c>
      <c r="L176" s="62" t="s">
        <v>779</v>
      </c>
      <c r="M176" s="5" t="str">
        <f t="shared" si="12"/>
        <v>Thu</v>
      </c>
      <c r="N176" s="63">
        <f t="shared" si="13"/>
        <v>7.93</v>
      </c>
      <c r="O176" s="5" t="s">
        <v>758</v>
      </c>
      <c r="P176" s="6">
        <v>46304</v>
      </c>
      <c r="Q176" s="5" t="str">
        <f t="shared" si="14"/>
        <v>Current period</v>
      </c>
      <c r="R176" s="5" t="str">
        <f t="array" ref="R176">_xlfn.XLOOKUP(A176,TRIM(SUBSTITUTE('worker file'!$A$2:$A$406,_xlfn.UNICHAR(160)," ")),'worker file'!$D$2:$D$406,"Not found")</f>
        <v>CA</v>
      </c>
    </row>
    <row r="177" spans="1:18" ht="16" x14ac:dyDescent="0.2">
      <c r="A177" s="5" t="s">
        <v>238</v>
      </c>
      <c r="B177" s="6">
        <v>46306</v>
      </c>
      <c r="C177" s="56">
        <v>0.91805555555555596</v>
      </c>
      <c r="D177" s="56">
        <v>0.27152777777777798</v>
      </c>
      <c r="E177" s="57">
        <v>8.8888888888888906E-2</v>
      </c>
      <c r="F177" s="58">
        <v>0.109722222222222</v>
      </c>
      <c r="G177" s="59" t="str">
        <f t="array" ref="G177">_xlfn.XLOOKUP(A177&amp;"|"&amp;B177,ShiftRoster[Employee ID]&amp;"|"&amp;ShiftRoster[Date],ShiftRoster[Shift Code],_xlfn.XLOOKUP(A177,TRIM(SUBSTITUTE('worker file'!$A$2:$A$406,_xlfn.UNICHAR(160)," ")),'worker file'!$X$2:$X$406,"?"),0,-1)</f>
        <v>NGHT</v>
      </c>
      <c r="H177" s="59" t="str">
        <f>_xlfn.XLOOKUP(G177,ShiftCodes[Code],ShiftCodes[Work Schedule],"Unknown")</f>
        <v>Shift C – Night (Sun–Thu 22:00–06:30)</v>
      </c>
      <c r="I177" s="60">
        <f>_xlfn.XLOOKUP(G177,ShiftCodes[Code],ShiftCodes[Start],"")</f>
        <v>0.91666666666666696</v>
      </c>
      <c r="J177" s="61">
        <f t="shared" si="10"/>
        <v>2</v>
      </c>
      <c r="K177" s="59" t="str">
        <f t="shared" si="11"/>
        <v>OK</v>
      </c>
      <c r="L177" s="62" t="s">
        <v>779</v>
      </c>
      <c r="M177" s="5" t="str">
        <f t="shared" si="12"/>
        <v>Sun</v>
      </c>
      <c r="N177" s="63">
        <f t="shared" si="13"/>
        <v>7.98</v>
      </c>
      <c r="O177" s="5" t="s">
        <v>758</v>
      </c>
      <c r="P177" s="6">
        <v>46307</v>
      </c>
      <c r="Q177" s="5" t="str">
        <f t="shared" si="14"/>
        <v>Current period</v>
      </c>
      <c r="R177" s="5" t="str">
        <f t="array" ref="R177">_xlfn.XLOOKUP(A177,TRIM(SUBSTITUTE('worker file'!$A$2:$A$406,_xlfn.UNICHAR(160)," ")),'worker file'!$D$2:$D$406,"Not found")</f>
        <v>CA</v>
      </c>
    </row>
    <row r="178" spans="1:18" ht="16" x14ac:dyDescent="0.2">
      <c r="A178" s="5" t="s">
        <v>238</v>
      </c>
      <c r="B178" s="6">
        <v>46307</v>
      </c>
      <c r="C178" s="56">
        <v>0.91458333333333297</v>
      </c>
      <c r="D178" s="56">
        <v>0.26805555555555599</v>
      </c>
      <c r="E178" s="57">
        <v>9.7222222222222196E-2</v>
      </c>
      <c r="F178" s="58">
        <v>0.118055555555556</v>
      </c>
      <c r="G178" s="59" t="str">
        <f t="array" ref="G178">_xlfn.XLOOKUP(A178&amp;"|"&amp;B178,ShiftRoster[Employee ID]&amp;"|"&amp;ShiftRoster[Date],ShiftRoster[Shift Code],_xlfn.XLOOKUP(A178,TRIM(SUBSTITUTE('worker file'!$A$2:$A$406,_xlfn.UNICHAR(160)," ")),'worker file'!$X$2:$X$406,"?"),0,-1)</f>
        <v>NGHT</v>
      </c>
      <c r="H178" s="59" t="str">
        <f>_xlfn.XLOOKUP(G178,ShiftCodes[Code],ShiftCodes[Work Schedule],"Unknown")</f>
        <v>Shift C – Night (Sun–Thu 22:00–06:30)</v>
      </c>
      <c r="I178" s="60">
        <f>_xlfn.XLOOKUP(G178,ShiftCodes[Code],ShiftCodes[Start],"")</f>
        <v>0.91666666666666696</v>
      </c>
      <c r="J178" s="61">
        <f t="shared" si="10"/>
        <v>-3</v>
      </c>
      <c r="K178" s="59" t="str">
        <f t="shared" si="11"/>
        <v>OK</v>
      </c>
      <c r="L178" s="62" t="s">
        <v>779</v>
      </c>
      <c r="M178" s="5" t="str">
        <f t="shared" si="12"/>
        <v>Mon</v>
      </c>
      <c r="N178" s="63">
        <f t="shared" si="13"/>
        <v>7.98</v>
      </c>
      <c r="O178" s="5" t="s">
        <v>758</v>
      </c>
      <c r="P178" s="6">
        <v>46308</v>
      </c>
      <c r="Q178" s="5" t="str">
        <f t="shared" si="14"/>
        <v>Current period</v>
      </c>
      <c r="R178" s="5" t="str">
        <f t="array" ref="R178">_xlfn.XLOOKUP(A178,TRIM(SUBSTITUTE('worker file'!$A$2:$A$406,_xlfn.UNICHAR(160)," ")),'worker file'!$D$2:$D$406,"Not found")</f>
        <v>CA</v>
      </c>
    </row>
    <row r="179" spans="1:18" ht="16" x14ac:dyDescent="0.2">
      <c r="A179" s="5" t="s">
        <v>238</v>
      </c>
      <c r="B179" s="6">
        <v>46308</v>
      </c>
      <c r="C179" s="56">
        <v>0.91874999999999996</v>
      </c>
      <c r="D179" s="56">
        <v>0.27152777777777798</v>
      </c>
      <c r="E179" s="57">
        <v>9.44444444444444E-2</v>
      </c>
      <c r="F179" s="58">
        <v>0.11527777777777801</v>
      </c>
      <c r="G179" s="59" t="str">
        <f t="array" ref="G179">_xlfn.XLOOKUP(A179&amp;"|"&amp;B179,ShiftRoster[Employee ID]&amp;"|"&amp;ShiftRoster[Date],ShiftRoster[Shift Code],_xlfn.XLOOKUP(A179,TRIM(SUBSTITUTE('worker file'!$A$2:$A$406,_xlfn.UNICHAR(160)," ")),'worker file'!$X$2:$X$406,"?"),0,-1)</f>
        <v>NGHT</v>
      </c>
      <c r="H179" s="59" t="str">
        <f>_xlfn.XLOOKUP(G179,ShiftCodes[Code],ShiftCodes[Work Schedule],"Unknown")</f>
        <v>Shift C – Night (Sun–Thu 22:00–06:30)</v>
      </c>
      <c r="I179" s="60">
        <f>_xlfn.XLOOKUP(G179,ShiftCodes[Code],ShiftCodes[Start],"")</f>
        <v>0.91666666666666696</v>
      </c>
      <c r="J179" s="61">
        <f t="shared" si="10"/>
        <v>3</v>
      </c>
      <c r="K179" s="59" t="str">
        <f t="shared" si="11"/>
        <v>OK</v>
      </c>
      <c r="L179" s="62" t="s">
        <v>779</v>
      </c>
      <c r="M179" s="5" t="str">
        <f t="shared" si="12"/>
        <v>Tue</v>
      </c>
      <c r="N179" s="63">
        <f t="shared" si="13"/>
        <v>7.97</v>
      </c>
      <c r="O179" s="5" t="s">
        <v>758</v>
      </c>
      <c r="P179" s="6">
        <v>46309</v>
      </c>
      <c r="Q179" s="5" t="str">
        <f t="shared" si="14"/>
        <v>Current period</v>
      </c>
      <c r="R179" s="5" t="str">
        <f t="array" ref="R179">_xlfn.XLOOKUP(A179,TRIM(SUBSTITUTE('worker file'!$A$2:$A$406,_xlfn.UNICHAR(160)," ")),'worker file'!$D$2:$D$406,"Not found")</f>
        <v>CA</v>
      </c>
    </row>
    <row r="180" spans="1:18" ht="16" x14ac:dyDescent="0.2">
      <c r="A180" s="5" t="s">
        <v>238</v>
      </c>
      <c r="B180" s="6">
        <v>46309</v>
      </c>
      <c r="C180" s="56">
        <v>0.91319444444444398</v>
      </c>
      <c r="D180" s="56">
        <v>0.266666666666667</v>
      </c>
      <c r="E180" s="57">
        <v>8.1250000000000003E-2</v>
      </c>
      <c r="F180" s="58">
        <v>0.102083333333333</v>
      </c>
      <c r="G180" s="59" t="str">
        <f t="array" ref="G180">_xlfn.XLOOKUP(A180&amp;"|"&amp;B180,ShiftRoster[Employee ID]&amp;"|"&amp;ShiftRoster[Date],ShiftRoster[Shift Code],_xlfn.XLOOKUP(A180,TRIM(SUBSTITUTE('worker file'!$A$2:$A$406,_xlfn.UNICHAR(160)," ")),'worker file'!$X$2:$X$406,"?"),0,-1)</f>
        <v>NGHT</v>
      </c>
      <c r="H180" s="59" t="str">
        <f>_xlfn.XLOOKUP(G180,ShiftCodes[Code],ShiftCodes[Work Schedule],"Unknown")</f>
        <v>Shift C – Night (Sun–Thu 22:00–06:30)</v>
      </c>
      <c r="I180" s="60">
        <f>_xlfn.XLOOKUP(G180,ShiftCodes[Code],ShiftCodes[Start],"")</f>
        <v>0.91666666666666696</v>
      </c>
      <c r="J180" s="61">
        <f t="shared" si="10"/>
        <v>-5</v>
      </c>
      <c r="K180" s="59" t="str">
        <f t="shared" si="11"/>
        <v>OK</v>
      </c>
      <c r="L180" s="62" t="s">
        <v>779</v>
      </c>
      <c r="M180" s="5" t="str">
        <f t="shared" si="12"/>
        <v>Wed</v>
      </c>
      <c r="N180" s="63">
        <f t="shared" si="13"/>
        <v>7.98</v>
      </c>
      <c r="O180" s="5" t="s">
        <v>758</v>
      </c>
      <c r="P180" s="6">
        <v>46310</v>
      </c>
      <c r="Q180" s="5" t="str">
        <f t="shared" si="14"/>
        <v>Current period</v>
      </c>
      <c r="R180" s="5" t="str">
        <f t="array" ref="R180">_xlfn.XLOOKUP(A180,TRIM(SUBSTITUTE('worker file'!$A$2:$A$406,_xlfn.UNICHAR(160)," ")),'worker file'!$D$2:$D$406,"Not found")</f>
        <v>CA</v>
      </c>
    </row>
    <row r="181" spans="1:18" ht="16" x14ac:dyDescent="0.2">
      <c r="A181" s="5" t="s">
        <v>238</v>
      </c>
      <c r="B181" s="6">
        <v>46310</v>
      </c>
      <c r="C181" s="56">
        <v>0.91805555555555596</v>
      </c>
      <c r="D181" s="56">
        <v>0.26736111111111099</v>
      </c>
      <c r="E181" s="57">
        <v>0.101388888888889</v>
      </c>
      <c r="F181" s="58">
        <v>0.122222222222222</v>
      </c>
      <c r="G181" s="59" t="str">
        <f t="array" ref="G181">_xlfn.XLOOKUP(A181&amp;"|"&amp;B181,ShiftRoster[Employee ID]&amp;"|"&amp;ShiftRoster[Date],ShiftRoster[Shift Code],_xlfn.XLOOKUP(A181,TRIM(SUBSTITUTE('worker file'!$A$2:$A$406,_xlfn.UNICHAR(160)," ")),'worker file'!$X$2:$X$406,"?"),0,-1)</f>
        <v>NGHT</v>
      </c>
      <c r="H181" s="59" t="str">
        <f>_xlfn.XLOOKUP(G181,ShiftCodes[Code],ShiftCodes[Work Schedule],"Unknown")</f>
        <v>Shift C – Night (Sun–Thu 22:00–06:30)</v>
      </c>
      <c r="I181" s="60">
        <f>_xlfn.XLOOKUP(G181,ShiftCodes[Code],ShiftCodes[Start],"")</f>
        <v>0.91666666666666696</v>
      </c>
      <c r="J181" s="61">
        <f t="shared" si="10"/>
        <v>2</v>
      </c>
      <c r="K181" s="59" t="str">
        <f t="shared" si="11"/>
        <v>OK</v>
      </c>
      <c r="L181" s="62" t="s">
        <v>779</v>
      </c>
      <c r="M181" s="5" t="str">
        <f t="shared" si="12"/>
        <v>Thu</v>
      </c>
      <c r="N181" s="63">
        <f t="shared" si="13"/>
        <v>7.88</v>
      </c>
      <c r="O181" s="5" t="s">
        <v>758</v>
      </c>
      <c r="P181" s="6">
        <v>46311</v>
      </c>
      <c r="Q181" s="5" t="str">
        <f t="shared" si="14"/>
        <v>Current period</v>
      </c>
      <c r="R181" s="5" t="str">
        <f t="array" ref="R181">_xlfn.XLOOKUP(A181,TRIM(SUBSTITUTE('worker file'!$A$2:$A$406,_xlfn.UNICHAR(160)," ")),'worker file'!$D$2:$D$406,"Not found")</f>
        <v>CA</v>
      </c>
    </row>
    <row r="182" spans="1:18" ht="16" x14ac:dyDescent="0.2">
      <c r="A182" s="5" t="s">
        <v>240</v>
      </c>
      <c r="B182" s="6">
        <v>46300</v>
      </c>
      <c r="C182" s="56">
        <v>0.25208333333333299</v>
      </c>
      <c r="D182" s="56">
        <v>0.60277777777777797</v>
      </c>
      <c r="E182" s="57">
        <v>0.42499999999999999</v>
      </c>
      <c r="F182" s="58">
        <v>0.44583333333333303</v>
      </c>
      <c r="G182" s="59" t="str">
        <f t="array" ref="G182">_xlfn.XLOOKUP(A182&amp;"|"&amp;B182,ShiftRoster[Employee ID]&amp;"|"&amp;ShiftRoster[Date],ShiftRoster[Shift Code],_xlfn.XLOOKUP(A182,TRIM(SUBSTITUTE('worker file'!$A$2:$A$406,_xlfn.UNICHAR(160)," ")),'worker file'!$X$2:$X$406,"?"),0,-1)</f>
        <v>DAY</v>
      </c>
      <c r="H182" s="59" t="str">
        <f>_xlfn.XLOOKUP(G182,ShiftCodes[Code],ShiftCodes[Work Schedule],"Unknown")</f>
        <v>Shift A – Day (Mon–Fri 06:00–14:30)</v>
      </c>
      <c r="I182" s="60">
        <f>_xlfn.XLOOKUP(G182,ShiftCodes[Code],ShiftCodes[Start],"")</f>
        <v>0.25</v>
      </c>
      <c r="J182" s="61">
        <f t="shared" si="10"/>
        <v>3</v>
      </c>
      <c r="K182" s="59" t="str">
        <f t="shared" si="11"/>
        <v>OK</v>
      </c>
      <c r="L182" s="62"/>
      <c r="M182" s="5" t="str">
        <f t="shared" si="12"/>
        <v>Mon</v>
      </c>
      <c r="N182" s="63">
        <f t="shared" si="13"/>
        <v>7.92</v>
      </c>
      <c r="O182" s="5" t="s">
        <v>758</v>
      </c>
      <c r="P182" s="6">
        <v>46300</v>
      </c>
      <c r="Q182" s="5" t="str">
        <f t="shared" si="14"/>
        <v>Current period</v>
      </c>
      <c r="R182" s="5" t="str">
        <f t="array" ref="R182">_xlfn.XLOOKUP(A182,TRIM(SUBSTITUTE('worker file'!$A$2:$A$406,_xlfn.UNICHAR(160)," ")),'worker file'!$D$2:$D$406,"Not found")</f>
        <v>TX</v>
      </c>
    </row>
    <row r="183" spans="1:18" ht="16" x14ac:dyDescent="0.2">
      <c r="A183" s="5" t="s">
        <v>240</v>
      </c>
      <c r="B183" s="6">
        <v>46301</v>
      </c>
      <c r="C183" s="56">
        <v>0.24722222222222201</v>
      </c>
      <c r="D183" s="56">
        <v>0.59722222222222199</v>
      </c>
      <c r="E183" s="57">
        <v>0.41666666666666702</v>
      </c>
      <c r="F183" s="58">
        <v>0.4375</v>
      </c>
      <c r="G183" s="59" t="str">
        <f t="array" ref="G183">_xlfn.XLOOKUP(A183&amp;"|"&amp;B183,ShiftRoster[Employee ID]&amp;"|"&amp;ShiftRoster[Date],ShiftRoster[Shift Code],_xlfn.XLOOKUP(A183,TRIM(SUBSTITUTE('worker file'!$A$2:$A$406,_xlfn.UNICHAR(160)," ")),'worker file'!$X$2:$X$406,"?"),0,-1)</f>
        <v>DAY</v>
      </c>
      <c r="H183" s="59" t="str">
        <f>_xlfn.XLOOKUP(G183,ShiftCodes[Code],ShiftCodes[Work Schedule],"Unknown")</f>
        <v>Shift A – Day (Mon–Fri 06:00–14:30)</v>
      </c>
      <c r="I183" s="60">
        <f>_xlfn.XLOOKUP(G183,ShiftCodes[Code],ShiftCodes[Start],"")</f>
        <v>0.25</v>
      </c>
      <c r="J183" s="61">
        <f t="shared" si="10"/>
        <v>-4</v>
      </c>
      <c r="K183" s="59" t="str">
        <f t="shared" si="11"/>
        <v>OK</v>
      </c>
      <c r="L183" s="62"/>
      <c r="M183" s="5" t="str">
        <f t="shared" si="12"/>
        <v>Tue</v>
      </c>
      <c r="N183" s="63">
        <f t="shared" si="13"/>
        <v>7.9</v>
      </c>
      <c r="O183" s="5" t="s">
        <v>758</v>
      </c>
      <c r="P183" s="6">
        <v>46301</v>
      </c>
      <c r="Q183" s="5" t="str">
        <f t="shared" si="14"/>
        <v>Current period</v>
      </c>
      <c r="R183" s="5" t="str">
        <f t="array" ref="R183">_xlfn.XLOOKUP(A183,TRIM(SUBSTITUTE('worker file'!$A$2:$A$406,_xlfn.UNICHAR(160)," ")),'worker file'!$D$2:$D$406,"Not found")</f>
        <v>TX</v>
      </c>
    </row>
    <row r="184" spans="1:18" ht="16" x14ac:dyDescent="0.2">
      <c r="A184" s="5" t="s">
        <v>240</v>
      </c>
      <c r="B184" s="6">
        <v>46302</v>
      </c>
      <c r="C184" s="56">
        <v>0.24722222222222201</v>
      </c>
      <c r="D184" s="56">
        <v>0.59791666666666698</v>
      </c>
      <c r="E184" s="57">
        <v>0.41527777777777802</v>
      </c>
      <c r="F184" s="58">
        <v>0.43611111111111101</v>
      </c>
      <c r="G184" s="59" t="str">
        <f t="array" ref="G184">_xlfn.XLOOKUP(A184&amp;"|"&amp;B184,ShiftRoster[Employee ID]&amp;"|"&amp;ShiftRoster[Date],ShiftRoster[Shift Code],_xlfn.XLOOKUP(A184,TRIM(SUBSTITUTE('worker file'!$A$2:$A$406,_xlfn.UNICHAR(160)," ")),'worker file'!$X$2:$X$406,"?"),0,-1)</f>
        <v>DAY</v>
      </c>
      <c r="H184" s="59" t="str">
        <f>_xlfn.XLOOKUP(G184,ShiftCodes[Code],ShiftCodes[Work Schedule],"Unknown")</f>
        <v>Shift A – Day (Mon–Fri 06:00–14:30)</v>
      </c>
      <c r="I184" s="60">
        <f>_xlfn.XLOOKUP(G184,ShiftCodes[Code],ShiftCodes[Start],"")</f>
        <v>0.25</v>
      </c>
      <c r="J184" s="61">
        <f t="shared" si="10"/>
        <v>-4</v>
      </c>
      <c r="K184" s="59" t="str">
        <f t="shared" si="11"/>
        <v>OK</v>
      </c>
      <c r="L184" s="62"/>
      <c r="M184" s="5" t="str">
        <f t="shared" si="12"/>
        <v>Wed</v>
      </c>
      <c r="N184" s="63">
        <f t="shared" si="13"/>
        <v>7.92</v>
      </c>
      <c r="O184" s="5" t="s">
        <v>758</v>
      </c>
      <c r="P184" s="6">
        <v>46302</v>
      </c>
      <c r="Q184" s="5" t="str">
        <f t="shared" si="14"/>
        <v>Current period</v>
      </c>
      <c r="R184" s="5" t="str">
        <f t="array" ref="R184">_xlfn.XLOOKUP(A184,TRIM(SUBSTITUTE('worker file'!$A$2:$A$406,_xlfn.UNICHAR(160)," ")),'worker file'!$D$2:$D$406,"Not found")</f>
        <v>TX</v>
      </c>
    </row>
    <row r="185" spans="1:18" ht="16" x14ac:dyDescent="0.2">
      <c r="A185" s="5" t="s">
        <v>240</v>
      </c>
      <c r="B185" s="6">
        <v>46303</v>
      </c>
      <c r="C185" s="56">
        <v>0.24652777777777801</v>
      </c>
      <c r="D185" s="56">
        <v>0.59513888888888899</v>
      </c>
      <c r="E185" s="57">
        <v>0.39305555555555599</v>
      </c>
      <c r="F185" s="58">
        <v>0.41388888888888897</v>
      </c>
      <c r="G185" s="59" t="str">
        <f t="array" ref="G185">_xlfn.XLOOKUP(A185&amp;"|"&amp;B185,ShiftRoster[Employee ID]&amp;"|"&amp;ShiftRoster[Date],ShiftRoster[Shift Code],_xlfn.XLOOKUP(A185,TRIM(SUBSTITUTE('worker file'!$A$2:$A$406,_xlfn.UNICHAR(160)," ")),'worker file'!$X$2:$X$406,"?"),0,-1)</f>
        <v>DAY</v>
      </c>
      <c r="H185" s="59" t="str">
        <f>_xlfn.XLOOKUP(G185,ShiftCodes[Code],ShiftCodes[Work Schedule],"Unknown")</f>
        <v>Shift A – Day (Mon–Fri 06:00–14:30)</v>
      </c>
      <c r="I185" s="60">
        <f>_xlfn.XLOOKUP(G185,ShiftCodes[Code],ShiftCodes[Start],"")</f>
        <v>0.25</v>
      </c>
      <c r="J185" s="61">
        <f t="shared" si="10"/>
        <v>-5</v>
      </c>
      <c r="K185" s="59" t="str">
        <f t="shared" si="11"/>
        <v>OK</v>
      </c>
      <c r="L185" s="62"/>
      <c r="M185" s="5" t="str">
        <f t="shared" si="12"/>
        <v>Thu</v>
      </c>
      <c r="N185" s="63">
        <f t="shared" si="13"/>
        <v>7.87</v>
      </c>
      <c r="O185" s="5" t="s">
        <v>758</v>
      </c>
      <c r="P185" s="6">
        <v>46303</v>
      </c>
      <c r="Q185" s="5" t="str">
        <f t="shared" si="14"/>
        <v>Current period</v>
      </c>
      <c r="R185" s="5" t="str">
        <f t="array" ref="R185">_xlfn.XLOOKUP(A185,TRIM(SUBSTITUTE('worker file'!$A$2:$A$406,_xlfn.UNICHAR(160)," ")),'worker file'!$D$2:$D$406,"Not found")</f>
        <v>TX</v>
      </c>
    </row>
    <row r="186" spans="1:18" ht="16" x14ac:dyDescent="0.2">
      <c r="A186" s="5" t="s">
        <v>240</v>
      </c>
      <c r="B186" s="6">
        <v>46304</v>
      </c>
      <c r="C186" s="56">
        <v>0.24791666666666701</v>
      </c>
      <c r="D186" s="56">
        <v>0.59791666666666698</v>
      </c>
      <c r="E186" s="57">
        <v>0.41944444444444401</v>
      </c>
      <c r="F186" s="58">
        <v>0.44027777777777799</v>
      </c>
      <c r="G186" s="59" t="str">
        <f t="array" ref="G186">_xlfn.XLOOKUP(A186&amp;"|"&amp;B186,ShiftRoster[Employee ID]&amp;"|"&amp;ShiftRoster[Date],ShiftRoster[Shift Code],_xlfn.XLOOKUP(A186,TRIM(SUBSTITUTE('worker file'!$A$2:$A$406,_xlfn.UNICHAR(160)," ")),'worker file'!$X$2:$X$406,"?"),0,-1)</f>
        <v>DAY</v>
      </c>
      <c r="H186" s="59" t="str">
        <f>_xlfn.XLOOKUP(G186,ShiftCodes[Code],ShiftCodes[Work Schedule],"Unknown")</f>
        <v>Shift A – Day (Mon–Fri 06:00–14:30)</v>
      </c>
      <c r="I186" s="60">
        <f>_xlfn.XLOOKUP(G186,ShiftCodes[Code],ShiftCodes[Start],"")</f>
        <v>0.25</v>
      </c>
      <c r="J186" s="61">
        <f t="shared" si="10"/>
        <v>-3</v>
      </c>
      <c r="K186" s="59" t="str">
        <f t="shared" si="11"/>
        <v>OK</v>
      </c>
      <c r="L186" s="62"/>
      <c r="M186" s="5" t="str">
        <f t="shared" si="12"/>
        <v>Fri</v>
      </c>
      <c r="N186" s="63">
        <f t="shared" si="13"/>
        <v>7.9</v>
      </c>
      <c r="O186" s="5" t="s">
        <v>758</v>
      </c>
      <c r="P186" s="6">
        <v>46304</v>
      </c>
      <c r="Q186" s="5" t="str">
        <f t="shared" si="14"/>
        <v>Current period</v>
      </c>
      <c r="R186" s="5" t="str">
        <f t="array" ref="R186">_xlfn.XLOOKUP(A186,TRIM(SUBSTITUTE('worker file'!$A$2:$A$406,_xlfn.UNICHAR(160)," ")),'worker file'!$D$2:$D$406,"Not found")</f>
        <v>TX</v>
      </c>
    </row>
    <row r="187" spans="1:18" ht="16" x14ac:dyDescent="0.2">
      <c r="A187" s="5" t="s">
        <v>240</v>
      </c>
      <c r="B187" s="6">
        <v>46307</v>
      </c>
      <c r="C187" s="56">
        <v>0.24861111111111101</v>
      </c>
      <c r="D187" s="56">
        <v>0.59861111111111098</v>
      </c>
      <c r="E187" s="57">
        <v>0.42638888888888898</v>
      </c>
      <c r="F187" s="58">
        <v>0.44722222222222202</v>
      </c>
      <c r="G187" s="59" t="str">
        <f t="array" ref="G187">_xlfn.XLOOKUP(A187&amp;"|"&amp;B187,ShiftRoster[Employee ID]&amp;"|"&amp;ShiftRoster[Date],ShiftRoster[Shift Code],_xlfn.XLOOKUP(A187,TRIM(SUBSTITUTE('worker file'!$A$2:$A$406,_xlfn.UNICHAR(160)," ")),'worker file'!$X$2:$X$406,"?"),0,-1)</f>
        <v>DAY</v>
      </c>
      <c r="H187" s="59" t="str">
        <f>_xlfn.XLOOKUP(G187,ShiftCodes[Code],ShiftCodes[Work Schedule],"Unknown")</f>
        <v>Shift A – Day (Mon–Fri 06:00–14:30)</v>
      </c>
      <c r="I187" s="60">
        <f>_xlfn.XLOOKUP(G187,ShiftCodes[Code],ShiftCodes[Start],"")</f>
        <v>0.25</v>
      </c>
      <c r="J187" s="61">
        <f t="shared" si="10"/>
        <v>-2</v>
      </c>
      <c r="K187" s="59" t="str">
        <f t="shared" si="11"/>
        <v>OK</v>
      </c>
      <c r="L187" s="62"/>
      <c r="M187" s="5" t="str">
        <f t="shared" si="12"/>
        <v>Mon</v>
      </c>
      <c r="N187" s="63">
        <f t="shared" si="13"/>
        <v>7.9</v>
      </c>
      <c r="O187" s="5" t="s">
        <v>758</v>
      </c>
      <c r="P187" s="6">
        <v>46307</v>
      </c>
      <c r="Q187" s="5" t="str">
        <f t="shared" si="14"/>
        <v>Current period</v>
      </c>
      <c r="R187" s="5" t="str">
        <f t="array" ref="R187">_xlfn.XLOOKUP(A187,TRIM(SUBSTITUTE('worker file'!$A$2:$A$406,_xlfn.UNICHAR(160)," ")),'worker file'!$D$2:$D$406,"Not found")</f>
        <v>TX</v>
      </c>
    </row>
    <row r="188" spans="1:18" ht="16" x14ac:dyDescent="0.2">
      <c r="A188" s="5" t="s">
        <v>240</v>
      </c>
      <c r="B188" s="6">
        <v>46308</v>
      </c>
      <c r="C188" s="56">
        <v>0.249305555555556</v>
      </c>
      <c r="D188" s="56">
        <v>0.59791666666666698</v>
      </c>
      <c r="E188" s="57">
        <v>0.40208333333333302</v>
      </c>
      <c r="F188" s="58">
        <v>0.422916666666667</v>
      </c>
      <c r="G188" s="59" t="str">
        <f t="array" ref="G188">_xlfn.XLOOKUP(A188&amp;"|"&amp;B188,ShiftRoster[Employee ID]&amp;"|"&amp;ShiftRoster[Date],ShiftRoster[Shift Code],_xlfn.XLOOKUP(A188,TRIM(SUBSTITUTE('worker file'!$A$2:$A$406,_xlfn.UNICHAR(160)," ")),'worker file'!$X$2:$X$406,"?"),0,-1)</f>
        <v>DAY</v>
      </c>
      <c r="H188" s="59" t="str">
        <f>_xlfn.XLOOKUP(G188,ShiftCodes[Code],ShiftCodes[Work Schedule],"Unknown")</f>
        <v>Shift A – Day (Mon–Fri 06:00–14:30)</v>
      </c>
      <c r="I188" s="60">
        <f>_xlfn.XLOOKUP(G188,ShiftCodes[Code],ShiftCodes[Start],"")</f>
        <v>0.25</v>
      </c>
      <c r="J188" s="61">
        <f t="shared" si="10"/>
        <v>-1</v>
      </c>
      <c r="K188" s="59" t="str">
        <f t="shared" si="11"/>
        <v>OK</v>
      </c>
      <c r="L188" s="62"/>
      <c r="M188" s="5" t="str">
        <f t="shared" si="12"/>
        <v>Tue</v>
      </c>
      <c r="N188" s="63">
        <f t="shared" si="13"/>
        <v>7.87</v>
      </c>
      <c r="O188" s="5" t="s">
        <v>758</v>
      </c>
      <c r="P188" s="6">
        <v>46308</v>
      </c>
      <c r="Q188" s="5" t="str">
        <f t="shared" si="14"/>
        <v>Current period</v>
      </c>
      <c r="R188" s="5" t="str">
        <f t="array" ref="R188">_xlfn.XLOOKUP(A188,TRIM(SUBSTITUTE('worker file'!$A$2:$A$406,_xlfn.UNICHAR(160)," ")),'worker file'!$D$2:$D$406,"Not found")</f>
        <v>TX</v>
      </c>
    </row>
    <row r="189" spans="1:18" ht="16" x14ac:dyDescent="0.2">
      <c r="A189" s="5" t="s">
        <v>240</v>
      </c>
      <c r="B189" s="6">
        <v>46309</v>
      </c>
      <c r="C189" s="56">
        <v>0.25277777777777799</v>
      </c>
      <c r="D189" s="56">
        <v>0.66944444444444395</v>
      </c>
      <c r="E189" s="57">
        <v>0.43958333333333299</v>
      </c>
      <c r="F189" s="58">
        <v>0.46041666666666697</v>
      </c>
      <c r="G189" s="59" t="str">
        <f t="array" ref="G189">_xlfn.XLOOKUP(A189&amp;"|"&amp;B189,ShiftRoster[Employee ID]&amp;"|"&amp;ShiftRoster[Date],ShiftRoster[Shift Code],_xlfn.XLOOKUP(A189,TRIM(SUBSTITUTE('worker file'!$A$2:$A$406,_xlfn.UNICHAR(160)," ")),'worker file'!$X$2:$X$406,"?"),0,-1)</f>
        <v>DAY</v>
      </c>
      <c r="H189" s="59" t="str">
        <f>_xlfn.XLOOKUP(G189,ShiftCodes[Code],ShiftCodes[Work Schedule],"Unknown")</f>
        <v>Shift A – Day (Mon–Fri 06:00–14:30)</v>
      </c>
      <c r="I189" s="60">
        <f>_xlfn.XLOOKUP(G189,ShiftCodes[Code],ShiftCodes[Start],"")</f>
        <v>0.25</v>
      </c>
      <c r="J189" s="61">
        <f t="shared" si="10"/>
        <v>4</v>
      </c>
      <c r="K189" s="59" t="str">
        <f t="shared" si="11"/>
        <v>OK</v>
      </c>
      <c r="L189" s="62" t="s">
        <v>771</v>
      </c>
      <c r="M189" s="5" t="str">
        <f t="shared" si="12"/>
        <v>Wed</v>
      </c>
      <c r="N189" s="63">
        <f t="shared" si="13"/>
        <v>9.5</v>
      </c>
      <c r="O189" s="5" t="s">
        <v>758</v>
      </c>
      <c r="P189" s="6">
        <v>46309</v>
      </c>
      <c r="Q189" s="5" t="str">
        <f t="shared" si="14"/>
        <v>Current period</v>
      </c>
      <c r="R189" s="5" t="str">
        <f t="array" ref="R189">_xlfn.XLOOKUP(A189,TRIM(SUBSTITUTE('worker file'!$A$2:$A$406,_xlfn.UNICHAR(160)," ")),'worker file'!$D$2:$D$406,"Not found")</f>
        <v>TX</v>
      </c>
    </row>
    <row r="190" spans="1:18" ht="16" x14ac:dyDescent="0.2">
      <c r="A190" s="5" t="s">
        <v>240</v>
      </c>
      <c r="B190" s="6">
        <v>46310</v>
      </c>
      <c r="C190" s="56">
        <v>0.25138888888888899</v>
      </c>
      <c r="D190" s="56">
        <v>0.60347222222222197</v>
      </c>
      <c r="E190" s="57">
        <v>0.40625</v>
      </c>
      <c r="F190" s="58">
        <v>0.42708333333333298</v>
      </c>
      <c r="G190" s="59" t="str">
        <f t="array" ref="G190">_xlfn.XLOOKUP(A190&amp;"|"&amp;B190,ShiftRoster[Employee ID]&amp;"|"&amp;ShiftRoster[Date],ShiftRoster[Shift Code],_xlfn.XLOOKUP(A190,TRIM(SUBSTITUTE('worker file'!$A$2:$A$406,_xlfn.UNICHAR(160)," ")),'worker file'!$X$2:$X$406,"?"),0,-1)</f>
        <v>DAY</v>
      </c>
      <c r="H190" s="59" t="str">
        <f>_xlfn.XLOOKUP(G190,ShiftCodes[Code],ShiftCodes[Work Schedule],"Unknown")</f>
        <v>Shift A – Day (Mon–Fri 06:00–14:30)</v>
      </c>
      <c r="I190" s="60">
        <f>_xlfn.XLOOKUP(G190,ShiftCodes[Code],ShiftCodes[Start],"")</f>
        <v>0.25</v>
      </c>
      <c r="J190" s="61">
        <f t="shared" si="10"/>
        <v>2</v>
      </c>
      <c r="K190" s="59" t="str">
        <f t="shared" si="11"/>
        <v>OK</v>
      </c>
      <c r="L190" s="62"/>
      <c r="M190" s="5" t="str">
        <f t="shared" si="12"/>
        <v>Thu</v>
      </c>
      <c r="N190" s="63">
        <f t="shared" si="13"/>
        <v>7.95</v>
      </c>
      <c r="O190" s="5" t="s">
        <v>758</v>
      </c>
      <c r="P190" s="6">
        <v>46310</v>
      </c>
      <c r="Q190" s="5" t="str">
        <f t="shared" si="14"/>
        <v>Current period</v>
      </c>
      <c r="R190" s="5" t="str">
        <f t="array" ref="R190">_xlfn.XLOOKUP(A190,TRIM(SUBSTITUTE('worker file'!$A$2:$A$406,_xlfn.UNICHAR(160)," ")),'worker file'!$D$2:$D$406,"Not found")</f>
        <v>TX</v>
      </c>
    </row>
    <row r="191" spans="1:18" ht="16" x14ac:dyDescent="0.2">
      <c r="A191" s="5" t="s">
        <v>240</v>
      </c>
      <c r="B191" s="6">
        <v>46311</v>
      </c>
      <c r="C191" s="56">
        <v>0.25138888888888899</v>
      </c>
      <c r="D191" s="56">
        <v>0.60069444444444398</v>
      </c>
      <c r="E191" s="57">
        <v>0.43472222222222201</v>
      </c>
      <c r="F191" s="58">
        <v>0.45555555555555599</v>
      </c>
      <c r="G191" s="59" t="str">
        <f t="array" ref="G191">_xlfn.XLOOKUP(A191&amp;"|"&amp;B191,ShiftRoster[Employee ID]&amp;"|"&amp;ShiftRoster[Date],ShiftRoster[Shift Code],_xlfn.XLOOKUP(A191,TRIM(SUBSTITUTE('worker file'!$A$2:$A$406,_xlfn.UNICHAR(160)," ")),'worker file'!$X$2:$X$406,"?"),0,-1)</f>
        <v>DAY</v>
      </c>
      <c r="H191" s="59" t="str">
        <f>_xlfn.XLOOKUP(G191,ShiftCodes[Code],ShiftCodes[Work Schedule],"Unknown")</f>
        <v>Shift A – Day (Mon–Fri 06:00–14:30)</v>
      </c>
      <c r="I191" s="60">
        <f>_xlfn.XLOOKUP(G191,ShiftCodes[Code],ShiftCodes[Start],"")</f>
        <v>0.25</v>
      </c>
      <c r="J191" s="61">
        <f t="shared" si="10"/>
        <v>2</v>
      </c>
      <c r="K191" s="59" t="str">
        <f t="shared" si="11"/>
        <v>OK</v>
      </c>
      <c r="L191" s="62"/>
      <c r="M191" s="5" t="str">
        <f t="shared" si="12"/>
        <v>Fri</v>
      </c>
      <c r="N191" s="63">
        <f t="shared" si="13"/>
        <v>7.88</v>
      </c>
      <c r="O191" s="5" t="s">
        <v>758</v>
      </c>
      <c r="P191" s="6">
        <v>46311</v>
      </c>
      <c r="Q191" s="5" t="str">
        <f t="shared" si="14"/>
        <v>Current period</v>
      </c>
      <c r="R191" s="5" t="str">
        <f t="array" ref="R191">_xlfn.XLOOKUP(A191,TRIM(SUBSTITUTE('worker file'!$A$2:$A$406,_xlfn.UNICHAR(160)," ")),'worker file'!$D$2:$D$406,"Not found")</f>
        <v>TX</v>
      </c>
    </row>
    <row r="192" spans="1:18" ht="16" x14ac:dyDescent="0.2">
      <c r="A192" s="5" t="s">
        <v>261</v>
      </c>
      <c r="B192" s="6">
        <v>46299</v>
      </c>
      <c r="C192" s="56">
        <v>0.25208333333333299</v>
      </c>
      <c r="D192" s="56">
        <v>0.77152777777777803</v>
      </c>
      <c r="E192" s="57">
        <v>0.42499999999999999</v>
      </c>
      <c r="F192" s="58">
        <v>0.44583333333333303</v>
      </c>
      <c r="G192" s="59" t="str">
        <f t="array" ref="G192">_xlfn.XLOOKUP(A192&amp;"|"&amp;B192,ShiftRoster[Employee ID]&amp;"|"&amp;ShiftRoster[Date],ShiftRoster[Shift Code],_xlfn.XLOOKUP(A192,TRIM(SUBSTITUTE('worker file'!$A$2:$A$406,_xlfn.UNICHAR(160)," ")),'worker file'!$X$2:$X$406,"?"),0,-1)</f>
        <v>WKND</v>
      </c>
      <c r="H192" s="59" t="str">
        <f>_xlfn.XLOOKUP(G192,ShiftCodes[Code],ShiftCodes[Work Schedule],"Unknown")</f>
        <v>Shift D – Weekend (Fri–Sun 06:00–18:30)</v>
      </c>
      <c r="I192" s="60">
        <f>_xlfn.XLOOKUP(G192,ShiftCodes[Code],ShiftCodes[Start],"")</f>
        <v>0.25</v>
      </c>
      <c r="J192" s="61">
        <f t="shared" si="10"/>
        <v>3</v>
      </c>
      <c r="K192" s="59" t="str">
        <f t="shared" si="11"/>
        <v>OK</v>
      </c>
      <c r="L192" s="62"/>
      <c r="M192" s="5" t="str">
        <f t="shared" si="12"/>
        <v>Sun</v>
      </c>
      <c r="N192" s="63">
        <f t="shared" si="13"/>
        <v>11.97</v>
      </c>
      <c r="O192" s="5" t="s">
        <v>758</v>
      </c>
      <c r="P192" s="6">
        <v>46299</v>
      </c>
      <c r="Q192" s="5" t="str">
        <f t="shared" si="14"/>
        <v>Current period</v>
      </c>
      <c r="R192" s="5" t="str">
        <f t="array" ref="R192">_xlfn.XLOOKUP(A192,TRIM(SUBSTITUTE('worker file'!$A$2:$A$406,_xlfn.UNICHAR(160)," ")),'worker file'!$D$2:$D$406,"Not found")</f>
        <v>CA</v>
      </c>
    </row>
    <row r="193" spans="1:18" ht="16" x14ac:dyDescent="0.2">
      <c r="A193" s="5" t="s">
        <v>270</v>
      </c>
      <c r="B193" s="6">
        <v>46299</v>
      </c>
      <c r="C193" s="56">
        <v>0.91666666666666696</v>
      </c>
      <c r="D193" s="56">
        <v>0.265972222222222</v>
      </c>
      <c r="E193" s="57">
        <v>8.7499999999999994E-2</v>
      </c>
      <c r="F193" s="58">
        <v>0.108333333333333</v>
      </c>
      <c r="G193" s="59" t="str">
        <f t="array" ref="G193">_xlfn.XLOOKUP(A193&amp;"|"&amp;B193,ShiftRoster[Employee ID]&amp;"|"&amp;ShiftRoster[Date],ShiftRoster[Shift Code],_xlfn.XLOOKUP(A193,TRIM(SUBSTITUTE('worker file'!$A$2:$A$406,_xlfn.UNICHAR(160)," ")),'worker file'!$X$2:$X$406,"?"),0,-1)</f>
        <v>NGHT</v>
      </c>
      <c r="H193" s="59" t="str">
        <f>_xlfn.XLOOKUP(G193,ShiftCodes[Code],ShiftCodes[Work Schedule],"Unknown")</f>
        <v>Shift C – Night (Sun–Thu 22:00–06:30)</v>
      </c>
      <c r="I193" s="60">
        <f>_xlfn.XLOOKUP(G193,ShiftCodes[Code],ShiftCodes[Start],"")</f>
        <v>0.91666666666666696</v>
      </c>
      <c r="J193" s="61">
        <f t="shared" si="10"/>
        <v>0</v>
      </c>
      <c r="K193" s="59" t="str">
        <f t="shared" si="11"/>
        <v>OK</v>
      </c>
      <c r="L193" s="62" t="s">
        <v>779</v>
      </c>
      <c r="M193" s="5" t="str">
        <f t="shared" si="12"/>
        <v>Sun</v>
      </c>
      <c r="N193" s="63">
        <f t="shared" si="13"/>
        <v>7.88</v>
      </c>
      <c r="O193" s="5" t="s">
        <v>758</v>
      </c>
      <c r="P193" s="6">
        <v>46300</v>
      </c>
      <c r="Q193" s="5" t="str">
        <f t="shared" si="14"/>
        <v>Current period</v>
      </c>
      <c r="R193" s="5" t="str">
        <f t="array" ref="R193">_xlfn.XLOOKUP(A193,TRIM(SUBSTITUTE('worker file'!$A$2:$A$406,_xlfn.UNICHAR(160)," ")),'worker file'!$D$2:$D$406,"Not found")</f>
        <v>TX</v>
      </c>
    </row>
    <row r="194" spans="1:18" ht="16" x14ac:dyDescent="0.2">
      <c r="A194" s="5" t="s">
        <v>270</v>
      </c>
      <c r="B194" s="6">
        <v>46300</v>
      </c>
      <c r="C194" s="56">
        <v>0.91319444444444398</v>
      </c>
      <c r="D194" s="56">
        <v>0.26319444444444401</v>
      </c>
      <c r="E194" s="57">
        <v>9.30555555555556E-2</v>
      </c>
      <c r="F194" s="58">
        <v>0.113888888888889</v>
      </c>
      <c r="G194" s="59" t="str">
        <f t="array" ref="G194">_xlfn.XLOOKUP(A194&amp;"|"&amp;B194,ShiftRoster[Employee ID]&amp;"|"&amp;ShiftRoster[Date],ShiftRoster[Shift Code],_xlfn.XLOOKUP(A194,TRIM(SUBSTITUTE('worker file'!$A$2:$A$406,_xlfn.UNICHAR(160)," ")),'worker file'!$X$2:$X$406,"?"),0,-1)</f>
        <v>NGHT</v>
      </c>
      <c r="H194" s="59" t="str">
        <f>_xlfn.XLOOKUP(G194,ShiftCodes[Code],ShiftCodes[Work Schedule],"Unknown")</f>
        <v>Shift C – Night (Sun–Thu 22:00–06:30)</v>
      </c>
      <c r="I194" s="60">
        <f>_xlfn.XLOOKUP(G194,ShiftCodes[Code],ShiftCodes[Start],"")</f>
        <v>0.91666666666666696</v>
      </c>
      <c r="J194" s="61">
        <f t="shared" ref="J194:J257" si="15">IF(OR(C194="",I194=""),"",ROUND((MOD(C194-I194+0.5,1)-0.5)*1440,0))</f>
        <v>-5</v>
      </c>
      <c r="K194" s="59" t="str">
        <f t="shared" ref="K194:K257" si="16">IF(J194="","",IF(ABS(J194)&gt;$U$3,"Off-schedule","OK"))</f>
        <v>OK</v>
      </c>
      <c r="L194" s="62" t="s">
        <v>779</v>
      </c>
      <c r="M194" s="5" t="str">
        <f t="shared" ref="M194:M257" si="17">TEXT(B194,"ddd")</f>
        <v>Mon</v>
      </c>
      <c r="N194" s="63">
        <f t="shared" ref="N194:N257" si="18">IF(OR(C194="",D194=""),"",ROUND((MOD(D194-C194,1)-IF(ISNUMBER(E194),MOD(F194-E194,1),0))*24,2))</f>
        <v>7.9</v>
      </c>
      <c r="O194" s="5" t="s">
        <v>758</v>
      </c>
      <c r="P194" s="6">
        <v>46301</v>
      </c>
      <c r="Q194" s="5" t="str">
        <f t="shared" ref="Q194:Q257" si="19">IF(B194&lt;$U$1,"Prior period",IF(B194&gt;$U$2,"Future period","Current period"))</f>
        <v>Current period</v>
      </c>
      <c r="R194" s="5" t="str">
        <f t="array" ref="R194">_xlfn.XLOOKUP(A194,TRIM(SUBSTITUTE('worker file'!$A$2:$A$406,_xlfn.UNICHAR(160)," ")),'worker file'!$D$2:$D$406,"Not found")</f>
        <v>TX</v>
      </c>
    </row>
    <row r="195" spans="1:18" ht="16" x14ac:dyDescent="0.2">
      <c r="A195" s="5" t="s">
        <v>270</v>
      </c>
      <c r="B195" s="6">
        <v>46301</v>
      </c>
      <c r="C195" s="56">
        <v>0.91597222222222197</v>
      </c>
      <c r="D195" s="56">
        <v>0.26736111111111099</v>
      </c>
      <c r="E195" s="57">
        <v>8.9583333333333307E-2</v>
      </c>
      <c r="F195" s="58">
        <v>0.110416666666667</v>
      </c>
      <c r="G195" s="59" t="str">
        <f t="array" ref="G195">_xlfn.XLOOKUP(A195&amp;"|"&amp;B195,ShiftRoster[Employee ID]&amp;"|"&amp;ShiftRoster[Date],ShiftRoster[Shift Code],_xlfn.XLOOKUP(A195,TRIM(SUBSTITUTE('worker file'!$A$2:$A$406,_xlfn.UNICHAR(160)," ")),'worker file'!$X$2:$X$406,"?"),0,-1)</f>
        <v>NGHT</v>
      </c>
      <c r="H195" s="59" t="str">
        <f>_xlfn.XLOOKUP(G195,ShiftCodes[Code],ShiftCodes[Work Schedule],"Unknown")</f>
        <v>Shift C – Night (Sun–Thu 22:00–06:30)</v>
      </c>
      <c r="I195" s="60">
        <f>_xlfn.XLOOKUP(G195,ShiftCodes[Code],ShiftCodes[Start],"")</f>
        <v>0.91666666666666696</v>
      </c>
      <c r="J195" s="61">
        <f t="shared" si="15"/>
        <v>-1</v>
      </c>
      <c r="K195" s="59" t="str">
        <f t="shared" si="16"/>
        <v>OK</v>
      </c>
      <c r="L195" s="62" t="s">
        <v>779</v>
      </c>
      <c r="M195" s="5" t="str">
        <f t="shared" si="17"/>
        <v>Tue</v>
      </c>
      <c r="N195" s="63">
        <f t="shared" si="18"/>
        <v>7.93</v>
      </c>
      <c r="O195" s="5" t="s">
        <v>758</v>
      </c>
      <c r="P195" s="6">
        <v>46302</v>
      </c>
      <c r="Q195" s="5" t="str">
        <f t="shared" si="19"/>
        <v>Current period</v>
      </c>
      <c r="R195" s="5" t="str">
        <f t="array" ref="R195">_xlfn.XLOOKUP(A195,TRIM(SUBSTITUTE('worker file'!$A$2:$A$406,_xlfn.UNICHAR(160)," ")),'worker file'!$D$2:$D$406,"Not found")</f>
        <v>TX</v>
      </c>
    </row>
    <row r="196" spans="1:18" ht="16" x14ac:dyDescent="0.2">
      <c r="A196" s="5" t="s">
        <v>270</v>
      </c>
      <c r="B196" s="6">
        <v>46302</v>
      </c>
      <c r="C196" s="56">
        <v>0.91874999999999996</v>
      </c>
      <c r="D196" s="56">
        <v>0.26736111111111099</v>
      </c>
      <c r="E196" s="57">
        <v>6.7361111111111094E-2</v>
      </c>
      <c r="F196" s="58">
        <v>8.8194444444444506E-2</v>
      </c>
      <c r="G196" s="59" t="str">
        <f t="array" ref="G196">_xlfn.XLOOKUP(A196&amp;"|"&amp;B196,ShiftRoster[Employee ID]&amp;"|"&amp;ShiftRoster[Date],ShiftRoster[Shift Code],_xlfn.XLOOKUP(A196,TRIM(SUBSTITUTE('worker file'!$A$2:$A$406,_xlfn.UNICHAR(160)," ")),'worker file'!$X$2:$X$406,"?"),0,-1)</f>
        <v>NGHT</v>
      </c>
      <c r="H196" s="59" t="str">
        <f>_xlfn.XLOOKUP(G196,ShiftCodes[Code],ShiftCodes[Work Schedule],"Unknown")</f>
        <v>Shift C – Night (Sun–Thu 22:00–06:30)</v>
      </c>
      <c r="I196" s="60">
        <f>_xlfn.XLOOKUP(G196,ShiftCodes[Code],ShiftCodes[Start],"")</f>
        <v>0.91666666666666696</v>
      </c>
      <c r="J196" s="61">
        <f t="shared" si="15"/>
        <v>3</v>
      </c>
      <c r="K196" s="59" t="str">
        <f t="shared" si="16"/>
        <v>OK</v>
      </c>
      <c r="L196" s="62" t="s">
        <v>779</v>
      </c>
      <c r="M196" s="5" t="str">
        <f t="shared" si="17"/>
        <v>Wed</v>
      </c>
      <c r="N196" s="63">
        <f t="shared" si="18"/>
        <v>7.87</v>
      </c>
      <c r="O196" s="5" t="s">
        <v>758</v>
      </c>
      <c r="P196" s="6">
        <v>46303</v>
      </c>
      <c r="Q196" s="5" t="str">
        <f t="shared" si="19"/>
        <v>Current period</v>
      </c>
      <c r="R196" s="5" t="str">
        <f t="array" ref="R196">_xlfn.XLOOKUP(A196,TRIM(SUBSTITUTE('worker file'!$A$2:$A$406,_xlfn.UNICHAR(160)," ")),'worker file'!$D$2:$D$406,"Not found")</f>
        <v>TX</v>
      </c>
    </row>
    <row r="197" spans="1:18" ht="16" x14ac:dyDescent="0.2">
      <c r="A197" s="5" t="s">
        <v>270</v>
      </c>
      <c r="B197" s="6">
        <v>46303</v>
      </c>
      <c r="C197" s="56">
        <v>0.91666666666666696</v>
      </c>
      <c r="D197" s="56">
        <v>0.26805555555555599</v>
      </c>
      <c r="E197" s="57">
        <v>9.7916666666666693E-2</v>
      </c>
      <c r="F197" s="58">
        <v>0.11874999999999999</v>
      </c>
      <c r="G197" s="59" t="str">
        <f t="array" ref="G197">_xlfn.XLOOKUP(A197&amp;"|"&amp;B197,ShiftRoster[Employee ID]&amp;"|"&amp;ShiftRoster[Date],ShiftRoster[Shift Code],_xlfn.XLOOKUP(A197,TRIM(SUBSTITUTE('worker file'!$A$2:$A$406,_xlfn.UNICHAR(160)," ")),'worker file'!$X$2:$X$406,"?"),0,-1)</f>
        <v>NGHT</v>
      </c>
      <c r="H197" s="59" t="str">
        <f>_xlfn.XLOOKUP(G197,ShiftCodes[Code],ShiftCodes[Work Schedule],"Unknown")</f>
        <v>Shift C – Night (Sun–Thu 22:00–06:30)</v>
      </c>
      <c r="I197" s="60">
        <f>_xlfn.XLOOKUP(G197,ShiftCodes[Code],ShiftCodes[Start],"")</f>
        <v>0.91666666666666696</v>
      </c>
      <c r="J197" s="61">
        <f t="shared" si="15"/>
        <v>0</v>
      </c>
      <c r="K197" s="59" t="str">
        <f t="shared" si="16"/>
        <v>OK</v>
      </c>
      <c r="L197" s="62" t="s">
        <v>779</v>
      </c>
      <c r="M197" s="5" t="str">
        <f t="shared" si="17"/>
        <v>Thu</v>
      </c>
      <c r="N197" s="63">
        <f t="shared" si="18"/>
        <v>7.93</v>
      </c>
      <c r="O197" s="5" t="s">
        <v>758</v>
      </c>
      <c r="P197" s="6">
        <v>46304</v>
      </c>
      <c r="Q197" s="5" t="str">
        <f t="shared" si="19"/>
        <v>Current period</v>
      </c>
      <c r="R197" s="5" t="str">
        <f t="array" ref="R197">_xlfn.XLOOKUP(A197,TRIM(SUBSTITUTE('worker file'!$A$2:$A$406,_xlfn.UNICHAR(160)," ")),'worker file'!$D$2:$D$406,"Not found")</f>
        <v>TX</v>
      </c>
    </row>
    <row r="198" spans="1:18" ht="16" x14ac:dyDescent="0.2">
      <c r="A198" s="5" t="s">
        <v>270</v>
      </c>
      <c r="B198" s="6">
        <v>46306</v>
      </c>
      <c r="C198" s="56">
        <v>0.91319444444444398</v>
      </c>
      <c r="D198" s="56">
        <v>0.26180555555555601</v>
      </c>
      <c r="E198" s="57">
        <v>7.4999999999999997E-2</v>
      </c>
      <c r="F198" s="58">
        <v>9.5833333333333298E-2</v>
      </c>
      <c r="G198" s="59" t="str">
        <f t="array" ref="G198">_xlfn.XLOOKUP(A198&amp;"|"&amp;B198,ShiftRoster[Employee ID]&amp;"|"&amp;ShiftRoster[Date],ShiftRoster[Shift Code],_xlfn.XLOOKUP(A198,TRIM(SUBSTITUTE('worker file'!$A$2:$A$406,_xlfn.UNICHAR(160)," ")),'worker file'!$X$2:$X$406,"?"),0,-1)</f>
        <v>NGHT</v>
      </c>
      <c r="H198" s="59" t="str">
        <f>_xlfn.XLOOKUP(G198,ShiftCodes[Code],ShiftCodes[Work Schedule],"Unknown")</f>
        <v>Shift C – Night (Sun–Thu 22:00–06:30)</v>
      </c>
      <c r="I198" s="60">
        <f>_xlfn.XLOOKUP(G198,ShiftCodes[Code],ShiftCodes[Start],"")</f>
        <v>0.91666666666666696</v>
      </c>
      <c r="J198" s="61">
        <f t="shared" si="15"/>
        <v>-5</v>
      </c>
      <c r="K198" s="59" t="str">
        <f t="shared" si="16"/>
        <v>OK</v>
      </c>
      <c r="L198" s="62" t="s">
        <v>779</v>
      </c>
      <c r="M198" s="5" t="str">
        <f t="shared" si="17"/>
        <v>Sun</v>
      </c>
      <c r="N198" s="63">
        <f t="shared" si="18"/>
        <v>7.87</v>
      </c>
      <c r="O198" s="5" t="s">
        <v>758</v>
      </c>
      <c r="P198" s="6">
        <v>46307</v>
      </c>
      <c r="Q198" s="5" t="str">
        <f t="shared" si="19"/>
        <v>Current period</v>
      </c>
      <c r="R198" s="5" t="str">
        <f t="array" ref="R198">_xlfn.XLOOKUP(A198,TRIM(SUBSTITUTE('worker file'!$A$2:$A$406,_xlfn.UNICHAR(160)," ")),'worker file'!$D$2:$D$406,"Not found")</f>
        <v>TX</v>
      </c>
    </row>
    <row r="199" spans="1:18" ht="16" x14ac:dyDescent="0.2">
      <c r="A199" s="5" t="s">
        <v>270</v>
      </c>
      <c r="B199" s="6">
        <v>46307</v>
      </c>
      <c r="C199" s="56">
        <v>0.91527777777777797</v>
      </c>
      <c r="D199" s="56">
        <v>0.26805555555555599</v>
      </c>
      <c r="E199" s="57">
        <v>8.3333333333333301E-2</v>
      </c>
      <c r="F199" s="58">
        <v>0.104166666666667</v>
      </c>
      <c r="G199" s="59" t="str">
        <f t="array" ref="G199">_xlfn.XLOOKUP(A199&amp;"|"&amp;B199,ShiftRoster[Employee ID]&amp;"|"&amp;ShiftRoster[Date],ShiftRoster[Shift Code],_xlfn.XLOOKUP(A199,TRIM(SUBSTITUTE('worker file'!$A$2:$A$406,_xlfn.UNICHAR(160)," ")),'worker file'!$X$2:$X$406,"?"),0,-1)</f>
        <v>NGHT</v>
      </c>
      <c r="H199" s="59" t="str">
        <f>_xlfn.XLOOKUP(G199,ShiftCodes[Code],ShiftCodes[Work Schedule],"Unknown")</f>
        <v>Shift C – Night (Sun–Thu 22:00–06:30)</v>
      </c>
      <c r="I199" s="60">
        <f>_xlfn.XLOOKUP(G199,ShiftCodes[Code],ShiftCodes[Start],"")</f>
        <v>0.91666666666666696</v>
      </c>
      <c r="J199" s="61">
        <f t="shared" si="15"/>
        <v>-2</v>
      </c>
      <c r="K199" s="59" t="str">
        <f t="shared" si="16"/>
        <v>OK</v>
      </c>
      <c r="L199" s="62" t="s">
        <v>779</v>
      </c>
      <c r="M199" s="5" t="str">
        <f t="shared" si="17"/>
        <v>Mon</v>
      </c>
      <c r="N199" s="63">
        <f t="shared" si="18"/>
        <v>7.97</v>
      </c>
      <c r="O199" s="5" t="s">
        <v>758</v>
      </c>
      <c r="P199" s="6">
        <v>46308</v>
      </c>
      <c r="Q199" s="5" t="str">
        <f t="shared" si="19"/>
        <v>Current period</v>
      </c>
      <c r="R199" s="5" t="str">
        <f t="array" ref="R199">_xlfn.XLOOKUP(A199,TRIM(SUBSTITUTE('worker file'!$A$2:$A$406,_xlfn.UNICHAR(160)," ")),'worker file'!$D$2:$D$406,"Not found")</f>
        <v>TX</v>
      </c>
    </row>
    <row r="200" spans="1:18" ht="16" x14ac:dyDescent="0.2">
      <c r="A200" s="5" t="s">
        <v>270</v>
      </c>
      <c r="B200" s="6">
        <v>46308</v>
      </c>
      <c r="C200" s="56">
        <v>0.91527777777777797</v>
      </c>
      <c r="D200" s="56">
        <v>0.266666666666667</v>
      </c>
      <c r="E200" s="57">
        <v>8.6111111111111097E-2</v>
      </c>
      <c r="F200" s="58">
        <v>0.106944444444444</v>
      </c>
      <c r="G200" s="59" t="str">
        <f t="array" ref="G200">_xlfn.XLOOKUP(A200&amp;"|"&amp;B200,ShiftRoster[Employee ID]&amp;"|"&amp;ShiftRoster[Date],ShiftRoster[Shift Code],_xlfn.XLOOKUP(A200,TRIM(SUBSTITUTE('worker file'!$A$2:$A$406,_xlfn.UNICHAR(160)," ")),'worker file'!$X$2:$X$406,"?"),0,-1)</f>
        <v>NGHT</v>
      </c>
      <c r="H200" s="59" t="str">
        <f>_xlfn.XLOOKUP(G200,ShiftCodes[Code],ShiftCodes[Work Schedule],"Unknown")</f>
        <v>Shift C – Night (Sun–Thu 22:00–06:30)</v>
      </c>
      <c r="I200" s="60">
        <f>_xlfn.XLOOKUP(G200,ShiftCodes[Code],ShiftCodes[Start],"")</f>
        <v>0.91666666666666696</v>
      </c>
      <c r="J200" s="61">
        <f t="shared" si="15"/>
        <v>-2</v>
      </c>
      <c r="K200" s="59" t="str">
        <f t="shared" si="16"/>
        <v>OK</v>
      </c>
      <c r="L200" s="62" t="s">
        <v>779</v>
      </c>
      <c r="M200" s="5" t="str">
        <f t="shared" si="17"/>
        <v>Tue</v>
      </c>
      <c r="N200" s="63">
        <f t="shared" si="18"/>
        <v>7.93</v>
      </c>
      <c r="O200" s="5" t="s">
        <v>758</v>
      </c>
      <c r="P200" s="6">
        <v>46309</v>
      </c>
      <c r="Q200" s="5" t="str">
        <f t="shared" si="19"/>
        <v>Current period</v>
      </c>
      <c r="R200" s="5" t="str">
        <f t="array" ref="R200">_xlfn.XLOOKUP(A200,TRIM(SUBSTITUTE('worker file'!$A$2:$A$406,_xlfn.UNICHAR(160)," ")),'worker file'!$D$2:$D$406,"Not found")</f>
        <v>TX</v>
      </c>
    </row>
    <row r="201" spans="1:18" ht="16" x14ac:dyDescent="0.2">
      <c r="A201" s="5" t="s">
        <v>270</v>
      </c>
      <c r="B201" s="6">
        <v>46309</v>
      </c>
      <c r="C201" s="56">
        <v>0.91805555555555596</v>
      </c>
      <c r="D201" s="56">
        <v>0.26736111111111099</v>
      </c>
      <c r="E201" s="57">
        <v>9.7222222222222196E-2</v>
      </c>
      <c r="F201" s="58">
        <v>0.118055555555556</v>
      </c>
      <c r="G201" s="59" t="str">
        <f t="array" ref="G201">_xlfn.XLOOKUP(A201&amp;"|"&amp;B201,ShiftRoster[Employee ID]&amp;"|"&amp;ShiftRoster[Date],ShiftRoster[Shift Code],_xlfn.XLOOKUP(A201,TRIM(SUBSTITUTE('worker file'!$A$2:$A$406,_xlfn.UNICHAR(160)," ")),'worker file'!$X$2:$X$406,"?"),0,-1)</f>
        <v>NGHT</v>
      </c>
      <c r="H201" s="59" t="str">
        <f>_xlfn.XLOOKUP(G201,ShiftCodes[Code],ShiftCodes[Work Schedule],"Unknown")</f>
        <v>Shift C – Night (Sun–Thu 22:00–06:30)</v>
      </c>
      <c r="I201" s="60">
        <f>_xlfn.XLOOKUP(G201,ShiftCodes[Code],ShiftCodes[Start],"")</f>
        <v>0.91666666666666696</v>
      </c>
      <c r="J201" s="61">
        <f t="shared" si="15"/>
        <v>2</v>
      </c>
      <c r="K201" s="59" t="str">
        <f t="shared" si="16"/>
        <v>OK</v>
      </c>
      <c r="L201" s="62" t="s">
        <v>779</v>
      </c>
      <c r="M201" s="5" t="str">
        <f t="shared" si="17"/>
        <v>Wed</v>
      </c>
      <c r="N201" s="63">
        <f t="shared" si="18"/>
        <v>7.88</v>
      </c>
      <c r="O201" s="5" t="s">
        <v>758</v>
      </c>
      <c r="P201" s="6">
        <v>46310</v>
      </c>
      <c r="Q201" s="5" t="str">
        <f t="shared" si="19"/>
        <v>Current period</v>
      </c>
      <c r="R201" s="5" t="str">
        <f t="array" ref="R201">_xlfn.XLOOKUP(A201,TRIM(SUBSTITUTE('worker file'!$A$2:$A$406,_xlfn.UNICHAR(160)," ")),'worker file'!$D$2:$D$406,"Not found")</f>
        <v>TX</v>
      </c>
    </row>
    <row r="202" spans="1:18" ht="16" x14ac:dyDescent="0.2">
      <c r="A202" s="5" t="s">
        <v>270</v>
      </c>
      <c r="B202" s="6">
        <v>46310</v>
      </c>
      <c r="C202" s="56">
        <v>0.91805555555555596</v>
      </c>
      <c r="D202" s="56">
        <v>0.26805555555555599</v>
      </c>
      <c r="E202" s="57">
        <v>8.7499999999999994E-2</v>
      </c>
      <c r="F202" s="58">
        <v>0.108333333333333</v>
      </c>
      <c r="G202" s="59" t="str">
        <f t="array" ref="G202">_xlfn.XLOOKUP(A202&amp;"|"&amp;B202,ShiftRoster[Employee ID]&amp;"|"&amp;ShiftRoster[Date],ShiftRoster[Shift Code],_xlfn.XLOOKUP(A202,TRIM(SUBSTITUTE('worker file'!$A$2:$A$406,_xlfn.UNICHAR(160)," ")),'worker file'!$X$2:$X$406,"?"),0,-1)</f>
        <v>NGHT</v>
      </c>
      <c r="H202" s="59" t="str">
        <f>_xlfn.XLOOKUP(G202,ShiftCodes[Code],ShiftCodes[Work Schedule],"Unknown")</f>
        <v>Shift C – Night (Sun–Thu 22:00–06:30)</v>
      </c>
      <c r="I202" s="60">
        <f>_xlfn.XLOOKUP(G202,ShiftCodes[Code],ShiftCodes[Start],"")</f>
        <v>0.91666666666666696</v>
      </c>
      <c r="J202" s="61">
        <f t="shared" si="15"/>
        <v>2</v>
      </c>
      <c r="K202" s="59" t="str">
        <f t="shared" si="16"/>
        <v>OK</v>
      </c>
      <c r="L202" s="62" t="s">
        <v>779</v>
      </c>
      <c r="M202" s="5" t="str">
        <f t="shared" si="17"/>
        <v>Thu</v>
      </c>
      <c r="N202" s="63">
        <f t="shared" si="18"/>
        <v>7.9</v>
      </c>
      <c r="O202" s="5" t="s">
        <v>758</v>
      </c>
      <c r="P202" s="6">
        <v>46311</v>
      </c>
      <c r="Q202" s="5" t="str">
        <f t="shared" si="19"/>
        <v>Current period</v>
      </c>
      <c r="R202" s="5" t="str">
        <f t="array" ref="R202">_xlfn.XLOOKUP(A202,TRIM(SUBSTITUTE('worker file'!$A$2:$A$406,_xlfn.UNICHAR(160)," ")),'worker file'!$D$2:$D$406,"Not found")</f>
        <v>TX</v>
      </c>
    </row>
    <row r="203" spans="1:18" ht="16" x14ac:dyDescent="0.2">
      <c r="A203" s="5" t="s">
        <v>270</v>
      </c>
      <c r="B203" s="6">
        <v>46311</v>
      </c>
      <c r="C203" s="56">
        <v>0.91388888888888897</v>
      </c>
      <c r="D203" s="56">
        <v>0.26388888888888901</v>
      </c>
      <c r="E203" s="57">
        <v>0.101388888888889</v>
      </c>
      <c r="F203" s="58">
        <v>0.122222222222222</v>
      </c>
      <c r="G203" s="59" t="str">
        <f t="array" ref="G203">_xlfn.XLOOKUP(A203&amp;"|"&amp;B203,ShiftRoster[Employee ID]&amp;"|"&amp;ShiftRoster[Date],ShiftRoster[Shift Code],_xlfn.XLOOKUP(A203,TRIM(SUBSTITUTE('worker file'!$A$2:$A$406,_xlfn.UNICHAR(160)," ")),'worker file'!$X$2:$X$406,"?"),0,-1)</f>
        <v>NGHT</v>
      </c>
      <c r="H203" s="59" t="str">
        <f>_xlfn.XLOOKUP(G203,ShiftCodes[Code],ShiftCodes[Work Schedule],"Unknown")</f>
        <v>Shift C – Night (Sun–Thu 22:00–06:30)</v>
      </c>
      <c r="I203" s="60">
        <f>_xlfn.XLOOKUP(G203,ShiftCodes[Code],ShiftCodes[Start],"")</f>
        <v>0.91666666666666696</v>
      </c>
      <c r="J203" s="61">
        <f t="shared" si="15"/>
        <v>-4</v>
      </c>
      <c r="K203" s="59" t="str">
        <f t="shared" si="16"/>
        <v>OK</v>
      </c>
      <c r="L203" s="62" t="s">
        <v>780</v>
      </c>
      <c r="M203" s="5" t="str">
        <f t="shared" si="17"/>
        <v>Fri</v>
      </c>
      <c r="N203" s="63">
        <f t="shared" si="18"/>
        <v>7.9</v>
      </c>
      <c r="O203" s="5" t="s">
        <v>758</v>
      </c>
      <c r="P203" s="6">
        <v>46312</v>
      </c>
      <c r="Q203" s="5" t="str">
        <f t="shared" si="19"/>
        <v>Current period</v>
      </c>
      <c r="R203" s="5" t="str">
        <f t="array" ref="R203">_xlfn.XLOOKUP(A203,TRIM(SUBSTITUTE('worker file'!$A$2:$A$406,_xlfn.UNICHAR(160)," ")),'worker file'!$D$2:$D$406,"Not found")</f>
        <v>TX</v>
      </c>
    </row>
    <row r="204" spans="1:18" ht="16" x14ac:dyDescent="0.2">
      <c r="A204" s="5" t="s">
        <v>270</v>
      </c>
      <c r="B204" s="6">
        <v>46312</v>
      </c>
      <c r="C204" s="56">
        <v>0.91805555555555596</v>
      </c>
      <c r="D204" s="56">
        <v>0.26874999999999999</v>
      </c>
      <c r="E204" s="57">
        <v>7.6388888888888895E-2</v>
      </c>
      <c r="F204" s="58">
        <v>9.7222222222222196E-2</v>
      </c>
      <c r="G204" s="59" t="str">
        <f t="array" ref="G204">_xlfn.XLOOKUP(A204&amp;"|"&amp;B204,ShiftRoster[Employee ID]&amp;"|"&amp;ShiftRoster[Date],ShiftRoster[Shift Code],_xlfn.XLOOKUP(A204,TRIM(SUBSTITUTE('worker file'!$A$2:$A$406,_xlfn.UNICHAR(160)," ")),'worker file'!$X$2:$X$406,"?"),0,-1)</f>
        <v>NGHT</v>
      </c>
      <c r="H204" s="59" t="str">
        <f>_xlfn.XLOOKUP(G204,ShiftCodes[Code],ShiftCodes[Work Schedule],"Unknown")</f>
        <v>Shift C – Night (Sun–Thu 22:00–06:30)</v>
      </c>
      <c r="I204" s="60">
        <f>_xlfn.XLOOKUP(G204,ShiftCodes[Code],ShiftCodes[Start],"")</f>
        <v>0.91666666666666696</v>
      </c>
      <c r="J204" s="61">
        <f t="shared" si="15"/>
        <v>2</v>
      </c>
      <c r="K204" s="59" t="str">
        <f t="shared" si="16"/>
        <v>OK</v>
      </c>
      <c r="L204" s="62" t="s">
        <v>781</v>
      </c>
      <c r="M204" s="5" t="str">
        <f t="shared" si="17"/>
        <v>Sat</v>
      </c>
      <c r="N204" s="63">
        <f t="shared" si="18"/>
        <v>7.92</v>
      </c>
      <c r="O204" s="5" t="s">
        <v>758</v>
      </c>
      <c r="P204" s="6">
        <v>46313</v>
      </c>
      <c r="Q204" s="5" t="str">
        <f t="shared" si="19"/>
        <v>Current period</v>
      </c>
      <c r="R204" s="5" t="str">
        <f t="array" ref="R204">_xlfn.XLOOKUP(A204,TRIM(SUBSTITUTE('worker file'!$A$2:$A$406,_xlfn.UNICHAR(160)," ")),'worker file'!$D$2:$D$406,"Not found")</f>
        <v>TX</v>
      </c>
    </row>
    <row r="205" spans="1:18" ht="16" x14ac:dyDescent="0.2">
      <c r="A205" s="5" t="s">
        <v>279</v>
      </c>
      <c r="B205" s="6">
        <v>46299</v>
      </c>
      <c r="C205" s="56">
        <v>0.91736111111111096</v>
      </c>
      <c r="D205" s="56">
        <v>0.26736111111111099</v>
      </c>
      <c r="E205" s="57">
        <v>8.3333333333333301E-2</v>
      </c>
      <c r="F205" s="58">
        <v>0.104166666666667</v>
      </c>
      <c r="G205" s="59" t="str">
        <f t="array" ref="G205">_xlfn.XLOOKUP(A205&amp;"|"&amp;B205,ShiftRoster[Employee ID]&amp;"|"&amp;ShiftRoster[Date],ShiftRoster[Shift Code],_xlfn.XLOOKUP(A205,TRIM(SUBSTITUTE('worker file'!$A$2:$A$406,_xlfn.UNICHAR(160)," ")),'worker file'!$X$2:$X$406,"?"),0,-1)</f>
        <v>NGHT</v>
      </c>
      <c r="H205" s="59" t="str">
        <f>_xlfn.XLOOKUP(G205,ShiftCodes[Code],ShiftCodes[Work Schedule],"Unknown")</f>
        <v>Shift C – Night (Sun–Thu 22:00–06:30)</v>
      </c>
      <c r="I205" s="60">
        <f>_xlfn.XLOOKUP(G205,ShiftCodes[Code],ShiftCodes[Start],"")</f>
        <v>0.91666666666666696</v>
      </c>
      <c r="J205" s="61">
        <f t="shared" si="15"/>
        <v>1</v>
      </c>
      <c r="K205" s="59" t="str">
        <f t="shared" si="16"/>
        <v>OK</v>
      </c>
      <c r="L205" s="62" t="s">
        <v>779</v>
      </c>
      <c r="M205" s="5" t="str">
        <f t="shared" si="17"/>
        <v>Sun</v>
      </c>
      <c r="N205" s="63">
        <f t="shared" si="18"/>
        <v>7.9</v>
      </c>
      <c r="O205" s="5" t="s">
        <v>758</v>
      </c>
      <c r="P205" s="6">
        <v>46300</v>
      </c>
      <c r="Q205" s="5" t="str">
        <f t="shared" si="19"/>
        <v>Current period</v>
      </c>
      <c r="R205" s="5" t="str">
        <f t="array" ref="R205">_xlfn.XLOOKUP(A205,TRIM(SUBSTITUTE('worker file'!$A$2:$A$406,_xlfn.UNICHAR(160)," ")),'worker file'!$D$2:$D$406,"Not found")</f>
        <v>TX</v>
      </c>
    </row>
    <row r="206" spans="1:18" ht="16" x14ac:dyDescent="0.2">
      <c r="A206" s="5" t="s">
        <v>279</v>
      </c>
      <c r="B206" s="6">
        <v>46300</v>
      </c>
      <c r="C206" s="56">
        <v>0.91944444444444395</v>
      </c>
      <c r="D206" s="56">
        <v>0.27291666666666697</v>
      </c>
      <c r="E206" s="57">
        <v>8.3333333333333301E-2</v>
      </c>
      <c r="F206" s="58">
        <v>0.104166666666667</v>
      </c>
      <c r="G206" s="59" t="str">
        <f t="array" ref="G206">_xlfn.XLOOKUP(A206&amp;"|"&amp;B206,ShiftRoster[Employee ID]&amp;"|"&amp;ShiftRoster[Date],ShiftRoster[Shift Code],_xlfn.XLOOKUP(A206,TRIM(SUBSTITUTE('worker file'!$A$2:$A$406,_xlfn.UNICHAR(160)," ")),'worker file'!$X$2:$X$406,"?"),0,-1)</f>
        <v>NGHT</v>
      </c>
      <c r="H206" s="59" t="str">
        <f>_xlfn.XLOOKUP(G206,ShiftCodes[Code],ShiftCodes[Work Schedule],"Unknown")</f>
        <v>Shift C – Night (Sun–Thu 22:00–06:30)</v>
      </c>
      <c r="I206" s="60">
        <f>_xlfn.XLOOKUP(G206,ShiftCodes[Code],ShiftCodes[Start],"")</f>
        <v>0.91666666666666696</v>
      </c>
      <c r="J206" s="61">
        <f t="shared" si="15"/>
        <v>4</v>
      </c>
      <c r="K206" s="59" t="str">
        <f t="shared" si="16"/>
        <v>OK</v>
      </c>
      <c r="L206" s="62" t="s">
        <v>779</v>
      </c>
      <c r="M206" s="5" t="str">
        <f t="shared" si="17"/>
        <v>Mon</v>
      </c>
      <c r="N206" s="63">
        <f t="shared" si="18"/>
        <v>7.98</v>
      </c>
      <c r="O206" s="5" t="s">
        <v>758</v>
      </c>
      <c r="P206" s="6">
        <v>46301</v>
      </c>
      <c r="Q206" s="5" t="str">
        <f t="shared" si="19"/>
        <v>Current period</v>
      </c>
      <c r="R206" s="5" t="str">
        <f t="array" ref="R206">_xlfn.XLOOKUP(A206,TRIM(SUBSTITUTE('worker file'!$A$2:$A$406,_xlfn.UNICHAR(160)," ")),'worker file'!$D$2:$D$406,"Not found")</f>
        <v>TX</v>
      </c>
    </row>
    <row r="207" spans="1:18" ht="16" x14ac:dyDescent="0.2">
      <c r="A207" s="5" t="s">
        <v>279</v>
      </c>
      <c r="B207" s="6">
        <v>46301</v>
      </c>
      <c r="C207" s="56">
        <v>0.91527777777777797</v>
      </c>
      <c r="D207" s="56">
        <v>0.264583333333333</v>
      </c>
      <c r="E207" s="57">
        <v>8.6805555555555594E-2</v>
      </c>
      <c r="F207" s="58">
        <v>0.10763888888888901</v>
      </c>
      <c r="G207" s="59" t="str">
        <f t="array" ref="G207">_xlfn.XLOOKUP(A207&amp;"|"&amp;B207,ShiftRoster[Employee ID]&amp;"|"&amp;ShiftRoster[Date],ShiftRoster[Shift Code],_xlfn.XLOOKUP(A207,TRIM(SUBSTITUTE('worker file'!$A$2:$A$406,_xlfn.UNICHAR(160)," ")),'worker file'!$X$2:$X$406,"?"),0,-1)</f>
        <v>NGHT</v>
      </c>
      <c r="H207" s="59" t="str">
        <f>_xlfn.XLOOKUP(G207,ShiftCodes[Code],ShiftCodes[Work Schedule],"Unknown")</f>
        <v>Shift C – Night (Sun–Thu 22:00–06:30)</v>
      </c>
      <c r="I207" s="60">
        <f>_xlfn.XLOOKUP(G207,ShiftCodes[Code],ShiftCodes[Start],"")</f>
        <v>0.91666666666666696</v>
      </c>
      <c r="J207" s="61">
        <f t="shared" si="15"/>
        <v>-2</v>
      </c>
      <c r="K207" s="59" t="str">
        <f t="shared" si="16"/>
        <v>OK</v>
      </c>
      <c r="L207" s="62" t="s">
        <v>779</v>
      </c>
      <c r="M207" s="5" t="str">
        <f t="shared" si="17"/>
        <v>Tue</v>
      </c>
      <c r="N207" s="63">
        <f t="shared" si="18"/>
        <v>7.88</v>
      </c>
      <c r="O207" s="5" t="s">
        <v>758</v>
      </c>
      <c r="P207" s="6">
        <v>46302</v>
      </c>
      <c r="Q207" s="5" t="str">
        <f t="shared" si="19"/>
        <v>Current period</v>
      </c>
      <c r="R207" s="5" t="str">
        <f t="array" ref="R207">_xlfn.XLOOKUP(A207,TRIM(SUBSTITUTE('worker file'!$A$2:$A$406,_xlfn.UNICHAR(160)," ")),'worker file'!$D$2:$D$406,"Not found")</f>
        <v>TX</v>
      </c>
    </row>
    <row r="208" spans="1:18" ht="16" x14ac:dyDescent="0.2">
      <c r="A208" s="5" t="s">
        <v>279</v>
      </c>
      <c r="B208" s="6">
        <v>46302</v>
      </c>
      <c r="C208" s="56">
        <v>0.91666666666666696</v>
      </c>
      <c r="D208" s="56">
        <v>0.27013888888888898</v>
      </c>
      <c r="E208" s="57">
        <v>7.1527777777777801E-2</v>
      </c>
      <c r="F208" s="58">
        <v>9.2361111111111102E-2</v>
      </c>
      <c r="G208" s="59" t="str">
        <f t="array" ref="G208">_xlfn.XLOOKUP(A208&amp;"|"&amp;B208,ShiftRoster[Employee ID]&amp;"|"&amp;ShiftRoster[Date],ShiftRoster[Shift Code],_xlfn.XLOOKUP(A208,TRIM(SUBSTITUTE('worker file'!$A$2:$A$406,_xlfn.UNICHAR(160)," ")),'worker file'!$X$2:$X$406,"?"),0,-1)</f>
        <v>NGHT</v>
      </c>
      <c r="H208" s="59" t="str">
        <f>_xlfn.XLOOKUP(G208,ShiftCodes[Code],ShiftCodes[Work Schedule],"Unknown")</f>
        <v>Shift C – Night (Sun–Thu 22:00–06:30)</v>
      </c>
      <c r="I208" s="60">
        <f>_xlfn.XLOOKUP(G208,ShiftCodes[Code],ShiftCodes[Start],"")</f>
        <v>0.91666666666666696</v>
      </c>
      <c r="J208" s="61">
        <f t="shared" si="15"/>
        <v>0</v>
      </c>
      <c r="K208" s="59" t="str">
        <f t="shared" si="16"/>
        <v>OK</v>
      </c>
      <c r="L208" s="62" t="s">
        <v>779</v>
      </c>
      <c r="M208" s="5" t="str">
        <f t="shared" si="17"/>
        <v>Wed</v>
      </c>
      <c r="N208" s="63">
        <f t="shared" si="18"/>
        <v>7.98</v>
      </c>
      <c r="O208" s="5" t="s">
        <v>758</v>
      </c>
      <c r="P208" s="6">
        <v>46303</v>
      </c>
      <c r="Q208" s="5" t="str">
        <f t="shared" si="19"/>
        <v>Current period</v>
      </c>
      <c r="R208" s="5" t="str">
        <f t="array" ref="R208">_xlfn.XLOOKUP(A208,TRIM(SUBSTITUTE('worker file'!$A$2:$A$406,_xlfn.UNICHAR(160)," ")),'worker file'!$D$2:$D$406,"Not found")</f>
        <v>TX</v>
      </c>
    </row>
    <row r="209" spans="1:18" ht="16" x14ac:dyDescent="0.2">
      <c r="A209" s="5" t="s">
        <v>279</v>
      </c>
      <c r="B209" s="6">
        <v>46303</v>
      </c>
      <c r="C209" s="56">
        <v>0.91388888888888897</v>
      </c>
      <c r="D209" s="56">
        <v>0.26388888888888901</v>
      </c>
      <c r="E209" s="57">
        <v>6.8055555555555605E-2</v>
      </c>
      <c r="F209" s="58">
        <v>8.8888888888888906E-2</v>
      </c>
      <c r="G209" s="59" t="str">
        <f t="array" ref="G209">_xlfn.XLOOKUP(A209&amp;"|"&amp;B209,ShiftRoster[Employee ID]&amp;"|"&amp;ShiftRoster[Date],ShiftRoster[Shift Code],_xlfn.XLOOKUP(A209,TRIM(SUBSTITUTE('worker file'!$A$2:$A$406,_xlfn.UNICHAR(160)," ")),'worker file'!$X$2:$X$406,"?"),0,-1)</f>
        <v>NGHT</v>
      </c>
      <c r="H209" s="59" t="str">
        <f>_xlfn.XLOOKUP(G209,ShiftCodes[Code],ShiftCodes[Work Schedule],"Unknown")</f>
        <v>Shift C – Night (Sun–Thu 22:00–06:30)</v>
      </c>
      <c r="I209" s="60">
        <f>_xlfn.XLOOKUP(G209,ShiftCodes[Code],ShiftCodes[Start],"")</f>
        <v>0.91666666666666696</v>
      </c>
      <c r="J209" s="61">
        <f t="shared" si="15"/>
        <v>-4</v>
      </c>
      <c r="K209" s="59" t="str">
        <f t="shared" si="16"/>
        <v>OK</v>
      </c>
      <c r="L209" s="62" t="s">
        <v>779</v>
      </c>
      <c r="M209" s="5" t="str">
        <f t="shared" si="17"/>
        <v>Thu</v>
      </c>
      <c r="N209" s="63">
        <f t="shared" si="18"/>
        <v>7.9</v>
      </c>
      <c r="O209" s="5" t="s">
        <v>758</v>
      </c>
      <c r="P209" s="6">
        <v>46304</v>
      </c>
      <c r="Q209" s="5" t="str">
        <f t="shared" si="19"/>
        <v>Current period</v>
      </c>
      <c r="R209" s="5" t="str">
        <f t="array" ref="R209">_xlfn.XLOOKUP(A209,TRIM(SUBSTITUTE('worker file'!$A$2:$A$406,_xlfn.UNICHAR(160)," ")),'worker file'!$D$2:$D$406,"Not found")</f>
        <v>TX</v>
      </c>
    </row>
    <row r="210" spans="1:18" ht="16" x14ac:dyDescent="0.2">
      <c r="A210" s="5" t="s">
        <v>279</v>
      </c>
      <c r="B210" s="6">
        <v>46306</v>
      </c>
      <c r="C210" s="56">
        <v>0.91388888888888897</v>
      </c>
      <c r="D210" s="56">
        <v>0.26319444444444401</v>
      </c>
      <c r="E210" s="57">
        <v>6.25E-2</v>
      </c>
      <c r="F210" s="58">
        <v>8.3333333333333301E-2</v>
      </c>
      <c r="G210" s="59" t="str">
        <f t="array" ref="G210">_xlfn.XLOOKUP(A210&amp;"|"&amp;B210,ShiftRoster[Employee ID]&amp;"|"&amp;ShiftRoster[Date],ShiftRoster[Shift Code],_xlfn.XLOOKUP(A210,TRIM(SUBSTITUTE('worker file'!$A$2:$A$406,_xlfn.UNICHAR(160)," ")),'worker file'!$X$2:$X$406,"?"),0,-1)</f>
        <v>NGHT</v>
      </c>
      <c r="H210" s="59" t="str">
        <f>_xlfn.XLOOKUP(G210,ShiftCodes[Code],ShiftCodes[Work Schedule],"Unknown")</f>
        <v>Shift C – Night (Sun–Thu 22:00–06:30)</v>
      </c>
      <c r="I210" s="60">
        <f>_xlfn.XLOOKUP(G210,ShiftCodes[Code],ShiftCodes[Start],"")</f>
        <v>0.91666666666666696</v>
      </c>
      <c r="J210" s="61">
        <f t="shared" si="15"/>
        <v>-4</v>
      </c>
      <c r="K210" s="59" t="str">
        <f t="shared" si="16"/>
        <v>OK</v>
      </c>
      <c r="L210" s="62" t="s">
        <v>779</v>
      </c>
      <c r="M210" s="5" t="str">
        <f t="shared" si="17"/>
        <v>Sun</v>
      </c>
      <c r="N210" s="63">
        <f t="shared" si="18"/>
        <v>7.88</v>
      </c>
      <c r="O210" s="5" t="s">
        <v>758</v>
      </c>
      <c r="P210" s="6">
        <v>46307</v>
      </c>
      <c r="Q210" s="5" t="str">
        <f t="shared" si="19"/>
        <v>Current period</v>
      </c>
      <c r="R210" s="5" t="str">
        <f t="array" ref="R210">_xlfn.XLOOKUP(A210,TRIM(SUBSTITUTE('worker file'!$A$2:$A$406,_xlfn.UNICHAR(160)," ")),'worker file'!$D$2:$D$406,"Not found")</f>
        <v>TX</v>
      </c>
    </row>
    <row r="211" spans="1:18" ht="16" x14ac:dyDescent="0.2">
      <c r="A211" s="5" t="s">
        <v>279</v>
      </c>
      <c r="B211" s="6">
        <v>46307</v>
      </c>
      <c r="C211" s="56">
        <v>0.91319444444444398</v>
      </c>
      <c r="D211" s="56">
        <v>0.26250000000000001</v>
      </c>
      <c r="E211" s="57">
        <v>7.2916666666666699E-2</v>
      </c>
      <c r="F211" s="58">
        <v>9.375E-2</v>
      </c>
      <c r="G211" s="59" t="str">
        <f t="array" ref="G211">_xlfn.XLOOKUP(A211&amp;"|"&amp;B211,ShiftRoster[Employee ID]&amp;"|"&amp;ShiftRoster[Date],ShiftRoster[Shift Code],_xlfn.XLOOKUP(A211,TRIM(SUBSTITUTE('worker file'!$A$2:$A$406,_xlfn.UNICHAR(160)," ")),'worker file'!$X$2:$X$406,"?"),0,-1)</f>
        <v>NGHT</v>
      </c>
      <c r="H211" s="59" t="str">
        <f>_xlfn.XLOOKUP(G211,ShiftCodes[Code],ShiftCodes[Work Schedule],"Unknown")</f>
        <v>Shift C – Night (Sun–Thu 22:00–06:30)</v>
      </c>
      <c r="I211" s="60">
        <f>_xlfn.XLOOKUP(G211,ShiftCodes[Code],ShiftCodes[Start],"")</f>
        <v>0.91666666666666696</v>
      </c>
      <c r="J211" s="61">
        <f t="shared" si="15"/>
        <v>-5</v>
      </c>
      <c r="K211" s="59" t="str">
        <f t="shared" si="16"/>
        <v>OK</v>
      </c>
      <c r="L211" s="62" t="s">
        <v>779</v>
      </c>
      <c r="M211" s="5" t="str">
        <f t="shared" si="17"/>
        <v>Mon</v>
      </c>
      <c r="N211" s="63">
        <f t="shared" si="18"/>
        <v>7.88</v>
      </c>
      <c r="O211" s="5" t="s">
        <v>758</v>
      </c>
      <c r="P211" s="6">
        <v>46308</v>
      </c>
      <c r="Q211" s="5" t="str">
        <f t="shared" si="19"/>
        <v>Current period</v>
      </c>
      <c r="R211" s="5" t="str">
        <f t="array" ref="R211">_xlfn.XLOOKUP(A211,TRIM(SUBSTITUTE('worker file'!$A$2:$A$406,_xlfn.UNICHAR(160)," ")),'worker file'!$D$2:$D$406,"Not found")</f>
        <v>TX</v>
      </c>
    </row>
    <row r="212" spans="1:18" ht="16" x14ac:dyDescent="0.2">
      <c r="A212" s="5" t="s">
        <v>279</v>
      </c>
      <c r="B212" s="6">
        <v>46308</v>
      </c>
      <c r="C212" s="56">
        <v>0.91458333333333297</v>
      </c>
      <c r="D212" s="56">
        <v>0.26319444444444401</v>
      </c>
      <c r="E212" s="57">
        <v>7.4305555555555597E-2</v>
      </c>
      <c r="F212" s="58">
        <v>9.5138888888888898E-2</v>
      </c>
      <c r="G212" s="59" t="str">
        <f t="array" ref="G212">_xlfn.XLOOKUP(A212&amp;"|"&amp;B212,ShiftRoster[Employee ID]&amp;"|"&amp;ShiftRoster[Date],ShiftRoster[Shift Code],_xlfn.XLOOKUP(A212,TRIM(SUBSTITUTE('worker file'!$A$2:$A$406,_xlfn.UNICHAR(160)," ")),'worker file'!$X$2:$X$406,"?"),0,-1)</f>
        <v>NGHT</v>
      </c>
      <c r="H212" s="59" t="str">
        <f>_xlfn.XLOOKUP(G212,ShiftCodes[Code],ShiftCodes[Work Schedule],"Unknown")</f>
        <v>Shift C – Night (Sun–Thu 22:00–06:30)</v>
      </c>
      <c r="I212" s="60">
        <f>_xlfn.XLOOKUP(G212,ShiftCodes[Code],ShiftCodes[Start],"")</f>
        <v>0.91666666666666696</v>
      </c>
      <c r="J212" s="61">
        <f t="shared" si="15"/>
        <v>-3</v>
      </c>
      <c r="K212" s="59" t="str">
        <f t="shared" si="16"/>
        <v>OK</v>
      </c>
      <c r="L212" s="62" t="s">
        <v>779</v>
      </c>
      <c r="M212" s="5" t="str">
        <f t="shared" si="17"/>
        <v>Tue</v>
      </c>
      <c r="N212" s="63">
        <f t="shared" si="18"/>
        <v>7.87</v>
      </c>
      <c r="O212" s="5" t="s">
        <v>758</v>
      </c>
      <c r="P212" s="6">
        <v>46309</v>
      </c>
      <c r="Q212" s="5" t="str">
        <f t="shared" si="19"/>
        <v>Current period</v>
      </c>
      <c r="R212" s="5" t="str">
        <f t="array" ref="R212">_xlfn.XLOOKUP(A212,TRIM(SUBSTITUTE('worker file'!$A$2:$A$406,_xlfn.UNICHAR(160)," ")),'worker file'!$D$2:$D$406,"Not found")</f>
        <v>TX</v>
      </c>
    </row>
    <row r="213" spans="1:18" ht="16" x14ac:dyDescent="0.2">
      <c r="A213" s="5" t="s">
        <v>279</v>
      </c>
      <c r="B213" s="6">
        <v>46309</v>
      </c>
      <c r="C213" s="56">
        <v>0.91874999999999996</v>
      </c>
      <c r="D213" s="56">
        <v>0.27083333333333298</v>
      </c>
      <c r="E213" s="57">
        <v>0.14444444444444399</v>
      </c>
      <c r="F213" s="58">
        <v>0.165277777777778</v>
      </c>
      <c r="G213" s="59" t="str">
        <f t="array" ref="G213">_xlfn.XLOOKUP(A213&amp;"|"&amp;B213,ShiftRoster[Employee ID]&amp;"|"&amp;ShiftRoster[Date],ShiftRoster[Shift Code],_xlfn.XLOOKUP(A213,TRIM(SUBSTITUTE('worker file'!$A$2:$A$406,_xlfn.UNICHAR(160)," ")),'worker file'!$X$2:$X$406,"?"),0,-1)</f>
        <v>NGHT</v>
      </c>
      <c r="H213" s="59" t="str">
        <f>_xlfn.XLOOKUP(G213,ShiftCodes[Code],ShiftCodes[Work Schedule],"Unknown")</f>
        <v>Shift C – Night (Sun–Thu 22:00–06:30)</v>
      </c>
      <c r="I213" s="60">
        <f>_xlfn.XLOOKUP(G213,ShiftCodes[Code],ShiftCodes[Start],"")</f>
        <v>0.91666666666666696</v>
      </c>
      <c r="J213" s="61">
        <f t="shared" si="15"/>
        <v>3</v>
      </c>
      <c r="K213" s="59" t="str">
        <f t="shared" si="16"/>
        <v>OK</v>
      </c>
      <c r="L213" s="62" t="s">
        <v>782</v>
      </c>
      <c r="M213" s="5" t="str">
        <f t="shared" si="17"/>
        <v>Wed</v>
      </c>
      <c r="N213" s="63">
        <f t="shared" si="18"/>
        <v>7.95</v>
      </c>
      <c r="O213" s="5" t="s">
        <v>758</v>
      </c>
      <c r="P213" s="6">
        <v>46310</v>
      </c>
      <c r="Q213" s="5" t="str">
        <f t="shared" si="19"/>
        <v>Current period</v>
      </c>
      <c r="R213" s="5" t="str">
        <f t="array" ref="R213">_xlfn.XLOOKUP(A213,TRIM(SUBSTITUTE('worker file'!$A$2:$A$406,_xlfn.UNICHAR(160)," ")),'worker file'!$D$2:$D$406,"Not found")</f>
        <v>TX</v>
      </c>
    </row>
    <row r="214" spans="1:18" ht="16" x14ac:dyDescent="0.2">
      <c r="A214" s="5" t="s">
        <v>279</v>
      </c>
      <c r="B214" s="6">
        <v>46310</v>
      </c>
      <c r="C214" s="56">
        <v>0.91805555555555596</v>
      </c>
      <c r="D214" s="56">
        <v>0.27152777777777798</v>
      </c>
      <c r="E214" s="57">
        <v>7.1527777777777801E-2</v>
      </c>
      <c r="F214" s="58">
        <v>9.2361111111111102E-2</v>
      </c>
      <c r="G214" s="59" t="str">
        <f t="array" ref="G214">_xlfn.XLOOKUP(A214&amp;"|"&amp;B214,ShiftRoster[Employee ID]&amp;"|"&amp;ShiftRoster[Date],ShiftRoster[Shift Code],_xlfn.XLOOKUP(A214,TRIM(SUBSTITUTE('worker file'!$A$2:$A$406,_xlfn.UNICHAR(160)," ")),'worker file'!$X$2:$X$406,"?"),0,-1)</f>
        <v>NGHT</v>
      </c>
      <c r="H214" s="59" t="str">
        <f>_xlfn.XLOOKUP(G214,ShiftCodes[Code],ShiftCodes[Work Schedule],"Unknown")</f>
        <v>Shift C – Night (Sun–Thu 22:00–06:30)</v>
      </c>
      <c r="I214" s="60">
        <f>_xlfn.XLOOKUP(G214,ShiftCodes[Code],ShiftCodes[Start],"")</f>
        <v>0.91666666666666696</v>
      </c>
      <c r="J214" s="61">
        <f t="shared" si="15"/>
        <v>2</v>
      </c>
      <c r="K214" s="59" t="str">
        <f t="shared" si="16"/>
        <v>OK</v>
      </c>
      <c r="L214" s="62" t="s">
        <v>779</v>
      </c>
      <c r="M214" s="5" t="str">
        <f t="shared" si="17"/>
        <v>Thu</v>
      </c>
      <c r="N214" s="63">
        <f t="shared" si="18"/>
        <v>7.98</v>
      </c>
      <c r="O214" s="5" t="s">
        <v>758</v>
      </c>
      <c r="P214" s="6">
        <v>46311</v>
      </c>
      <c r="Q214" s="5" t="str">
        <f t="shared" si="19"/>
        <v>Current period</v>
      </c>
      <c r="R214" s="5" t="str">
        <f t="array" ref="R214">_xlfn.XLOOKUP(A214,TRIM(SUBSTITUTE('worker file'!$A$2:$A$406,_xlfn.UNICHAR(160)," ")),'worker file'!$D$2:$D$406,"Not found")</f>
        <v>TX</v>
      </c>
    </row>
    <row r="215" spans="1:18" ht="16" x14ac:dyDescent="0.2">
      <c r="A215" s="5" t="s">
        <v>338</v>
      </c>
      <c r="B215" s="6">
        <v>46300</v>
      </c>
      <c r="C215" s="56">
        <v>0.58611111111111103</v>
      </c>
      <c r="D215" s="56">
        <v>0.94027777777777799</v>
      </c>
      <c r="E215" s="57">
        <v>0.74027777777777803</v>
      </c>
      <c r="F215" s="58">
        <v>0.76111111111111096</v>
      </c>
      <c r="G215" s="59" t="str">
        <f t="array" ref="G215">_xlfn.XLOOKUP(A215&amp;"|"&amp;B215,ShiftRoster[Employee ID]&amp;"|"&amp;ShiftRoster[Date],ShiftRoster[Shift Code],_xlfn.XLOOKUP(A215,TRIM(SUBSTITUTE('worker file'!$A$2:$A$406,_xlfn.UNICHAR(160)," ")),'worker file'!$X$2:$X$406,"?"),0,-1)</f>
        <v>SWNG</v>
      </c>
      <c r="H215" s="59" t="str">
        <f>_xlfn.XLOOKUP(G215,ShiftCodes[Code],ShiftCodes[Work Schedule],"Unknown")</f>
        <v>Shift B – Swing (Mon–Fri 14:00–22:30)</v>
      </c>
      <c r="I215" s="60">
        <f>_xlfn.XLOOKUP(G215,ShiftCodes[Code],ShiftCodes[Start],"")</f>
        <v>0.58333333333333304</v>
      </c>
      <c r="J215" s="61">
        <f t="shared" si="15"/>
        <v>4</v>
      </c>
      <c r="K215" s="59" t="str">
        <f t="shared" si="16"/>
        <v>OK</v>
      </c>
      <c r="L215" s="62"/>
      <c r="M215" s="5" t="str">
        <f t="shared" si="17"/>
        <v>Mon</v>
      </c>
      <c r="N215" s="63">
        <f t="shared" si="18"/>
        <v>8</v>
      </c>
      <c r="O215" s="5" t="s">
        <v>758</v>
      </c>
      <c r="P215" s="6">
        <v>46300</v>
      </c>
      <c r="Q215" s="5" t="str">
        <f t="shared" si="19"/>
        <v>Current period</v>
      </c>
      <c r="R215" s="5" t="str">
        <f t="array" ref="R215">_xlfn.XLOOKUP(A215,TRIM(SUBSTITUTE('worker file'!$A$2:$A$406,_xlfn.UNICHAR(160)," ")),'worker file'!$D$2:$D$406,"Not found")</f>
        <v>TX</v>
      </c>
    </row>
    <row r="216" spans="1:18" ht="16" x14ac:dyDescent="0.2">
      <c r="A216" s="5" t="s">
        <v>338</v>
      </c>
      <c r="B216" s="6">
        <v>46301</v>
      </c>
      <c r="C216" s="56">
        <v>0.58611111111111103</v>
      </c>
      <c r="D216" s="56">
        <v>0.93541666666666701</v>
      </c>
      <c r="E216" s="57">
        <v>0.73472222222222205</v>
      </c>
      <c r="F216" s="58">
        <v>0.75555555555555598</v>
      </c>
      <c r="G216" s="59" t="str">
        <f t="array" ref="G216">_xlfn.XLOOKUP(A216&amp;"|"&amp;B216,ShiftRoster[Employee ID]&amp;"|"&amp;ShiftRoster[Date],ShiftRoster[Shift Code],_xlfn.XLOOKUP(A216,TRIM(SUBSTITUTE('worker file'!$A$2:$A$406,_xlfn.UNICHAR(160)," ")),'worker file'!$X$2:$X$406,"?"),0,-1)</f>
        <v>SWNG</v>
      </c>
      <c r="H216" s="59" t="str">
        <f>_xlfn.XLOOKUP(G216,ShiftCodes[Code],ShiftCodes[Work Schedule],"Unknown")</f>
        <v>Shift B – Swing (Mon–Fri 14:00–22:30)</v>
      </c>
      <c r="I216" s="60">
        <f>_xlfn.XLOOKUP(G216,ShiftCodes[Code],ShiftCodes[Start],"")</f>
        <v>0.58333333333333304</v>
      </c>
      <c r="J216" s="61">
        <f t="shared" si="15"/>
        <v>4</v>
      </c>
      <c r="K216" s="59" t="str">
        <f t="shared" si="16"/>
        <v>OK</v>
      </c>
      <c r="L216" s="62"/>
      <c r="M216" s="5" t="str">
        <f t="shared" si="17"/>
        <v>Tue</v>
      </c>
      <c r="N216" s="63">
        <f t="shared" si="18"/>
        <v>7.88</v>
      </c>
      <c r="O216" s="5" t="s">
        <v>758</v>
      </c>
      <c r="P216" s="6">
        <v>46301</v>
      </c>
      <c r="Q216" s="5" t="str">
        <f t="shared" si="19"/>
        <v>Current period</v>
      </c>
      <c r="R216" s="5" t="str">
        <f t="array" ref="R216">_xlfn.XLOOKUP(A216,TRIM(SUBSTITUTE('worker file'!$A$2:$A$406,_xlfn.UNICHAR(160)," ")),'worker file'!$D$2:$D$406,"Not found")</f>
        <v>TX</v>
      </c>
    </row>
    <row r="217" spans="1:18" ht="16" x14ac:dyDescent="0.2">
      <c r="A217" s="5" t="s">
        <v>338</v>
      </c>
      <c r="B217" s="6">
        <v>46302</v>
      </c>
      <c r="C217" s="56">
        <v>0.58333333333333304</v>
      </c>
      <c r="D217" s="56">
        <v>0.93263888888888902</v>
      </c>
      <c r="E217" s="57">
        <v>0.76388888888888895</v>
      </c>
      <c r="F217" s="58">
        <v>0.78472222222222199</v>
      </c>
      <c r="G217" s="59" t="str">
        <f t="array" ref="G217">_xlfn.XLOOKUP(A217&amp;"|"&amp;B217,ShiftRoster[Employee ID]&amp;"|"&amp;ShiftRoster[Date],ShiftRoster[Shift Code],_xlfn.XLOOKUP(A217,TRIM(SUBSTITUTE('worker file'!$A$2:$A$406,_xlfn.UNICHAR(160)," ")),'worker file'!$X$2:$X$406,"?"),0,-1)</f>
        <v>SWNG</v>
      </c>
      <c r="H217" s="59" t="str">
        <f>_xlfn.XLOOKUP(G217,ShiftCodes[Code],ShiftCodes[Work Schedule],"Unknown")</f>
        <v>Shift B – Swing (Mon–Fri 14:00–22:30)</v>
      </c>
      <c r="I217" s="60">
        <f>_xlfn.XLOOKUP(G217,ShiftCodes[Code],ShiftCodes[Start],"")</f>
        <v>0.58333333333333304</v>
      </c>
      <c r="J217" s="61">
        <f t="shared" si="15"/>
        <v>0</v>
      </c>
      <c r="K217" s="59" t="str">
        <f t="shared" si="16"/>
        <v>OK</v>
      </c>
      <c r="L217" s="62"/>
      <c r="M217" s="5" t="str">
        <f t="shared" si="17"/>
        <v>Wed</v>
      </c>
      <c r="N217" s="63">
        <f t="shared" si="18"/>
        <v>7.88</v>
      </c>
      <c r="O217" s="5" t="s">
        <v>758</v>
      </c>
      <c r="P217" s="6">
        <v>46302</v>
      </c>
      <c r="Q217" s="5" t="str">
        <f t="shared" si="19"/>
        <v>Current period</v>
      </c>
      <c r="R217" s="5" t="str">
        <f t="array" ref="R217">_xlfn.XLOOKUP(A217,TRIM(SUBSTITUTE('worker file'!$A$2:$A$406,_xlfn.UNICHAR(160)," ")),'worker file'!$D$2:$D$406,"Not found")</f>
        <v>TX</v>
      </c>
    </row>
    <row r="218" spans="1:18" ht="16" x14ac:dyDescent="0.2">
      <c r="A218" s="5" t="s">
        <v>338</v>
      </c>
      <c r="B218" s="6">
        <v>46303</v>
      </c>
      <c r="C218" s="56">
        <v>0.58402777777777803</v>
      </c>
      <c r="D218" s="56">
        <v>0.936805555555556</v>
      </c>
      <c r="E218" s="57">
        <v>0.76805555555555605</v>
      </c>
      <c r="F218" s="58">
        <v>0.78888888888888897</v>
      </c>
      <c r="G218" s="59" t="str">
        <f t="array" ref="G218">_xlfn.XLOOKUP(A218&amp;"|"&amp;B218,ShiftRoster[Employee ID]&amp;"|"&amp;ShiftRoster[Date],ShiftRoster[Shift Code],_xlfn.XLOOKUP(A218,TRIM(SUBSTITUTE('worker file'!$A$2:$A$406,_xlfn.UNICHAR(160)," ")),'worker file'!$X$2:$X$406,"?"),0,-1)</f>
        <v>SWNG</v>
      </c>
      <c r="H218" s="59" t="str">
        <f>_xlfn.XLOOKUP(G218,ShiftCodes[Code],ShiftCodes[Work Schedule],"Unknown")</f>
        <v>Shift B – Swing (Mon–Fri 14:00–22:30)</v>
      </c>
      <c r="I218" s="60">
        <f>_xlfn.XLOOKUP(G218,ShiftCodes[Code],ShiftCodes[Start],"")</f>
        <v>0.58333333333333304</v>
      </c>
      <c r="J218" s="61">
        <f t="shared" si="15"/>
        <v>1</v>
      </c>
      <c r="K218" s="59" t="str">
        <f t="shared" si="16"/>
        <v>OK</v>
      </c>
      <c r="L218" s="62"/>
      <c r="M218" s="5" t="str">
        <f t="shared" si="17"/>
        <v>Thu</v>
      </c>
      <c r="N218" s="63">
        <f t="shared" si="18"/>
        <v>7.97</v>
      </c>
      <c r="O218" s="5" t="s">
        <v>758</v>
      </c>
      <c r="P218" s="6">
        <v>46303</v>
      </c>
      <c r="Q218" s="5" t="str">
        <f t="shared" si="19"/>
        <v>Current period</v>
      </c>
      <c r="R218" s="5" t="str">
        <f t="array" ref="R218">_xlfn.XLOOKUP(A218,TRIM(SUBSTITUTE('worker file'!$A$2:$A$406,_xlfn.UNICHAR(160)," ")),'worker file'!$D$2:$D$406,"Not found")</f>
        <v>TX</v>
      </c>
    </row>
    <row r="219" spans="1:18" ht="16" x14ac:dyDescent="0.2">
      <c r="A219" s="5" t="s">
        <v>338</v>
      </c>
      <c r="B219" s="6">
        <v>46304</v>
      </c>
      <c r="C219" s="56">
        <v>0.58333333333333304</v>
      </c>
      <c r="D219" s="56">
        <v>0.93333333333333302</v>
      </c>
      <c r="E219" s="57">
        <v>0.73958333333333304</v>
      </c>
      <c r="F219" s="58">
        <v>0.76041666666666696</v>
      </c>
      <c r="G219" s="59" t="str">
        <f t="array" ref="G219">_xlfn.XLOOKUP(A219&amp;"|"&amp;B219,ShiftRoster[Employee ID]&amp;"|"&amp;ShiftRoster[Date],ShiftRoster[Shift Code],_xlfn.XLOOKUP(A219,TRIM(SUBSTITUTE('worker file'!$A$2:$A$406,_xlfn.UNICHAR(160)," ")),'worker file'!$X$2:$X$406,"?"),0,-1)</f>
        <v>SWNG</v>
      </c>
      <c r="H219" s="59" t="str">
        <f>_xlfn.XLOOKUP(G219,ShiftCodes[Code],ShiftCodes[Work Schedule],"Unknown")</f>
        <v>Shift B – Swing (Mon–Fri 14:00–22:30)</v>
      </c>
      <c r="I219" s="60">
        <f>_xlfn.XLOOKUP(G219,ShiftCodes[Code],ShiftCodes[Start],"")</f>
        <v>0.58333333333333304</v>
      </c>
      <c r="J219" s="61">
        <f t="shared" si="15"/>
        <v>0</v>
      </c>
      <c r="K219" s="59" t="str">
        <f t="shared" si="16"/>
        <v>OK</v>
      </c>
      <c r="L219" s="62"/>
      <c r="M219" s="5" t="str">
        <f t="shared" si="17"/>
        <v>Fri</v>
      </c>
      <c r="N219" s="63">
        <f t="shared" si="18"/>
        <v>7.9</v>
      </c>
      <c r="O219" s="5" t="s">
        <v>758</v>
      </c>
      <c r="P219" s="6">
        <v>46304</v>
      </c>
      <c r="Q219" s="5" t="str">
        <f t="shared" si="19"/>
        <v>Current period</v>
      </c>
      <c r="R219" s="5" t="str">
        <f t="array" ref="R219">_xlfn.XLOOKUP(A219,TRIM(SUBSTITUTE('worker file'!$A$2:$A$406,_xlfn.UNICHAR(160)," ")),'worker file'!$D$2:$D$406,"Not found")</f>
        <v>TX</v>
      </c>
    </row>
    <row r="220" spans="1:18" ht="16" x14ac:dyDescent="0.2">
      <c r="A220" s="5" t="s">
        <v>338</v>
      </c>
      <c r="B220" s="6">
        <v>46307</v>
      </c>
      <c r="C220" s="56">
        <v>0.58402777777777803</v>
      </c>
      <c r="D220" s="56">
        <v>0.93263888888888902</v>
      </c>
      <c r="E220" s="57">
        <v>0.73750000000000004</v>
      </c>
      <c r="F220" s="58">
        <v>0.75833333333333297</v>
      </c>
      <c r="G220" s="59" t="str">
        <f t="array" ref="G220">_xlfn.XLOOKUP(A220&amp;"|"&amp;B220,ShiftRoster[Employee ID]&amp;"|"&amp;ShiftRoster[Date],ShiftRoster[Shift Code],_xlfn.XLOOKUP(A220,TRIM(SUBSTITUTE('worker file'!$A$2:$A$406,_xlfn.UNICHAR(160)," ")),'worker file'!$X$2:$X$406,"?"),0,-1)</f>
        <v>SWNG</v>
      </c>
      <c r="H220" s="59" t="str">
        <f>_xlfn.XLOOKUP(G220,ShiftCodes[Code],ShiftCodes[Work Schedule],"Unknown")</f>
        <v>Shift B – Swing (Mon–Fri 14:00–22:30)</v>
      </c>
      <c r="I220" s="60">
        <f>_xlfn.XLOOKUP(G220,ShiftCodes[Code],ShiftCodes[Start],"")</f>
        <v>0.58333333333333304</v>
      </c>
      <c r="J220" s="61">
        <f t="shared" si="15"/>
        <v>1</v>
      </c>
      <c r="K220" s="59" t="str">
        <f t="shared" si="16"/>
        <v>OK</v>
      </c>
      <c r="L220" s="62"/>
      <c r="M220" s="5" t="str">
        <f t="shared" si="17"/>
        <v>Mon</v>
      </c>
      <c r="N220" s="63">
        <f t="shared" si="18"/>
        <v>7.87</v>
      </c>
      <c r="O220" s="5" t="s">
        <v>758</v>
      </c>
      <c r="P220" s="6">
        <v>46307</v>
      </c>
      <c r="Q220" s="5" t="str">
        <f t="shared" si="19"/>
        <v>Current period</v>
      </c>
      <c r="R220" s="5" t="str">
        <f t="array" ref="R220">_xlfn.XLOOKUP(A220,TRIM(SUBSTITUTE('worker file'!$A$2:$A$406,_xlfn.UNICHAR(160)," ")),'worker file'!$D$2:$D$406,"Not found")</f>
        <v>TX</v>
      </c>
    </row>
    <row r="221" spans="1:18" ht="16" x14ac:dyDescent="0.2">
      <c r="A221" s="5" t="s">
        <v>338</v>
      </c>
      <c r="B221" s="6">
        <v>46308</v>
      </c>
      <c r="C221" s="56">
        <v>0.58472222222222203</v>
      </c>
      <c r="D221" s="56">
        <v>0.938194444444444</v>
      </c>
      <c r="E221" s="57">
        <v>0.74444444444444502</v>
      </c>
      <c r="F221" s="58">
        <v>0.76527777777777795</v>
      </c>
      <c r="G221" s="59" t="str">
        <f t="array" ref="G221">_xlfn.XLOOKUP(A221&amp;"|"&amp;B221,ShiftRoster[Employee ID]&amp;"|"&amp;ShiftRoster[Date],ShiftRoster[Shift Code],_xlfn.XLOOKUP(A221,TRIM(SUBSTITUTE('worker file'!$A$2:$A$406,_xlfn.UNICHAR(160)," ")),'worker file'!$X$2:$X$406,"?"),0,-1)</f>
        <v>SWNG</v>
      </c>
      <c r="H221" s="59" t="str">
        <f>_xlfn.XLOOKUP(G221,ShiftCodes[Code],ShiftCodes[Work Schedule],"Unknown")</f>
        <v>Shift B – Swing (Mon–Fri 14:00–22:30)</v>
      </c>
      <c r="I221" s="60">
        <f>_xlfn.XLOOKUP(G221,ShiftCodes[Code],ShiftCodes[Start],"")</f>
        <v>0.58333333333333304</v>
      </c>
      <c r="J221" s="61">
        <f t="shared" si="15"/>
        <v>2</v>
      </c>
      <c r="K221" s="59" t="str">
        <f t="shared" si="16"/>
        <v>OK</v>
      </c>
      <c r="L221" s="62"/>
      <c r="M221" s="5" t="str">
        <f t="shared" si="17"/>
        <v>Tue</v>
      </c>
      <c r="N221" s="63">
        <f t="shared" si="18"/>
        <v>7.98</v>
      </c>
      <c r="O221" s="5" t="s">
        <v>758</v>
      </c>
      <c r="P221" s="6">
        <v>46308</v>
      </c>
      <c r="Q221" s="5" t="str">
        <f t="shared" si="19"/>
        <v>Current period</v>
      </c>
      <c r="R221" s="5" t="str">
        <f t="array" ref="R221">_xlfn.XLOOKUP(A221,TRIM(SUBSTITUTE('worker file'!$A$2:$A$406,_xlfn.UNICHAR(160)," ")),'worker file'!$D$2:$D$406,"Not found")</f>
        <v>TX</v>
      </c>
    </row>
    <row r="222" spans="1:18" ht="16" x14ac:dyDescent="0.2">
      <c r="A222" s="5" t="s">
        <v>338</v>
      </c>
      <c r="B222" s="6">
        <v>46309</v>
      </c>
      <c r="C222" s="56">
        <v>0.58333333333333304</v>
      </c>
      <c r="D222" s="56">
        <v>0.93194444444444502</v>
      </c>
      <c r="E222" s="57">
        <v>0.75416666666666698</v>
      </c>
      <c r="F222" s="58">
        <v>0.77500000000000002</v>
      </c>
      <c r="G222" s="59" t="str">
        <f t="array" ref="G222">_xlfn.XLOOKUP(A222&amp;"|"&amp;B222,ShiftRoster[Employee ID]&amp;"|"&amp;ShiftRoster[Date],ShiftRoster[Shift Code],_xlfn.XLOOKUP(A222,TRIM(SUBSTITUTE('worker file'!$A$2:$A$406,_xlfn.UNICHAR(160)," ")),'worker file'!$X$2:$X$406,"?"),0,-1)</f>
        <v>SWNG</v>
      </c>
      <c r="H222" s="59" t="str">
        <f>_xlfn.XLOOKUP(G222,ShiftCodes[Code],ShiftCodes[Work Schedule],"Unknown")</f>
        <v>Shift B – Swing (Mon–Fri 14:00–22:30)</v>
      </c>
      <c r="I222" s="60">
        <f>_xlfn.XLOOKUP(G222,ShiftCodes[Code],ShiftCodes[Start],"")</f>
        <v>0.58333333333333304</v>
      </c>
      <c r="J222" s="61">
        <f t="shared" si="15"/>
        <v>0</v>
      </c>
      <c r="K222" s="59" t="str">
        <f t="shared" si="16"/>
        <v>OK</v>
      </c>
      <c r="L222" s="62"/>
      <c r="M222" s="5" t="str">
        <f t="shared" si="17"/>
        <v>Wed</v>
      </c>
      <c r="N222" s="63">
        <f t="shared" si="18"/>
        <v>7.87</v>
      </c>
      <c r="O222" s="5" t="s">
        <v>758</v>
      </c>
      <c r="P222" s="6">
        <v>46309</v>
      </c>
      <c r="Q222" s="5" t="str">
        <f t="shared" si="19"/>
        <v>Current period</v>
      </c>
      <c r="R222" s="5" t="str">
        <f t="array" ref="R222">_xlfn.XLOOKUP(A222,TRIM(SUBSTITUTE('worker file'!$A$2:$A$406,_xlfn.UNICHAR(160)," ")),'worker file'!$D$2:$D$406,"Not found")</f>
        <v>TX</v>
      </c>
    </row>
    <row r="223" spans="1:18" ht="16" x14ac:dyDescent="0.2">
      <c r="A223" s="5" t="s">
        <v>338</v>
      </c>
      <c r="B223" s="6">
        <v>46310</v>
      </c>
      <c r="C223" s="56">
        <v>0.58125000000000004</v>
      </c>
      <c r="D223" s="56">
        <v>0.93333333333333302</v>
      </c>
      <c r="E223" s="57">
        <v>0.74861111111111101</v>
      </c>
      <c r="F223" s="58">
        <v>0.76944444444444504</v>
      </c>
      <c r="G223" s="59" t="str">
        <f t="array" ref="G223">_xlfn.XLOOKUP(A223&amp;"|"&amp;B223,ShiftRoster[Employee ID]&amp;"|"&amp;ShiftRoster[Date],ShiftRoster[Shift Code],_xlfn.XLOOKUP(A223,TRIM(SUBSTITUTE('worker file'!$A$2:$A$406,_xlfn.UNICHAR(160)," ")),'worker file'!$X$2:$X$406,"?"),0,-1)</f>
        <v>SWNG</v>
      </c>
      <c r="H223" s="59" t="str">
        <f>_xlfn.XLOOKUP(G223,ShiftCodes[Code],ShiftCodes[Work Schedule],"Unknown")</f>
        <v>Shift B – Swing (Mon–Fri 14:00–22:30)</v>
      </c>
      <c r="I223" s="60">
        <f>_xlfn.XLOOKUP(G223,ShiftCodes[Code],ShiftCodes[Start],"")</f>
        <v>0.58333333333333304</v>
      </c>
      <c r="J223" s="61">
        <f t="shared" si="15"/>
        <v>-3</v>
      </c>
      <c r="K223" s="59" t="str">
        <f t="shared" si="16"/>
        <v>OK</v>
      </c>
      <c r="L223" s="62"/>
      <c r="M223" s="5" t="str">
        <f t="shared" si="17"/>
        <v>Thu</v>
      </c>
      <c r="N223" s="63">
        <f t="shared" si="18"/>
        <v>7.95</v>
      </c>
      <c r="O223" s="5" t="s">
        <v>758</v>
      </c>
      <c r="P223" s="6">
        <v>46310</v>
      </c>
      <c r="Q223" s="5" t="str">
        <f t="shared" si="19"/>
        <v>Current period</v>
      </c>
      <c r="R223" s="5" t="str">
        <f t="array" ref="R223">_xlfn.XLOOKUP(A223,TRIM(SUBSTITUTE('worker file'!$A$2:$A$406,_xlfn.UNICHAR(160)," ")),'worker file'!$D$2:$D$406,"Not found")</f>
        <v>TX</v>
      </c>
    </row>
    <row r="224" spans="1:18" ht="16" x14ac:dyDescent="0.2">
      <c r="A224" s="5" t="s">
        <v>338</v>
      </c>
      <c r="B224" s="6">
        <v>46311</v>
      </c>
      <c r="C224" s="56">
        <v>0.58611111111111103</v>
      </c>
      <c r="D224" s="56">
        <v>0.93472222222222201</v>
      </c>
      <c r="E224" s="57">
        <v>0.75347222222222199</v>
      </c>
      <c r="F224" s="58">
        <v>0.77430555555555602</v>
      </c>
      <c r="G224" s="59" t="str">
        <f t="array" ref="G224">_xlfn.XLOOKUP(A224&amp;"|"&amp;B224,ShiftRoster[Employee ID]&amp;"|"&amp;ShiftRoster[Date],ShiftRoster[Shift Code],_xlfn.XLOOKUP(A224,TRIM(SUBSTITUTE('worker file'!$A$2:$A$406,_xlfn.UNICHAR(160)," ")),'worker file'!$X$2:$X$406,"?"),0,-1)</f>
        <v>SWNG</v>
      </c>
      <c r="H224" s="59" t="str">
        <f>_xlfn.XLOOKUP(G224,ShiftCodes[Code],ShiftCodes[Work Schedule],"Unknown")</f>
        <v>Shift B – Swing (Mon–Fri 14:00–22:30)</v>
      </c>
      <c r="I224" s="60">
        <f>_xlfn.XLOOKUP(G224,ShiftCodes[Code],ShiftCodes[Start],"")</f>
        <v>0.58333333333333304</v>
      </c>
      <c r="J224" s="61">
        <f t="shared" si="15"/>
        <v>4</v>
      </c>
      <c r="K224" s="59" t="str">
        <f t="shared" si="16"/>
        <v>OK</v>
      </c>
      <c r="L224" s="62"/>
      <c r="M224" s="5" t="str">
        <f t="shared" si="17"/>
        <v>Fri</v>
      </c>
      <c r="N224" s="63">
        <f t="shared" si="18"/>
        <v>7.87</v>
      </c>
      <c r="O224" s="5" t="s">
        <v>758</v>
      </c>
      <c r="P224" s="6">
        <v>46311</v>
      </c>
      <c r="Q224" s="5" t="str">
        <f t="shared" si="19"/>
        <v>Current period</v>
      </c>
      <c r="R224" s="5" t="str">
        <f t="array" ref="R224">_xlfn.XLOOKUP(A224,TRIM(SUBSTITUTE('worker file'!$A$2:$A$406,_xlfn.UNICHAR(160)," ")),'worker file'!$D$2:$D$406,"Not found")</f>
        <v>TX</v>
      </c>
    </row>
    <row r="225" spans="1:18" ht="16" x14ac:dyDescent="0.2">
      <c r="A225" s="5" t="s">
        <v>351</v>
      </c>
      <c r="B225" s="6">
        <v>46300</v>
      </c>
      <c r="C225" s="56">
        <v>0.25208333333333299</v>
      </c>
      <c r="D225" s="56">
        <v>0.60486111111111096</v>
      </c>
      <c r="E225" s="57">
        <v>0.41388888888888897</v>
      </c>
      <c r="F225" s="58">
        <v>0.43472222222222201</v>
      </c>
      <c r="G225" s="59" t="str">
        <f t="array" ref="G225">_xlfn.XLOOKUP(A225&amp;"|"&amp;B225,ShiftRoster[Employee ID]&amp;"|"&amp;ShiftRoster[Date],ShiftRoster[Shift Code],_xlfn.XLOOKUP(A225,TRIM(SUBSTITUTE('worker file'!$A$2:$A$406,_xlfn.UNICHAR(160)," ")),'worker file'!$X$2:$X$406,"?"),0,-1)</f>
        <v>DAY</v>
      </c>
      <c r="H225" s="59" t="str">
        <f>_xlfn.XLOOKUP(G225,ShiftCodes[Code],ShiftCodes[Work Schedule],"Unknown")</f>
        <v>Shift A – Day (Mon–Fri 06:00–14:30)</v>
      </c>
      <c r="I225" s="60">
        <f>_xlfn.XLOOKUP(G225,ShiftCodes[Code],ShiftCodes[Start],"")</f>
        <v>0.25</v>
      </c>
      <c r="J225" s="61">
        <f t="shared" si="15"/>
        <v>3</v>
      </c>
      <c r="K225" s="59" t="str">
        <f t="shared" si="16"/>
        <v>OK</v>
      </c>
      <c r="L225" s="62"/>
      <c r="M225" s="5" t="str">
        <f t="shared" si="17"/>
        <v>Mon</v>
      </c>
      <c r="N225" s="63">
        <f t="shared" si="18"/>
        <v>7.97</v>
      </c>
      <c r="O225" s="5" t="s">
        <v>758</v>
      </c>
      <c r="P225" s="6">
        <v>46300</v>
      </c>
      <c r="Q225" s="5" t="str">
        <f t="shared" si="19"/>
        <v>Current period</v>
      </c>
      <c r="R225" s="5" t="str">
        <f t="array" ref="R225">_xlfn.XLOOKUP(A225,TRIM(SUBSTITUTE('worker file'!$A$2:$A$406,_xlfn.UNICHAR(160)," ")),'worker file'!$D$2:$D$406,"Not found")</f>
        <v>CA</v>
      </c>
    </row>
    <row r="226" spans="1:18" ht="16" x14ac:dyDescent="0.2">
      <c r="A226" s="5" t="s">
        <v>351</v>
      </c>
      <c r="B226" s="6">
        <v>46301</v>
      </c>
      <c r="C226" s="56">
        <v>0.25277777777777799</v>
      </c>
      <c r="D226" s="56">
        <v>0.60624999999999996</v>
      </c>
      <c r="E226" s="57">
        <v>0.40208333333333302</v>
      </c>
      <c r="F226" s="58">
        <v>0.422916666666667</v>
      </c>
      <c r="G226" s="59" t="str">
        <f t="array" ref="G226">_xlfn.XLOOKUP(A226&amp;"|"&amp;B226,ShiftRoster[Employee ID]&amp;"|"&amp;ShiftRoster[Date],ShiftRoster[Shift Code],_xlfn.XLOOKUP(A226,TRIM(SUBSTITUTE('worker file'!$A$2:$A$406,_xlfn.UNICHAR(160)," ")),'worker file'!$X$2:$X$406,"?"),0,-1)</f>
        <v>DAY</v>
      </c>
      <c r="H226" s="59" t="str">
        <f>_xlfn.XLOOKUP(G226,ShiftCodes[Code],ShiftCodes[Work Schedule],"Unknown")</f>
        <v>Shift A – Day (Mon–Fri 06:00–14:30)</v>
      </c>
      <c r="I226" s="60">
        <f>_xlfn.XLOOKUP(G226,ShiftCodes[Code],ShiftCodes[Start],"")</f>
        <v>0.25</v>
      </c>
      <c r="J226" s="61">
        <f t="shared" si="15"/>
        <v>4</v>
      </c>
      <c r="K226" s="59" t="str">
        <f t="shared" si="16"/>
        <v>OK</v>
      </c>
      <c r="L226" s="62"/>
      <c r="M226" s="5" t="str">
        <f t="shared" si="17"/>
        <v>Tue</v>
      </c>
      <c r="N226" s="63">
        <f t="shared" si="18"/>
        <v>7.98</v>
      </c>
      <c r="O226" s="5" t="s">
        <v>758</v>
      </c>
      <c r="P226" s="6">
        <v>46301</v>
      </c>
      <c r="Q226" s="5" t="str">
        <f t="shared" si="19"/>
        <v>Current period</v>
      </c>
      <c r="R226" s="5" t="str">
        <f t="array" ref="R226">_xlfn.XLOOKUP(A226,TRIM(SUBSTITUTE('worker file'!$A$2:$A$406,_xlfn.UNICHAR(160)," ")),'worker file'!$D$2:$D$406,"Not found")</f>
        <v>CA</v>
      </c>
    </row>
    <row r="227" spans="1:18" ht="16" x14ac:dyDescent="0.2">
      <c r="A227" s="5" t="s">
        <v>351</v>
      </c>
      <c r="B227" s="6">
        <v>46302</v>
      </c>
      <c r="C227" s="56">
        <v>0.24791666666666701</v>
      </c>
      <c r="D227" s="56">
        <v>0.60208333333333297</v>
      </c>
      <c r="E227" s="57">
        <v>0.39513888888888898</v>
      </c>
      <c r="F227" s="58">
        <v>0.41597222222222202</v>
      </c>
      <c r="G227" s="59" t="str">
        <f t="array" ref="G227">_xlfn.XLOOKUP(A227&amp;"|"&amp;B227,ShiftRoster[Employee ID]&amp;"|"&amp;ShiftRoster[Date],ShiftRoster[Shift Code],_xlfn.XLOOKUP(A227,TRIM(SUBSTITUTE('worker file'!$A$2:$A$406,_xlfn.UNICHAR(160)," ")),'worker file'!$X$2:$X$406,"?"),0,-1)</f>
        <v>DAY</v>
      </c>
      <c r="H227" s="59" t="str">
        <f>_xlfn.XLOOKUP(G227,ShiftCodes[Code],ShiftCodes[Work Schedule],"Unknown")</f>
        <v>Shift A – Day (Mon–Fri 06:00–14:30)</v>
      </c>
      <c r="I227" s="60">
        <f>_xlfn.XLOOKUP(G227,ShiftCodes[Code],ShiftCodes[Start],"")</f>
        <v>0.25</v>
      </c>
      <c r="J227" s="61">
        <f t="shared" si="15"/>
        <v>-3</v>
      </c>
      <c r="K227" s="59" t="str">
        <f t="shared" si="16"/>
        <v>OK</v>
      </c>
      <c r="L227" s="62"/>
      <c r="M227" s="5" t="str">
        <f t="shared" si="17"/>
        <v>Wed</v>
      </c>
      <c r="N227" s="63">
        <f t="shared" si="18"/>
        <v>8</v>
      </c>
      <c r="O227" s="5" t="s">
        <v>758</v>
      </c>
      <c r="P227" s="6">
        <v>46302</v>
      </c>
      <c r="Q227" s="5" t="str">
        <f t="shared" si="19"/>
        <v>Current period</v>
      </c>
      <c r="R227" s="5" t="str">
        <f t="array" ref="R227">_xlfn.XLOOKUP(A227,TRIM(SUBSTITUTE('worker file'!$A$2:$A$406,_xlfn.UNICHAR(160)," ")),'worker file'!$D$2:$D$406,"Not found")</f>
        <v>CA</v>
      </c>
    </row>
    <row r="228" spans="1:18" ht="16" x14ac:dyDescent="0.2">
      <c r="A228" s="5" t="s">
        <v>351</v>
      </c>
      <c r="B228" s="6">
        <v>46303</v>
      </c>
      <c r="C228" s="56">
        <v>0.24722222222222201</v>
      </c>
      <c r="D228" s="56">
        <v>0.6</v>
      </c>
      <c r="E228" s="57">
        <v>0.39374999999999999</v>
      </c>
      <c r="F228" s="58">
        <v>0.41458333333333303</v>
      </c>
      <c r="G228" s="59" t="str">
        <f t="array" ref="G228">_xlfn.XLOOKUP(A228&amp;"|"&amp;B228,ShiftRoster[Employee ID]&amp;"|"&amp;ShiftRoster[Date],ShiftRoster[Shift Code],_xlfn.XLOOKUP(A228,TRIM(SUBSTITUTE('worker file'!$A$2:$A$406,_xlfn.UNICHAR(160)," ")),'worker file'!$X$2:$X$406,"?"),0,-1)</f>
        <v>DAY</v>
      </c>
      <c r="H228" s="59" t="str">
        <f>_xlfn.XLOOKUP(G228,ShiftCodes[Code],ShiftCodes[Work Schedule],"Unknown")</f>
        <v>Shift A – Day (Mon–Fri 06:00–14:30)</v>
      </c>
      <c r="I228" s="60">
        <f>_xlfn.XLOOKUP(G228,ShiftCodes[Code],ShiftCodes[Start],"")</f>
        <v>0.25</v>
      </c>
      <c r="J228" s="61">
        <f t="shared" si="15"/>
        <v>-4</v>
      </c>
      <c r="K228" s="59" t="str">
        <f t="shared" si="16"/>
        <v>OK</v>
      </c>
      <c r="L228" s="62"/>
      <c r="M228" s="5" t="str">
        <f t="shared" si="17"/>
        <v>Thu</v>
      </c>
      <c r="N228" s="63">
        <f t="shared" si="18"/>
        <v>7.97</v>
      </c>
      <c r="O228" s="5" t="s">
        <v>758</v>
      </c>
      <c r="P228" s="6">
        <v>46303</v>
      </c>
      <c r="Q228" s="5" t="str">
        <f t="shared" si="19"/>
        <v>Current period</v>
      </c>
      <c r="R228" s="5" t="str">
        <f t="array" ref="R228">_xlfn.XLOOKUP(A228,TRIM(SUBSTITUTE('worker file'!$A$2:$A$406,_xlfn.UNICHAR(160)," ")),'worker file'!$D$2:$D$406,"Not found")</f>
        <v>CA</v>
      </c>
    </row>
    <row r="229" spans="1:18" ht="16" x14ac:dyDescent="0.2">
      <c r="A229" s="5" t="s">
        <v>351</v>
      </c>
      <c r="B229" s="6">
        <v>46304</v>
      </c>
      <c r="C229" s="56">
        <v>0.25</v>
      </c>
      <c r="D229" s="56">
        <v>0.60208333333333297</v>
      </c>
      <c r="E229" s="57">
        <v>0.41805555555555601</v>
      </c>
      <c r="F229" s="58">
        <v>0.43888888888888899</v>
      </c>
      <c r="G229" s="59" t="str">
        <f t="array" ref="G229">_xlfn.XLOOKUP(A229&amp;"|"&amp;B229,ShiftRoster[Employee ID]&amp;"|"&amp;ShiftRoster[Date],ShiftRoster[Shift Code],_xlfn.XLOOKUP(A229,TRIM(SUBSTITUTE('worker file'!$A$2:$A$406,_xlfn.UNICHAR(160)," ")),'worker file'!$X$2:$X$406,"?"),0,-1)</f>
        <v>DAY</v>
      </c>
      <c r="H229" s="59" t="str">
        <f>_xlfn.XLOOKUP(G229,ShiftCodes[Code],ShiftCodes[Work Schedule],"Unknown")</f>
        <v>Shift A – Day (Mon–Fri 06:00–14:30)</v>
      </c>
      <c r="I229" s="60">
        <f>_xlfn.XLOOKUP(G229,ShiftCodes[Code],ShiftCodes[Start],"")</f>
        <v>0.25</v>
      </c>
      <c r="J229" s="61">
        <f t="shared" si="15"/>
        <v>0</v>
      </c>
      <c r="K229" s="59" t="str">
        <f t="shared" si="16"/>
        <v>OK</v>
      </c>
      <c r="L229" s="62"/>
      <c r="M229" s="5" t="str">
        <f t="shared" si="17"/>
        <v>Fri</v>
      </c>
      <c r="N229" s="63">
        <f t="shared" si="18"/>
        <v>7.95</v>
      </c>
      <c r="O229" s="5" t="s">
        <v>758</v>
      </c>
      <c r="P229" s="6">
        <v>46304</v>
      </c>
      <c r="Q229" s="5" t="str">
        <f t="shared" si="19"/>
        <v>Current period</v>
      </c>
      <c r="R229" s="5" t="str">
        <f t="array" ref="R229">_xlfn.XLOOKUP(A229,TRIM(SUBSTITUTE('worker file'!$A$2:$A$406,_xlfn.UNICHAR(160)," ")),'worker file'!$D$2:$D$406,"Not found")</f>
        <v>CA</v>
      </c>
    </row>
    <row r="230" spans="1:18" ht="16" x14ac:dyDescent="0.2">
      <c r="A230" s="5" t="s">
        <v>351</v>
      </c>
      <c r="B230" s="6">
        <v>46307</v>
      </c>
      <c r="C230" s="56">
        <v>0.24583333333333299</v>
      </c>
      <c r="D230" s="56">
        <v>0.59513888888888899</v>
      </c>
      <c r="E230" s="57">
        <v>0.406944444444444</v>
      </c>
      <c r="F230" s="58">
        <v>0.42777777777777798</v>
      </c>
      <c r="G230" s="59" t="str">
        <f t="array" ref="G230">_xlfn.XLOOKUP(A230&amp;"|"&amp;B230,ShiftRoster[Employee ID]&amp;"|"&amp;ShiftRoster[Date],ShiftRoster[Shift Code],_xlfn.XLOOKUP(A230,TRIM(SUBSTITUTE('worker file'!$A$2:$A$406,_xlfn.UNICHAR(160)," ")),'worker file'!$X$2:$X$406,"?"),0,-1)</f>
        <v>DAY</v>
      </c>
      <c r="H230" s="59" t="str">
        <f>_xlfn.XLOOKUP(G230,ShiftCodes[Code],ShiftCodes[Work Schedule],"Unknown")</f>
        <v>Shift A – Day (Mon–Fri 06:00–14:30)</v>
      </c>
      <c r="I230" s="60">
        <f>_xlfn.XLOOKUP(G230,ShiftCodes[Code],ShiftCodes[Start],"")</f>
        <v>0.25</v>
      </c>
      <c r="J230" s="61">
        <f t="shared" si="15"/>
        <v>-6</v>
      </c>
      <c r="K230" s="59" t="str">
        <f t="shared" si="16"/>
        <v>OK</v>
      </c>
      <c r="L230" s="62"/>
      <c r="M230" s="5" t="str">
        <f t="shared" si="17"/>
        <v>Mon</v>
      </c>
      <c r="N230" s="63">
        <f t="shared" si="18"/>
        <v>7.88</v>
      </c>
      <c r="O230" s="5" t="s">
        <v>758</v>
      </c>
      <c r="P230" s="6">
        <v>46307</v>
      </c>
      <c r="Q230" s="5" t="str">
        <f t="shared" si="19"/>
        <v>Current period</v>
      </c>
      <c r="R230" s="5" t="str">
        <f t="array" ref="R230">_xlfn.XLOOKUP(A230,TRIM(SUBSTITUTE('worker file'!$A$2:$A$406,_xlfn.UNICHAR(160)," ")),'worker file'!$D$2:$D$406,"Not found")</f>
        <v>CA</v>
      </c>
    </row>
    <row r="231" spans="1:18" ht="16" x14ac:dyDescent="0.2">
      <c r="A231" s="5" t="s">
        <v>351</v>
      </c>
      <c r="B231" s="6">
        <v>46308</v>
      </c>
      <c r="C231" s="56">
        <v>0.25</v>
      </c>
      <c r="D231" s="56">
        <v>0.60416666666666696</v>
      </c>
      <c r="E231" s="57">
        <v>0.40416666666666701</v>
      </c>
      <c r="F231" s="58">
        <v>0.42499999999999999</v>
      </c>
      <c r="G231" s="59" t="str">
        <f t="array" ref="G231">_xlfn.XLOOKUP(A231&amp;"|"&amp;B231,ShiftRoster[Employee ID]&amp;"|"&amp;ShiftRoster[Date],ShiftRoster[Shift Code],_xlfn.XLOOKUP(A231,TRIM(SUBSTITUTE('worker file'!$A$2:$A$406,_xlfn.UNICHAR(160)," ")),'worker file'!$X$2:$X$406,"?"),0,-1)</f>
        <v>DAY</v>
      </c>
      <c r="H231" s="59" t="str">
        <f>_xlfn.XLOOKUP(G231,ShiftCodes[Code],ShiftCodes[Work Schedule],"Unknown")</f>
        <v>Shift A – Day (Mon–Fri 06:00–14:30)</v>
      </c>
      <c r="I231" s="60">
        <f>_xlfn.XLOOKUP(G231,ShiftCodes[Code],ShiftCodes[Start],"")</f>
        <v>0.25</v>
      </c>
      <c r="J231" s="61">
        <f t="shared" si="15"/>
        <v>0</v>
      </c>
      <c r="K231" s="59" t="str">
        <f t="shared" si="16"/>
        <v>OK</v>
      </c>
      <c r="L231" s="62"/>
      <c r="M231" s="5" t="str">
        <f t="shared" si="17"/>
        <v>Tue</v>
      </c>
      <c r="N231" s="63">
        <f t="shared" si="18"/>
        <v>8</v>
      </c>
      <c r="O231" s="5" t="s">
        <v>758</v>
      </c>
      <c r="P231" s="6">
        <v>46308</v>
      </c>
      <c r="Q231" s="5" t="str">
        <f t="shared" si="19"/>
        <v>Current period</v>
      </c>
      <c r="R231" s="5" t="str">
        <f t="array" ref="R231">_xlfn.XLOOKUP(A231,TRIM(SUBSTITUTE('worker file'!$A$2:$A$406,_xlfn.UNICHAR(160)," ")),'worker file'!$D$2:$D$406,"Not found")</f>
        <v>CA</v>
      </c>
    </row>
    <row r="232" spans="1:18" ht="16" x14ac:dyDescent="0.2">
      <c r="A232" s="5" t="s">
        <v>351</v>
      </c>
      <c r="B232" s="6">
        <v>46309</v>
      </c>
      <c r="C232" s="56">
        <v>0.24722222222222201</v>
      </c>
      <c r="D232" s="56">
        <v>0.59861111111111098</v>
      </c>
      <c r="E232" s="57">
        <v>0.40416666666666701</v>
      </c>
      <c r="F232" s="58">
        <v>0.42499999999999999</v>
      </c>
      <c r="G232" s="59" t="str">
        <f t="array" ref="G232">_xlfn.XLOOKUP(A232&amp;"|"&amp;B232,ShiftRoster[Employee ID]&amp;"|"&amp;ShiftRoster[Date],ShiftRoster[Shift Code],_xlfn.XLOOKUP(A232,TRIM(SUBSTITUTE('worker file'!$A$2:$A$406,_xlfn.UNICHAR(160)," ")),'worker file'!$X$2:$X$406,"?"),0,-1)</f>
        <v>DAY</v>
      </c>
      <c r="H232" s="59" t="str">
        <f>_xlfn.XLOOKUP(G232,ShiftCodes[Code],ShiftCodes[Work Schedule],"Unknown")</f>
        <v>Shift A – Day (Mon–Fri 06:00–14:30)</v>
      </c>
      <c r="I232" s="60">
        <f>_xlfn.XLOOKUP(G232,ShiftCodes[Code],ShiftCodes[Start],"")</f>
        <v>0.25</v>
      </c>
      <c r="J232" s="61">
        <f t="shared" si="15"/>
        <v>-4</v>
      </c>
      <c r="K232" s="59" t="str">
        <f t="shared" si="16"/>
        <v>OK</v>
      </c>
      <c r="L232" s="62"/>
      <c r="M232" s="5" t="str">
        <f t="shared" si="17"/>
        <v>Wed</v>
      </c>
      <c r="N232" s="63">
        <f t="shared" si="18"/>
        <v>7.93</v>
      </c>
      <c r="O232" s="5" t="s">
        <v>758</v>
      </c>
      <c r="P232" s="6">
        <v>46309</v>
      </c>
      <c r="Q232" s="5" t="str">
        <f t="shared" si="19"/>
        <v>Current period</v>
      </c>
      <c r="R232" s="5" t="str">
        <f t="array" ref="R232">_xlfn.XLOOKUP(A232,TRIM(SUBSTITUTE('worker file'!$A$2:$A$406,_xlfn.UNICHAR(160)," ")),'worker file'!$D$2:$D$406,"Not found")</f>
        <v>CA</v>
      </c>
    </row>
    <row r="233" spans="1:18" ht="16" x14ac:dyDescent="0.2">
      <c r="A233" s="5" t="s">
        <v>351</v>
      </c>
      <c r="B233" s="6">
        <v>46310</v>
      </c>
      <c r="C233" s="56">
        <v>0.249305555555556</v>
      </c>
      <c r="D233" s="56">
        <v>0.60069444444444398</v>
      </c>
      <c r="E233" s="57">
        <v>0.422916666666667</v>
      </c>
      <c r="F233" s="58">
        <v>0.44374999999999998</v>
      </c>
      <c r="G233" s="59" t="str">
        <f t="array" ref="G233">_xlfn.XLOOKUP(A233&amp;"|"&amp;B233,ShiftRoster[Employee ID]&amp;"|"&amp;ShiftRoster[Date],ShiftRoster[Shift Code],_xlfn.XLOOKUP(A233,TRIM(SUBSTITUTE('worker file'!$A$2:$A$406,_xlfn.UNICHAR(160)," ")),'worker file'!$X$2:$X$406,"?"),0,-1)</f>
        <v>DAY</v>
      </c>
      <c r="H233" s="59" t="str">
        <f>_xlfn.XLOOKUP(G233,ShiftCodes[Code],ShiftCodes[Work Schedule],"Unknown")</f>
        <v>Shift A – Day (Mon–Fri 06:00–14:30)</v>
      </c>
      <c r="I233" s="60">
        <f>_xlfn.XLOOKUP(G233,ShiftCodes[Code],ShiftCodes[Start],"")</f>
        <v>0.25</v>
      </c>
      <c r="J233" s="61">
        <f t="shared" si="15"/>
        <v>-1</v>
      </c>
      <c r="K233" s="59" t="str">
        <f t="shared" si="16"/>
        <v>OK</v>
      </c>
      <c r="L233" s="62"/>
      <c r="M233" s="5" t="str">
        <f t="shared" si="17"/>
        <v>Thu</v>
      </c>
      <c r="N233" s="63">
        <f t="shared" si="18"/>
        <v>7.93</v>
      </c>
      <c r="O233" s="5" t="s">
        <v>758</v>
      </c>
      <c r="P233" s="6">
        <v>46310</v>
      </c>
      <c r="Q233" s="5" t="str">
        <f t="shared" si="19"/>
        <v>Current period</v>
      </c>
      <c r="R233" s="5" t="str">
        <f t="array" ref="R233">_xlfn.XLOOKUP(A233,TRIM(SUBSTITUTE('worker file'!$A$2:$A$406,_xlfn.UNICHAR(160)," ")),'worker file'!$D$2:$D$406,"Not found")</f>
        <v>CA</v>
      </c>
    </row>
    <row r="234" spans="1:18" ht="16" x14ac:dyDescent="0.2">
      <c r="A234" s="5" t="s">
        <v>351</v>
      </c>
      <c r="B234" s="6">
        <v>46311</v>
      </c>
      <c r="C234" s="56">
        <v>0.24722222222222201</v>
      </c>
      <c r="D234" s="56">
        <v>0.59861111111111098</v>
      </c>
      <c r="E234" s="57">
        <v>0.43125000000000002</v>
      </c>
      <c r="F234" s="58">
        <v>0.452083333333333</v>
      </c>
      <c r="G234" s="59" t="str">
        <f t="array" ref="G234">_xlfn.XLOOKUP(A234&amp;"|"&amp;B234,ShiftRoster[Employee ID]&amp;"|"&amp;ShiftRoster[Date],ShiftRoster[Shift Code],_xlfn.XLOOKUP(A234,TRIM(SUBSTITUTE('worker file'!$A$2:$A$406,_xlfn.UNICHAR(160)," ")),'worker file'!$X$2:$X$406,"?"),0,-1)</f>
        <v>DAY</v>
      </c>
      <c r="H234" s="59" t="str">
        <f>_xlfn.XLOOKUP(G234,ShiftCodes[Code],ShiftCodes[Work Schedule],"Unknown")</f>
        <v>Shift A – Day (Mon–Fri 06:00–14:30)</v>
      </c>
      <c r="I234" s="60">
        <f>_xlfn.XLOOKUP(G234,ShiftCodes[Code],ShiftCodes[Start],"")</f>
        <v>0.25</v>
      </c>
      <c r="J234" s="61">
        <f t="shared" si="15"/>
        <v>-4</v>
      </c>
      <c r="K234" s="59" t="str">
        <f t="shared" si="16"/>
        <v>OK</v>
      </c>
      <c r="L234" s="62"/>
      <c r="M234" s="5" t="str">
        <f t="shared" si="17"/>
        <v>Fri</v>
      </c>
      <c r="N234" s="63">
        <f t="shared" si="18"/>
        <v>7.93</v>
      </c>
      <c r="O234" s="5" t="s">
        <v>758</v>
      </c>
      <c r="P234" s="6">
        <v>46311</v>
      </c>
      <c r="Q234" s="5" t="str">
        <f t="shared" si="19"/>
        <v>Current period</v>
      </c>
      <c r="R234" s="5" t="str">
        <f t="array" ref="R234">_xlfn.XLOOKUP(A234,TRIM(SUBSTITUTE('worker file'!$A$2:$A$406,_xlfn.UNICHAR(160)," ")),'worker file'!$D$2:$D$406,"Not found")</f>
        <v>CA</v>
      </c>
    </row>
    <row r="235" spans="1:18" ht="16" x14ac:dyDescent="0.2">
      <c r="A235" s="5" t="s">
        <v>354</v>
      </c>
      <c r="B235" s="6">
        <v>46300</v>
      </c>
      <c r="C235" s="56">
        <v>0.58611111111111103</v>
      </c>
      <c r="D235" s="56">
        <v>0.93472222222222201</v>
      </c>
      <c r="E235" s="57">
        <v>0.75833333333333297</v>
      </c>
      <c r="F235" s="58">
        <v>0.77916666666666701</v>
      </c>
      <c r="G235" s="59" t="str">
        <f t="array" ref="G235">_xlfn.XLOOKUP(A235&amp;"|"&amp;B235,ShiftRoster[Employee ID]&amp;"|"&amp;ShiftRoster[Date],ShiftRoster[Shift Code],_xlfn.XLOOKUP(A235,TRIM(SUBSTITUTE('worker file'!$A$2:$A$406,_xlfn.UNICHAR(160)," ")),'worker file'!$X$2:$X$406,"?"),0,-1)</f>
        <v>SWNG</v>
      </c>
      <c r="H235" s="59" t="str">
        <f>_xlfn.XLOOKUP(G235,ShiftCodes[Code],ShiftCodes[Work Schedule],"Unknown")</f>
        <v>Shift B – Swing (Mon–Fri 14:00–22:30)</v>
      </c>
      <c r="I235" s="60">
        <f>_xlfn.XLOOKUP(G235,ShiftCodes[Code],ShiftCodes[Start],"")</f>
        <v>0.58333333333333304</v>
      </c>
      <c r="J235" s="61">
        <f t="shared" si="15"/>
        <v>4</v>
      </c>
      <c r="K235" s="59" t="str">
        <f t="shared" si="16"/>
        <v>OK</v>
      </c>
      <c r="L235" s="62"/>
      <c r="M235" s="5" t="str">
        <f t="shared" si="17"/>
        <v>Mon</v>
      </c>
      <c r="N235" s="63">
        <f t="shared" si="18"/>
        <v>7.87</v>
      </c>
      <c r="O235" s="5" t="s">
        <v>758</v>
      </c>
      <c r="P235" s="6">
        <v>46300</v>
      </c>
      <c r="Q235" s="5" t="str">
        <f t="shared" si="19"/>
        <v>Current period</v>
      </c>
      <c r="R235" s="5" t="str">
        <f t="array" ref="R235">_xlfn.XLOOKUP(A235,TRIM(SUBSTITUTE('worker file'!$A$2:$A$406,_xlfn.UNICHAR(160)," ")),'worker file'!$D$2:$D$406,"Not found")</f>
        <v>CA</v>
      </c>
    </row>
    <row r="236" spans="1:18" ht="16" x14ac:dyDescent="0.2">
      <c r="A236" s="5" t="s">
        <v>354</v>
      </c>
      <c r="B236" s="6">
        <v>46301</v>
      </c>
      <c r="C236" s="56">
        <v>0.58263888888888904</v>
      </c>
      <c r="D236" s="56">
        <v>0.93472222222222201</v>
      </c>
      <c r="E236" s="57">
        <v>0.75694444444444398</v>
      </c>
      <c r="F236" s="58">
        <v>0.77777777777777801</v>
      </c>
      <c r="G236" s="59" t="str">
        <f t="array" ref="G236">_xlfn.XLOOKUP(A236&amp;"|"&amp;B236,ShiftRoster[Employee ID]&amp;"|"&amp;ShiftRoster[Date],ShiftRoster[Shift Code],_xlfn.XLOOKUP(A236,TRIM(SUBSTITUTE('worker file'!$A$2:$A$406,_xlfn.UNICHAR(160)," ")),'worker file'!$X$2:$X$406,"?"),0,-1)</f>
        <v>SWNG</v>
      </c>
      <c r="H236" s="59" t="str">
        <f>_xlfn.XLOOKUP(G236,ShiftCodes[Code],ShiftCodes[Work Schedule],"Unknown")</f>
        <v>Shift B – Swing (Mon–Fri 14:00–22:30)</v>
      </c>
      <c r="I236" s="60">
        <f>_xlfn.XLOOKUP(G236,ShiftCodes[Code],ShiftCodes[Start],"")</f>
        <v>0.58333333333333304</v>
      </c>
      <c r="J236" s="61">
        <f t="shared" si="15"/>
        <v>-1</v>
      </c>
      <c r="K236" s="59" t="str">
        <f t="shared" si="16"/>
        <v>OK</v>
      </c>
      <c r="L236" s="62"/>
      <c r="M236" s="5" t="str">
        <f t="shared" si="17"/>
        <v>Tue</v>
      </c>
      <c r="N236" s="63">
        <f t="shared" si="18"/>
        <v>7.95</v>
      </c>
      <c r="O236" s="5" t="s">
        <v>758</v>
      </c>
      <c r="P236" s="6">
        <v>46301</v>
      </c>
      <c r="Q236" s="5" t="str">
        <f t="shared" si="19"/>
        <v>Current period</v>
      </c>
      <c r="R236" s="5" t="str">
        <f t="array" ref="R236">_xlfn.XLOOKUP(A236,TRIM(SUBSTITUTE('worker file'!$A$2:$A$406,_xlfn.UNICHAR(160)," ")),'worker file'!$D$2:$D$406,"Not found")</f>
        <v>CA</v>
      </c>
    </row>
    <row r="237" spans="1:18" ht="16" x14ac:dyDescent="0.2">
      <c r="A237" s="5" t="s">
        <v>354</v>
      </c>
      <c r="B237" s="6">
        <v>46302</v>
      </c>
      <c r="C237" s="56">
        <v>0.58333333333333304</v>
      </c>
      <c r="D237" s="56">
        <v>0.9375</v>
      </c>
      <c r="E237" s="57">
        <v>0.73750000000000004</v>
      </c>
      <c r="F237" s="58">
        <v>0.75833333333333297</v>
      </c>
      <c r="G237" s="59" t="str">
        <f t="array" ref="G237">_xlfn.XLOOKUP(A237&amp;"|"&amp;B237,ShiftRoster[Employee ID]&amp;"|"&amp;ShiftRoster[Date],ShiftRoster[Shift Code],_xlfn.XLOOKUP(A237,TRIM(SUBSTITUTE('worker file'!$A$2:$A$406,_xlfn.UNICHAR(160)," ")),'worker file'!$X$2:$X$406,"?"),0,-1)</f>
        <v>SWNG</v>
      </c>
      <c r="H237" s="59" t="str">
        <f>_xlfn.XLOOKUP(G237,ShiftCodes[Code],ShiftCodes[Work Schedule],"Unknown")</f>
        <v>Shift B – Swing (Mon–Fri 14:00–22:30)</v>
      </c>
      <c r="I237" s="60">
        <f>_xlfn.XLOOKUP(G237,ShiftCodes[Code],ShiftCodes[Start],"")</f>
        <v>0.58333333333333304</v>
      </c>
      <c r="J237" s="61">
        <f t="shared" si="15"/>
        <v>0</v>
      </c>
      <c r="K237" s="59" t="str">
        <f t="shared" si="16"/>
        <v>OK</v>
      </c>
      <c r="L237" s="62"/>
      <c r="M237" s="5" t="str">
        <f t="shared" si="17"/>
        <v>Wed</v>
      </c>
      <c r="N237" s="63">
        <f t="shared" si="18"/>
        <v>8</v>
      </c>
      <c r="O237" s="5" t="s">
        <v>758</v>
      </c>
      <c r="P237" s="6">
        <v>46302</v>
      </c>
      <c r="Q237" s="5" t="str">
        <f t="shared" si="19"/>
        <v>Current period</v>
      </c>
      <c r="R237" s="5" t="str">
        <f t="array" ref="R237">_xlfn.XLOOKUP(A237,TRIM(SUBSTITUTE('worker file'!$A$2:$A$406,_xlfn.UNICHAR(160)," ")),'worker file'!$D$2:$D$406,"Not found")</f>
        <v>CA</v>
      </c>
    </row>
    <row r="238" spans="1:18" ht="16" x14ac:dyDescent="0.2">
      <c r="A238" s="5" t="s">
        <v>354</v>
      </c>
      <c r="B238" s="6">
        <v>46303</v>
      </c>
      <c r="C238" s="56">
        <v>0.58611111111111103</v>
      </c>
      <c r="D238" s="56">
        <v>0.93611111111111101</v>
      </c>
      <c r="E238" s="57">
        <v>0.75624999999999998</v>
      </c>
      <c r="F238" s="58">
        <v>0.77708333333333302</v>
      </c>
      <c r="G238" s="59" t="str">
        <f t="array" ref="G238">_xlfn.XLOOKUP(A238&amp;"|"&amp;B238,ShiftRoster[Employee ID]&amp;"|"&amp;ShiftRoster[Date],ShiftRoster[Shift Code],_xlfn.XLOOKUP(A238,TRIM(SUBSTITUTE('worker file'!$A$2:$A$406,_xlfn.UNICHAR(160)," ")),'worker file'!$X$2:$X$406,"?"),0,-1)</f>
        <v>SWNG</v>
      </c>
      <c r="H238" s="59" t="str">
        <f>_xlfn.XLOOKUP(G238,ShiftCodes[Code],ShiftCodes[Work Schedule],"Unknown")</f>
        <v>Shift B – Swing (Mon–Fri 14:00–22:30)</v>
      </c>
      <c r="I238" s="60">
        <f>_xlfn.XLOOKUP(G238,ShiftCodes[Code],ShiftCodes[Start],"")</f>
        <v>0.58333333333333304</v>
      </c>
      <c r="J238" s="61">
        <f t="shared" si="15"/>
        <v>4</v>
      </c>
      <c r="K238" s="59" t="str">
        <f t="shared" si="16"/>
        <v>OK</v>
      </c>
      <c r="L238" s="62"/>
      <c r="M238" s="5" t="str">
        <f t="shared" si="17"/>
        <v>Thu</v>
      </c>
      <c r="N238" s="63">
        <f t="shared" si="18"/>
        <v>7.9</v>
      </c>
      <c r="O238" s="5" t="s">
        <v>758</v>
      </c>
      <c r="P238" s="6">
        <v>46303</v>
      </c>
      <c r="Q238" s="5" t="str">
        <f t="shared" si="19"/>
        <v>Current period</v>
      </c>
      <c r="R238" s="5" t="str">
        <f t="array" ref="R238">_xlfn.XLOOKUP(A238,TRIM(SUBSTITUTE('worker file'!$A$2:$A$406,_xlfn.UNICHAR(160)," ")),'worker file'!$D$2:$D$406,"Not found")</f>
        <v>CA</v>
      </c>
    </row>
    <row r="239" spans="1:18" ht="16" x14ac:dyDescent="0.2">
      <c r="A239" s="5" t="s">
        <v>354</v>
      </c>
      <c r="B239" s="6">
        <v>46304</v>
      </c>
      <c r="C239" s="56">
        <v>0.58333333333333304</v>
      </c>
      <c r="D239" s="56">
        <v>0.936805555555556</v>
      </c>
      <c r="E239" s="57">
        <v>0.76388888888888895</v>
      </c>
      <c r="F239" s="58">
        <v>0.78472222222222199</v>
      </c>
      <c r="G239" s="59" t="str">
        <f t="array" ref="G239">_xlfn.XLOOKUP(A239&amp;"|"&amp;B239,ShiftRoster[Employee ID]&amp;"|"&amp;ShiftRoster[Date],ShiftRoster[Shift Code],_xlfn.XLOOKUP(A239,TRIM(SUBSTITUTE('worker file'!$A$2:$A$406,_xlfn.UNICHAR(160)," ")),'worker file'!$X$2:$X$406,"?"),0,-1)</f>
        <v>SWNG</v>
      </c>
      <c r="H239" s="59" t="str">
        <f>_xlfn.XLOOKUP(G239,ShiftCodes[Code],ShiftCodes[Work Schedule],"Unknown")</f>
        <v>Shift B – Swing (Mon–Fri 14:00–22:30)</v>
      </c>
      <c r="I239" s="60">
        <f>_xlfn.XLOOKUP(G239,ShiftCodes[Code],ShiftCodes[Start],"")</f>
        <v>0.58333333333333304</v>
      </c>
      <c r="J239" s="61">
        <f t="shared" si="15"/>
        <v>0</v>
      </c>
      <c r="K239" s="59" t="str">
        <f t="shared" si="16"/>
        <v>OK</v>
      </c>
      <c r="L239" s="62"/>
      <c r="M239" s="5" t="str">
        <f t="shared" si="17"/>
        <v>Fri</v>
      </c>
      <c r="N239" s="63">
        <f t="shared" si="18"/>
        <v>7.98</v>
      </c>
      <c r="O239" s="5" t="s">
        <v>758</v>
      </c>
      <c r="P239" s="6">
        <v>46304</v>
      </c>
      <c r="Q239" s="5" t="str">
        <f t="shared" si="19"/>
        <v>Current period</v>
      </c>
      <c r="R239" s="5" t="str">
        <f t="array" ref="R239">_xlfn.XLOOKUP(A239,TRIM(SUBSTITUTE('worker file'!$A$2:$A$406,_xlfn.UNICHAR(160)," ")),'worker file'!$D$2:$D$406,"Not found")</f>
        <v>CA</v>
      </c>
    </row>
    <row r="240" spans="1:18" ht="16" x14ac:dyDescent="0.2">
      <c r="A240" s="5" t="s">
        <v>354</v>
      </c>
      <c r="B240" s="6">
        <v>46307</v>
      </c>
      <c r="C240" s="56">
        <v>0.57916666666666705</v>
      </c>
      <c r="D240" s="56">
        <v>0.93333333333333302</v>
      </c>
      <c r="E240" s="57">
        <v>0.73194444444444395</v>
      </c>
      <c r="F240" s="58">
        <v>0.75277777777777799</v>
      </c>
      <c r="G240" s="59" t="str">
        <f t="array" ref="G240">_xlfn.XLOOKUP(A240&amp;"|"&amp;B240,ShiftRoster[Employee ID]&amp;"|"&amp;ShiftRoster[Date],ShiftRoster[Shift Code],_xlfn.XLOOKUP(A240,TRIM(SUBSTITUTE('worker file'!$A$2:$A$406,_xlfn.UNICHAR(160)," ")),'worker file'!$X$2:$X$406,"?"),0,-1)</f>
        <v>SWNG</v>
      </c>
      <c r="H240" s="59" t="str">
        <f>_xlfn.XLOOKUP(G240,ShiftCodes[Code],ShiftCodes[Work Schedule],"Unknown")</f>
        <v>Shift B – Swing (Mon–Fri 14:00–22:30)</v>
      </c>
      <c r="I240" s="60">
        <f>_xlfn.XLOOKUP(G240,ShiftCodes[Code],ShiftCodes[Start],"")</f>
        <v>0.58333333333333304</v>
      </c>
      <c r="J240" s="61">
        <f t="shared" si="15"/>
        <v>-6</v>
      </c>
      <c r="K240" s="59" t="str">
        <f t="shared" si="16"/>
        <v>OK</v>
      </c>
      <c r="L240" s="62"/>
      <c r="M240" s="5" t="str">
        <f t="shared" si="17"/>
        <v>Mon</v>
      </c>
      <c r="N240" s="63">
        <f t="shared" si="18"/>
        <v>8</v>
      </c>
      <c r="O240" s="5" t="s">
        <v>758</v>
      </c>
      <c r="P240" s="6">
        <v>46307</v>
      </c>
      <c r="Q240" s="5" t="str">
        <f t="shared" si="19"/>
        <v>Current period</v>
      </c>
      <c r="R240" s="5" t="str">
        <f t="array" ref="R240">_xlfn.XLOOKUP(A240,TRIM(SUBSTITUTE('worker file'!$A$2:$A$406,_xlfn.UNICHAR(160)," ")),'worker file'!$D$2:$D$406,"Not found")</f>
        <v>CA</v>
      </c>
    </row>
    <row r="241" spans="1:18" ht="16" x14ac:dyDescent="0.2">
      <c r="A241" s="5" t="s">
        <v>354</v>
      </c>
      <c r="B241" s="6">
        <v>46308</v>
      </c>
      <c r="C241" s="56">
        <v>0.58611111111111103</v>
      </c>
      <c r="D241" s="56">
        <v>0.938194444444444</v>
      </c>
      <c r="E241" s="57">
        <v>0.76041666666666696</v>
      </c>
      <c r="F241" s="58">
        <v>0.78125</v>
      </c>
      <c r="G241" s="59" t="str">
        <f t="array" ref="G241">_xlfn.XLOOKUP(A241&amp;"|"&amp;B241,ShiftRoster[Employee ID]&amp;"|"&amp;ShiftRoster[Date],ShiftRoster[Shift Code],_xlfn.XLOOKUP(A241,TRIM(SUBSTITUTE('worker file'!$A$2:$A$406,_xlfn.UNICHAR(160)," ")),'worker file'!$X$2:$X$406,"?"),0,-1)</f>
        <v>SWNG</v>
      </c>
      <c r="H241" s="59" t="str">
        <f>_xlfn.XLOOKUP(G241,ShiftCodes[Code],ShiftCodes[Work Schedule],"Unknown")</f>
        <v>Shift B – Swing (Mon–Fri 14:00–22:30)</v>
      </c>
      <c r="I241" s="60">
        <f>_xlfn.XLOOKUP(G241,ShiftCodes[Code],ShiftCodes[Start],"")</f>
        <v>0.58333333333333304</v>
      </c>
      <c r="J241" s="61">
        <f t="shared" si="15"/>
        <v>4</v>
      </c>
      <c r="K241" s="59" t="str">
        <f t="shared" si="16"/>
        <v>OK</v>
      </c>
      <c r="L241" s="62"/>
      <c r="M241" s="5" t="str">
        <f t="shared" si="17"/>
        <v>Tue</v>
      </c>
      <c r="N241" s="63">
        <f t="shared" si="18"/>
        <v>7.95</v>
      </c>
      <c r="O241" s="5" t="s">
        <v>758</v>
      </c>
      <c r="P241" s="6">
        <v>46308</v>
      </c>
      <c r="Q241" s="5" t="str">
        <f t="shared" si="19"/>
        <v>Current period</v>
      </c>
      <c r="R241" s="5" t="str">
        <f t="array" ref="R241">_xlfn.XLOOKUP(A241,TRIM(SUBSTITUTE('worker file'!$A$2:$A$406,_xlfn.UNICHAR(160)," ")),'worker file'!$D$2:$D$406,"Not found")</f>
        <v>CA</v>
      </c>
    </row>
    <row r="242" spans="1:18" ht="16" x14ac:dyDescent="0.2">
      <c r="A242" s="5" t="s">
        <v>354</v>
      </c>
      <c r="B242" s="6">
        <v>46309</v>
      </c>
      <c r="C242" s="56">
        <v>0.58402777777777803</v>
      </c>
      <c r="D242" s="56">
        <v>0.93333333333333302</v>
      </c>
      <c r="E242" s="57">
        <v>0.76875000000000004</v>
      </c>
      <c r="F242" s="58">
        <v>0.78958333333333297</v>
      </c>
      <c r="G242" s="59" t="str">
        <f t="array" ref="G242">_xlfn.XLOOKUP(A242&amp;"|"&amp;B242,ShiftRoster[Employee ID]&amp;"|"&amp;ShiftRoster[Date],ShiftRoster[Shift Code],_xlfn.XLOOKUP(A242,TRIM(SUBSTITUTE('worker file'!$A$2:$A$406,_xlfn.UNICHAR(160)," ")),'worker file'!$X$2:$X$406,"?"),0,-1)</f>
        <v>SWNG</v>
      </c>
      <c r="H242" s="59" t="str">
        <f>_xlfn.XLOOKUP(G242,ShiftCodes[Code],ShiftCodes[Work Schedule],"Unknown")</f>
        <v>Shift B – Swing (Mon–Fri 14:00–22:30)</v>
      </c>
      <c r="I242" s="60">
        <f>_xlfn.XLOOKUP(G242,ShiftCodes[Code],ShiftCodes[Start],"")</f>
        <v>0.58333333333333304</v>
      </c>
      <c r="J242" s="61">
        <f t="shared" si="15"/>
        <v>1</v>
      </c>
      <c r="K242" s="59" t="str">
        <f t="shared" si="16"/>
        <v>OK</v>
      </c>
      <c r="L242" s="62"/>
      <c r="M242" s="5" t="str">
        <f t="shared" si="17"/>
        <v>Wed</v>
      </c>
      <c r="N242" s="63">
        <f t="shared" si="18"/>
        <v>7.88</v>
      </c>
      <c r="O242" s="5" t="s">
        <v>758</v>
      </c>
      <c r="P242" s="6">
        <v>46309</v>
      </c>
      <c r="Q242" s="5" t="str">
        <f t="shared" si="19"/>
        <v>Current period</v>
      </c>
      <c r="R242" s="5" t="str">
        <f t="array" ref="R242">_xlfn.XLOOKUP(A242,TRIM(SUBSTITUTE('worker file'!$A$2:$A$406,_xlfn.UNICHAR(160)," ")),'worker file'!$D$2:$D$406,"Not found")</f>
        <v>CA</v>
      </c>
    </row>
    <row r="243" spans="1:18" ht="16" x14ac:dyDescent="0.2">
      <c r="A243" s="5" t="s">
        <v>354</v>
      </c>
      <c r="B243" s="6">
        <v>46310</v>
      </c>
      <c r="C243" s="56">
        <v>0.58055555555555605</v>
      </c>
      <c r="D243" s="56">
        <v>0.111805555555556</v>
      </c>
      <c r="E243" s="57">
        <v>0.75833333333333297</v>
      </c>
      <c r="F243" s="58">
        <v>0.77916666666666701</v>
      </c>
      <c r="G243" s="59" t="str">
        <f t="array" ref="G243">_xlfn.XLOOKUP(A243&amp;"|"&amp;B243,ShiftRoster[Employee ID]&amp;"|"&amp;ShiftRoster[Date],ShiftRoster[Shift Code],_xlfn.XLOOKUP(A243,TRIM(SUBSTITUTE('worker file'!$A$2:$A$406,_xlfn.UNICHAR(160)," ")),'worker file'!$X$2:$X$406,"?"),0,-1)</f>
        <v>SWNG</v>
      </c>
      <c r="H243" s="59" t="str">
        <f>_xlfn.XLOOKUP(G243,ShiftCodes[Code],ShiftCodes[Work Schedule],"Unknown")</f>
        <v>Shift B – Swing (Mon–Fri 14:00–22:30)</v>
      </c>
      <c r="I243" s="60">
        <f>_xlfn.XLOOKUP(G243,ShiftCodes[Code],ShiftCodes[Start],"")</f>
        <v>0.58333333333333304</v>
      </c>
      <c r="J243" s="61">
        <f t="shared" si="15"/>
        <v>-4</v>
      </c>
      <c r="K243" s="59" t="str">
        <f t="shared" si="16"/>
        <v>OK</v>
      </c>
      <c r="L243" s="62" t="s">
        <v>783</v>
      </c>
      <c r="M243" s="5" t="str">
        <f t="shared" si="17"/>
        <v>Thu</v>
      </c>
      <c r="N243" s="63">
        <f t="shared" si="18"/>
        <v>12.25</v>
      </c>
      <c r="O243" s="5" t="s">
        <v>758</v>
      </c>
      <c r="P243" s="6">
        <v>46311</v>
      </c>
      <c r="Q243" s="5" t="str">
        <f t="shared" si="19"/>
        <v>Current period</v>
      </c>
      <c r="R243" s="5" t="str">
        <f t="array" ref="R243">_xlfn.XLOOKUP(A243,TRIM(SUBSTITUTE('worker file'!$A$2:$A$406,_xlfn.UNICHAR(160)," ")),'worker file'!$D$2:$D$406,"Not found")</f>
        <v>CA</v>
      </c>
    </row>
    <row r="244" spans="1:18" ht="16" x14ac:dyDescent="0.2">
      <c r="A244" s="5" t="s">
        <v>354</v>
      </c>
      <c r="B244" s="6">
        <v>46311</v>
      </c>
      <c r="C244" s="56">
        <v>0.58333333333333304</v>
      </c>
      <c r="D244" s="56">
        <v>0.93333333333333302</v>
      </c>
      <c r="E244" s="57">
        <v>0.76805555555555605</v>
      </c>
      <c r="F244" s="58">
        <v>0.78888888888888897</v>
      </c>
      <c r="G244" s="59" t="str">
        <f t="array" ref="G244">_xlfn.XLOOKUP(A244&amp;"|"&amp;B244,ShiftRoster[Employee ID]&amp;"|"&amp;ShiftRoster[Date],ShiftRoster[Shift Code],_xlfn.XLOOKUP(A244,TRIM(SUBSTITUTE('worker file'!$A$2:$A$406,_xlfn.UNICHAR(160)," ")),'worker file'!$X$2:$X$406,"?"),0,-1)</f>
        <v>SWNG</v>
      </c>
      <c r="H244" s="59" t="str">
        <f>_xlfn.XLOOKUP(G244,ShiftCodes[Code],ShiftCodes[Work Schedule],"Unknown")</f>
        <v>Shift B – Swing (Mon–Fri 14:00–22:30)</v>
      </c>
      <c r="I244" s="60">
        <f>_xlfn.XLOOKUP(G244,ShiftCodes[Code],ShiftCodes[Start],"")</f>
        <v>0.58333333333333304</v>
      </c>
      <c r="J244" s="61">
        <f t="shared" si="15"/>
        <v>0</v>
      </c>
      <c r="K244" s="59" t="str">
        <f t="shared" si="16"/>
        <v>OK</v>
      </c>
      <c r="L244" s="62"/>
      <c r="M244" s="5" t="str">
        <f t="shared" si="17"/>
        <v>Fri</v>
      </c>
      <c r="N244" s="63">
        <f t="shared" si="18"/>
        <v>7.9</v>
      </c>
      <c r="O244" s="5" t="s">
        <v>758</v>
      </c>
      <c r="P244" s="6">
        <v>46311</v>
      </c>
      <c r="Q244" s="5" t="str">
        <f t="shared" si="19"/>
        <v>Current period</v>
      </c>
      <c r="R244" s="5" t="str">
        <f t="array" ref="R244">_xlfn.XLOOKUP(A244,TRIM(SUBSTITUTE('worker file'!$A$2:$A$406,_xlfn.UNICHAR(160)," ")),'worker file'!$D$2:$D$406,"Not found")</f>
        <v>CA</v>
      </c>
    </row>
    <row r="245" spans="1:18" ht="16" x14ac:dyDescent="0.2">
      <c r="A245" s="5" t="s">
        <v>358</v>
      </c>
      <c r="B245" s="6">
        <v>46300</v>
      </c>
      <c r="C245" s="56">
        <v>0.58055555555555605</v>
      </c>
      <c r="D245" s="56">
        <v>0.93472222222222201</v>
      </c>
      <c r="E245" s="57">
        <v>0.75694444444444398</v>
      </c>
      <c r="F245" s="58">
        <v>0.77777777777777801</v>
      </c>
      <c r="G245" s="59" t="str">
        <f t="array" ref="G245">_xlfn.XLOOKUP(A245&amp;"|"&amp;B245,ShiftRoster[Employee ID]&amp;"|"&amp;ShiftRoster[Date],ShiftRoster[Shift Code],_xlfn.XLOOKUP(A245,TRIM(SUBSTITUTE('worker file'!$A$2:$A$406,_xlfn.UNICHAR(160)," ")),'worker file'!$X$2:$X$406,"?"),0,-1)</f>
        <v>SWNG</v>
      </c>
      <c r="H245" s="59" t="str">
        <f>_xlfn.XLOOKUP(G245,ShiftCodes[Code],ShiftCodes[Work Schedule],"Unknown")</f>
        <v>Shift B – Swing (Mon–Fri 14:00–22:30)</v>
      </c>
      <c r="I245" s="60">
        <f>_xlfn.XLOOKUP(G245,ShiftCodes[Code],ShiftCodes[Start],"")</f>
        <v>0.58333333333333304</v>
      </c>
      <c r="J245" s="61">
        <f t="shared" si="15"/>
        <v>-4</v>
      </c>
      <c r="K245" s="59" t="str">
        <f t="shared" si="16"/>
        <v>OK</v>
      </c>
      <c r="L245" s="62"/>
      <c r="M245" s="5" t="str">
        <f t="shared" si="17"/>
        <v>Mon</v>
      </c>
      <c r="N245" s="63">
        <f t="shared" si="18"/>
        <v>8</v>
      </c>
      <c r="O245" s="5" t="s">
        <v>758</v>
      </c>
      <c r="P245" s="6">
        <v>46300</v>
      </c>
      <c r="Q245" s="5" t="str">
        <f t="shared" si="19"/>
        <v>Current period</v>
      </c>
      <c r="R245" s="5" t="str">
        <f t="array" ref="R245">_xlfn.XLOOKUP(A245,TRIM(SUBSTITUTE('worker file'!$A$2:$A$406,_xlfn.UNICHAR(160)," ")),'worker file'!$D$2:$D$406,"Not found")</f>
        <v>TX</v>
      </c>
    </row>
    <row r="246" spans="1:18" ht="16" x14ac:dyDescent="0.2">
      <c r="A246" s="5" t="s">
        <v>358</v>
      </c>
      <c r="B246" s="6">
        <v>46301</v>
      </c>
      <c r="C246" s="56">
        <v>0.58263888888888904</v>
      </c>
      <c r="D246" s="56">
        <v>0.93472222222222201</v>
      </c>
      <c r="E246" s="57">
        <v>0.73680555555555605</v>
      </c>
      <c r="F246" s="58">
        <v>0.75763888888888897</v>
      </c>
      <c r="G246" s="59" t="str">
        <f t="array" ref="G246">_xlfn.XLOOKUP(A246&amp;"|"&amp;B246,ShiftRoster[Employee ID]&amp;"|"&amp;ShiftRoster[Date],ShiftRoster[Shift Code],_xlfn.XLOOKUP(A246,TRIM(SUBSTITUTE('worker file'!$A$2:$A$406,_xlfn.UNICHAR(160)," ")),'worker file'!$X$2:$X$406,"?"),0,-1)</f>
        <v>SWNG</v>
      </c>
      <c r="H246" s="59" t="str">
        <f>_xlfn.XLOOKUP(G246,ShiftCodes[Code],ShiftCodes[Work Schedule],"Unknown")</f>
        <v>Shift B – Swing (Mon–Fri 14:00–22:30)</v>
      </c>
      <c r="I246" s="60">
        <f>_xlfn.XLOOKUP(G246,ShiftCodes[Code],ShiftCodes[Start],"")</f>
        <v>0.58333333333333304</v>
      </c>
      <c r="J246" s="61">
        <f t="shared" si="15"/>
        <v>-1</v>
      </c>
      <c r="K246" s="59" t="str">
        <f t="shared" si="16"/>
        <v>OK</v>
      </c>
      <c r="L246" s="62"/>
      <c r="M246" s="5" t="str">
        <f t="shared" si="17"/>
        <v>Tue</v>
      </c>
      <c r="N246" s="63">
        <f t="shared" si="18"/>
        <v>7.95</v>
      </c>
      <c r="O246" s="5" t="s">
        <v>758</v>
      </c>
      <c r="P246" s="6">
        <v>46301</v>
      </c>
      <c r="Q246" s="5" t="str">
        <f t="shared" si="19"/>
        <v>Current period</v>
      </c>
      <c r="R246" s="5" t="str">
        <f t="array" ref="R246">_xlfn.XLOOKUP(A246,TRIM(SUBSTITUTE('worker file'!$A$2:$A$406,_xlfn.UNICHAR(160)," ")),'worker file'!$D$2:$D$406,"Not found")</f>
        <v>TX</v>
      </c>
    </row>
    <row r="247" spans="1:18" ht="16" x14ac:dyDescent="0.2">
      <c r="A247" s="5" t="s">
        <v>358</v>
      </c>
      <c r="B247" s="6">
        <v>46302</v>
      </c>
      <c r="C247" s="56">
        <v>0.58472222222222203</v>
      </c>
      <c r="D247" s="56">
        <v>0.93611111111111101</v>
      </c>
      <c r="E247" s="57">
        <v>0.80347222222222203</v>
      </c>
      <c r="F247" s="58">
        <v>0.82430555555555596</v>
      </c>
      <c r="G247" s="59" t="str">
        <f t="array" ref="G247">_xlfn.XLOOKUP(A247&amp;"|"&amp;B247,ShiftRoster[Employee ID]&amp;"|"&amp;ShiftRoster[Date],ShiftRoster[Shift Code],_xlfn.XLOOKUP(A247,TRIM(SUBSTITUTE('worker file'!$A$2:$A$406,_xlfn.UNICHAR(160)," ")),'worker file'!$X$2:$X$406,"?"),0,-1)</f>
        <v>SWNG</v>
      </c>
      <c r="H247" s="59" t="str">
        <f>_xlfn.XLOOKUP(G247,ShiftCodes[Code],ShiftCodes[Work Schedule],"Unknown")</f>
        <v>Shift B – Swing (Mon–Fri 14:00–22:30)</v>
      </c>
      <c r="I247" s="60">
        <f>_xlfn.XLOOKUP(G247,ShiftCodes[Code],ShiftCodes[Start],"")</f>
        <v>0.58333333333333304</v>
      </c>
      <c r="J247" s="61">
        <f t="shared" si="15"/>
        <v>2</v>
      </c>
      <c r="K247" s="59" t="str">
        <f t="shared" si="16"/>
        <v>OK</v>
      </c>
      <c r="L247" s="62" t="s">
        <v>768</v>
      </c>
      <c r="M247" s="5" t="str">
        <f t="shared" si="17"/>
        <v>Wed</v>
      </c>
      <c r="N247" s="63">
        <f t="shared" si="18"/>
        <v>7.93</v>
      </c>
      <c r="O247" s="5" t="s">
        <v>758</v>
      </c>
      <c r="P247" s="6">
        <v>46302</v>
      </c>
      <c r="Q247" s="5" t="str">
        <f t="shared" si="19"/>
        <v>Current period</v>
      </c>
      <c r="R247" s="5" t="str">
        <f t="array" ref="R247">_xlfn.XLOOKUP(A247,TRIM(SUBSTITUTE('worker file'!$A$2:$A$406,_xlfn.UNICHAR(160)," ")),'worker file'!$D$2:$D$406,"Not found")</f>
        <v>TX</v>
      </c>
    </row>
    <row r="248" spans="1:18" ht="16" x14ac:dyDescent="0.2">
      <c r="A248" s="5" t="s">
        <v>358</v>
      </c>
      <c r="B248" s="6">
        <v>46303</v>
      </c>
      <c r="C248" s="56">
        <v>0.57916666666666705</v>
      </c>
      <c r="D248" s="56">
        <v>0.93055555555555602</v>
      </c>
      <c r="E248" s="57">
        <v>0.75416666666666698</v>
      </c>
      <c r="F248" s="58">
        <v>0.77500000000000002</v>
      </c>
      <c r="G248" s="59" t="str">
        <f t="array" ref="G248">_xlfn.XLOOKUP(A248&amp;"|"&amp;B248,ShiftRoster[Employee ID]&amp;"|"&amp;ShiftRoster[Date],ShiftRoster[Shift Code],_xlfn.XLOOKUP(A248,TRIM(SUBSTITUTE('worker file'!$A$2:$A$406,_xlfn.UNICHAR(160)," ")),'worker file'!$X$2:$X$406,"?"),0,-1)</f>
        <v>SWNG</v>
      </c>
      <c r="H248" s="59" t="str">
        <f>_xlfn.XLOOKUP(G248,ShiftCodes[Code],ShiftCodes[Work Schedule],"Unknown")</f>
        <v>Shift B – Swing (Mon–Fri 14:00–22:30)</v>
      </c>
      <c r="I248" s="60">
        <f>_xlfn.XLOOKUP(G248,ShiftCodes[Code],ShiftCodes[Start],"")</f>
        <v>0.58333333333333304</v>
      </c>
      <c r="J248" s="61">
        <f t="shared" si="15"/>
        <v>-6</v>
      </c>
      <c r="K248" s="59" t="str">
        <f t="shared" si="16"/>
        <v>OK</v>
      </c>
      <c r="L248" s="62"/>
      <c r="M248" s="5" t="str">
        <f t="shared" si="17"/>
        <v>Thu</v>
      </c>
      <c r="N248" s="63">
        <f t="shared" si="18"/>
        <v>7.93</v>
      </c>
      <c r="O248" s="5" t="s">
        <v>758</v>
      </c>
      <c r="P248" s="6">
        <v>46303</v>
      </c>
      <c r="Q248" s="5" t="str">
        <f t="shared" si="19"/>
        <v>Current period</v>
      </c>
      <c r="R248" s="5" t="str">
        <f t="array" ref="R248">_xlfn.XLOOKUP(A248,TRIM(SUBSTITUTE('worker file'!$A$2:$A$406,_xlfn.UNICHAR(160)," ")),'worker file'!$D$2:$D$406,"Not found")</f>
        <v>TX</v>
      </c>
    </row>
    <row r="249" spans="1:18" ht="16" x14ac:dyDescent="0.2">
      <c r="A249" s="5" t="s">
        <v>358</v>
      </c>
      <c r="B249" s="6">
        <v>46304</v>
      </c>
      <c r="C249" s="56">
        <v>0.58611111111111103</v>
      </c>
      <c r="D249" s="56">
        <v>0.9375</v>
      </c>
      <c r="E249" s="57">
        <v>0.73194444444444395</v>
      </c>
      <c r="F249" s="58">
        <v>0.75277777777777799</v>
      </c>
      <c r="G249" s="59" t="str">
        <f t="array" ref="G249">_xlfn.XLOOKUP(A249&amp;"|"&amp;B249,ShiftRoster[Employee ID]&amp;"|"&amp;ShiftRoster[Date],ShiftRoster[Shift Code],_xlfn.XLOOKUP(A249,TRIM(SUBSTITUTE('worker file'!$A$2:$A$406,_xlfn.UNICHAR(160)," ")),'worker file'!$X$2:$X$406,"?"),0,-1)</f>
        <v>SWNG</v>
      </c>
      <c r="H249" s="59" t="str">
        <f>_xlfn.XLOOKUP(G249,ShiftCodes[Code],ShiftCodes[Work Schedule],"Unknown")</f>
        <v>Shift B – Swing (Mon–Fri 14:00–22:30)</v>
      </c>
      <c r="I249" s="60">
        <f>_xlfn.XLOOKUP(G249,ShiftCodes[Code],ShiftCodes[Start],"")</f>
        <v>0.58333333333333304</v>
      </c>
      <c r="J249" s="61">
        <f t="shared" si="15"/>
        <v>4</v>
      </c>
      <c r="K249" s="59" t="str">
        <f t="shared" si="16"/>
        <v>OK</v>
      </c>
      <c r="L249" s="62"/>
      <c r="M249" s="5" t="str">
        <f t="shared" si="17"/>
        <v>Fri</v>
      </c>
      <c r="N249" s="63">
        <f t="shared" si="18"/>
        <v>7.93</v>
      </c>
      <c r="O249" s="5" t="s">
        <v>758</v>
      </c>
      <c r="P249" s="6">
        <v>46304</v>
      </c>
      <c r="Q249" s="5" t="str">
        <f t="shared" si="19"/>
        <v>Current period</v>
      </c>
      <c r="R249" s="5" t="str">
        <f t="array" ref="R249">_xlfn.XLOOKUP(A249,TRIM(SUBSTITUTE('worker file'!$A$2:$A$406,_xlfn.UNICHAR(160)," ")),'worker file'!$D$2:$D$406,"Not found")</f>
        <v>TX</v>
      </c>
    </row>
    <row r="250" spans="1:18" ht="16" x14ac:dyDescent="0.2">
      <c r="A250" s="5" t="s">
        <v>358</v>
      </c>
      <c r="B250" s="6">
        <v>46307</v>
      </c>
      <c r="C250" s="56">
        <v>0.58611111111111103</v>
      </c>
      <c r="D250" s="56">
        <v>0.93888888888888899</v>
      </c>
      <c r="E250" s="57">
        <v>0.76875000000000004</v>
      </c>
      <c r="F250" s="58">
        <v>0.78958333333333297</v>
      </c>
      <c r="G250" s="59" t="str">
        <f t="array" ref="G250">_xlfn.XLOOKUP(A250&amp;"|"&amp;B250,ShiftRoster[Employee ID]&amp;"|"&amp;ShiftRoster[Date],ShiftRoster[Shift Code],_xlfn.XLOOKUP(A250,TRIM(SUBSTITUTE('worker file'!$A$2:$A$406,_xlfn.UNICHAR(160)," ")),'worker file'!$X$2:$X$406,"?"),0,-1)</f>
        <v>SWNG</v>
      </c>
      <c r="H250" s="59" t="str">
        <f>_xlfn.XLOOKUP(G250,ShiftCodes[Code],ShiftCodes[Work Schedule],"Unknown")</f>
        <v>Shift B – Swing (Mon–Fri 14:00–22:30)</v>
      </c>
      <c r="I250" s="60">
        <f>_xlfn.XLOOKUP(G250,ShiftCodes[Code],ShiftCodes[Start],"")</f>
        <v>0.58333333333333304</v>
      </c>
      <c r="J250" s="61">
        <f t="shared" si="15"/>
        <v>4</v>
      </c>
      <c r="K250" s="59" t="str">
        <f t="shared" si="16"/>
        <v>OK</v>
      </c>
      <c r="L250" s="62"/>
      <c r="M250" s="5" t="str">
        <f t="shared" si="17"/>
        <v>Mon</v>
      </c>
      <c r="N250" s="63">
        <f t="shared" si="18"/>
        <v>7.97</v>
      </c>
      <c r="O250" s="5" t="s">
        <v>758</v>
      </c>
      <c r="P250" s="6">
        <v>46307</v>
      </c>
      <c r="Q250" s="5" t="str">
        <f t="shared" si="19"/>
        <v>Current period</v>
      </c>
      <c r="R250" s="5" t="str">
        <f t="array" ref="R250">_xlfn.XLOOKUP(A250,TRIM(SUBSTITUTE('worker file'!$A$2:$A$406,_xlfn.UNICHAR(160)," ")),'worker file'!$D$2:$D$406,"Not found")</f>
        <v>TX</v>
      </c>
    </row>
    <row r="251" spans="1:18" ht="16" x14ac:dyDescent="0.2">
      <c r="A251" s="5" t="s">
        <v>358</v>
      </c>
      <c r="B251" s="6">
        <v>46308</v>
      </c>
      <c r="C251" s="56">
        <v>0.58194444444444504</v>
      </c>
      <c r="D251" s="56">
        <v>0.93472222222222201</v>
      </c>
      <c r="E251" s="57">
        <v>0.75972222222222197</v>
      </c>
      <c r="F251" s="58">
        <v>0.780555555555556</v>
      </c>
      <c r="G251" s="59" t="str">
        <f t="array" ref="G251">_xlfn.XLOOKUP(A251&amp;"|"&amp;B251,ShiftRoster[Employee ID]&amp;"|"&amp;ShiftRoster[Date],ShiftRoster[Shift Code],_xlfn.XLOOKUP(A251,TRIM(SUBSTITUTE('worker file'!$A$2:$A$406,_xlfn.UNICHAR(160)," ")),'worker file'!$X$2:$X$406,"?"),0,-1)</f>
        <v>SWNG</v>
      </c>
      <c r="H251" s="59" t="str">
        <f>_xlfn.XLOOKUP(G251,ShiftCodes[Code],ShiftCodes[Work Schedule],"Unknown")</f>
        <v>Shift B – Swing (Mon–Fri 14:00–22:30)</v>
      </c>
      <c r="I251" s="60">
        <f>_xlfn.XLOOKUP(G251,ShiftCodes[Code],ShiftCodes[Start],"")</f>
        <v>0.58333333333333304</v>
      </c>
      <c r="J251" s="61">
        <f t="shared" si="15"/>
        <v>-2</v>
      </c>
      <c r="K251" s="59" t="str">
        <f t="shared" si="16"/>
        <v>OK</v>
      </c>
      <c r="L251" s="62"/>
      <c r="M251" s="5" t="str">
        <f t="shared" si="17"/>
        <v>Tue</v>
      </c>
      <c r="N251" s="63">
        <f t="shared" si="18"/>
        <v>7.97</v>
      </c>
      <c r="O251" s="5" t="s">
        <v>758</v>
      </c>
      <c r="P251" s="6">
        <v>46308</v>
      </c>
      <c r="Q251" s="5" t="str">
        <f t="shared" si="19"/>
        <v>Current period</v>
      </c>
      <c r="R251" s="5" t="str">
        <f t="array" ref="R251">_xlfn.XLOOKUP(A251,TRIM(SUBSTITUTE('worker file'!$A$2:$A$406,_xlfn.UNICHAR(160)," ")),'worker file'!$D$2:$D$406,"Not found")</f>
        <v>TX</v>
      </c>
    </row>
    <row r="252" spans="1:18" ht="16" x14ac:dyDescent="0.2">
      <c r="A252" s="5" t="s">
        <v>358</v>
      </c>
      <c r="B252" s="6">
        <v>46309</v>
      </c>
      <c r="C252" s="56">
        <v>0.58611111111111103</v>
      </c>
      <c r="D252" s="56">
        <v>0.93472222222222201</v>
      </c>
      <c r="E252" s="57">
        <v>0.74027777777777803</v>
      </c>
      <c r="F252" s="58">
        <v>0.76111111111111096</v>
      </c>
      <c r="G252" s="59" t="str">
        <f t="array" ref="G252">_xlfn.XLOOKUP(A252&amp;"|"&amp;B252,ShiftRoster[Employee ID]&amp;"|"&amp;ShiftRoster[Date],ShiftRoster[Shift Code],_xlfn.XLOOKUP(A252,TRIM(SUBSTITUTE('worker file'!$A$2:$A$406,_xlfn.UNICHAR(160)," ")),'worker file'!$X$2:$X$406,"?"),0,-1)</f>
        <v>SWNG</v>
      </c>
      <c r="H252" s="59" t="str">
        <f>_xlfn.XLOOKUP(G252,ShiftCodes[Code],ShiftCodes[Work Schedule],"Unknown")</f>
        <v>Shift B – Swing (Mon–Fri 14:00–22:30)</v>
      </c>
      <c r="I252" s="60">
        <f>_xlfn.XLOOKUP(G252,ShiftCodes[Code],ShiftCodes[Start],"")</f>
        <v>0.58333333333333304</v>
      </c>
      <c r="J252" s="61">
        <f t="shared" si="15"/>
        <v>4</v>
      </c>
      <c r="K252" s="59" t="str">
        <f t="shared" si="16"/>
        <v>OK</v>
      </c>
      <c r="L252" s="62"/>
      <c r="M252" s="5" t="str">
        <f t="shared" si="17"/>
        <v>Wed</v>
      </c>
      <c r="N252" s="63">
        <f t="shared" si="18"/>
        <v>7.87</v>
      </c>
      <c r="O252" s="5" t="s">
        <v>758</v>
      </c>
      <c r="P252" s="6">
        <v>46309</v>
      </c>
      <c r="Q252" s="5" t="str">
        <f t="shared" si="19"/>
        <v>Current period</v>
      </c>
      <c r="R252" s="5" t="str">
        <f t="array" ref="R252">_xlfn.XLOOKUP(A252,TRIM(SUBSTITUTE('worker file'!$A$2:$A$406,_xlfn.UNICHAR(160)," ")),'worker file'!$D$2:$D$406,"Not found")</f>
        <v>TX</v>
      </c>
    </row>
    <row r="253" spans="1:18" ht="16" x14ac:dyDescent="0.2">
      <c r="A253" s="5" t="s">
        <v>358</v>
      </c>
      <c r="B253" s="6">
        <v>46310</v>
      </c>
      <c r="C253" s="56">
        <v>0.58263888888888904</v>
      </c>
      <c r="D253" s="56">
        <v>0.93611111111111101</v>
      </c>
      <c r="E253" s="57">
        <v>0.75138888888888899</v>
      </c>
      <c r="F253" s="58">
        <v>0.77222222222222203</v>
      </c>
      <c r="G253" s="59" t="str">
        <f t="array" ref="G253">_xlfn.XLOOKUP(A253&amp;"|"&amp;B253,ShiftRoster[Employee ID]&amp;"|"&amp;ShiftRoster[Date],ShiftRoster[Shift Code],_xlfn.XLOOKUP(A253,TRIM(SUBSTITUTE('worker file'!$A$2:$A$406,_xlfn.UNICHAR(160)," ")),'worker file'!$X$2:$X$406,"?"),0,-1)</f>
        <v>SWNG</v>
      </c>
      <c r="H253" s="59" t="str">
        <f>_xlfn.XLOOKUP(G253,ShiftCodes[Code],ShiftCodes[Work Schedule],"Unknown")</f>
        <v>Shift B – Swing (Mon–Fri 14:00–22:30)</v>
      </c>
      <c r="I253" s="60">
        <f>_xlfn.XLOOKUP(G253,ShiftCodes[Code],ShiftCodes[Start],"")</f>
        <v>0.58333333333333304</v>
      </c>
      <c r="J253" s="61">
        <f t="shared" si="15"/>
        <v>-1</v>
      </c>
      <c r="K253" s="59" t="str">
        <f t="shared" si="16"/>
        <v>OK</v>
      </c>
      <c r="L253" s="62"/>
      <c r="M253" s="5" t="str">
        <f t="shared" si="17"/>
        <v>Thu</v>
      </c>
      <c r="N253" s="63">
        <f t="shared" si="18"/>
        <v>7.98</v>
      </c>
      <c r="O253" s="5" t="s">
        <v>758</v>
      </c>
      <c r="P253" s="6">
        <v>46310</v>
      </c>
      <c r="Q253" s="5" t="str">
        <f t="shared" si="19"/>
        <v>Current period</v>
      </c>
      <c r="R253" s="5" t="str">
        <f t="array" ref="R253">_xlfn.XLOOKUP(A253,TRIM(SUBSTITUTE('worker file'!$A$2:$A$406,_xlfn.UNICHAR(160)," ")),'worker file'!$D$2:$D$406,"Not found")</f>
        <v>TX</v>
      </c>
    </row>
    <row r="254" spans="1:18" ht="16" x14ac:dyDescent="0.2">
      <c r="A254" s="5" t="s">
        <v>358</v>
      </c>
      <c r="B254" s="6">
        <v>46311</v>
      </c>
      <c r="C254" s="56">
        <v>0.58125000000000004</v>
      </c>
      <c r="D254" s="56">
        <v>0.93333333333333302</v>
      </c>
      <c r="E254" s="57">
        <v>0.75694444444444398</v>
      </c>
      <c r="F254" s="58">
        <v>0.77777777777777801</v>
      </c>
      <c r="G254" s="59" t="str">
        <f t="array" ref="G254">_xlfn.XLOOKUP(A254&amp;"|"&amp;B254,ShiftRoster[Employee ID]&amp;"|"&amp;ShiftRoster[Date],ShiftRoster[Shift Code],_xlfn.XLOOKUP(A254,TRIM(SUBSTITUTE('worker file'!$A$2:$A$406,_xlfn.UNICHAR(160)," ")),'worker file'!$X$2:$X$406,"?"),0,-1)</f>
        <v>SWNG</v>
      </c>
      <c r="H254" s="59" t="str">
        <f>_xlfn.XLOOKUP(G254,ShiftCodes[Code],ShiftCodes[Work Schedule],"Unknown")</f>
        <v>Shift B – Swing (Mon–Fri 14:00–22:30)</v>
      </c>
      <c r="I254" s="60">
        <f>_xlfn.XLOOKUP(G254,ShiftCodes[Code],ShiftCodes[Start],"")</f>
        <v>0.58333333333333304</v>
      </c>
      <c r="J254" s="61">
        <f t="shared" si="15"/>
        <v>-3</v>
      </c>
      <c r="K254" s="59" t="str">
        <f t="shared" si="16"/>
        <v>OK</v>
      </c>
      <c r="L254" s="62"/>
      <c r="M254" s="5" t="str">
        <f t="shared" si="17"/>
        <v>Fri</v>
      </c>
      <c r="N254" s="63">
        <f t="shared" si="18"/>
        <v>7.95</v>
      </c>
      <c r="O254" s="5" t="s">
        <v>758</v>
      </c>
      <c r="P254" s="6">
        <v>46311</v>
      </c>
      <c r="Q254" s="5" t="str">
        <f t="shared" si="19"/>
        <v>Current period</v>
      </c>
      <c r="R254" s="5" t="str">
        <f t="array" ref="R254">_xlfn.XLOOKUP(A254,TRIM(SUBSTITUTE('worker file'!$A$2:$A$406,_xlfn.UNICHAR(160)," ")),'worker file'!$D$2:$D$406,"Not found")</f>
        <v>TX</v>
      </c>
    </row>
    <row r="255" spans="1:18" ht="16" x14ac:dyDescent="0.2">
      <c r="A255" s="5" t="s">
        <v>363</v>
      </c>
      <c r="B255" s="6">
        <v>46300</v>
      </c>
      <c r="C255" s="56">
        <v>0.24861111111111101</v>
      </c>
      <c r="D255" s="56">
        <v>0.60208333333333297</v>
      </c>
      <c r="E255" s="57">
        <v>0.39444444444444399</v>
      </c>
      <c r="F255" s="58">
        <v>0.41527777777777802</v>
      </c>
      <c r="G255" s="59" t="str">
        <f t="array" ref="G255">_xlfn.XLOOKUP(A255&amp;"|"&amp;B255,ShiftRoster[Employee ID]&amp;"|"&amp;ShiftRoster[Date],ShiftRoster[Shift Code],_xlfn.XLOOKUP(A255,TRIM(SUBSTITUTE('worker file'!$A$2:$A$406,_xlfn.UNICHAR(160)," ")),'worker file'!$X$2:$X$406,"?"),0,-1)</f>
        <v>DAY</v>
      </c>
      <c r="H255" s="59" t="str">
        <f>_xlfn.XLOOKUP(G255,ShiftCodes[Code],ShiftCodes[Work Schedule],"Unknown")</f>
        <v>Shift A – Day (Mon–Fri 06:00–14:30)</v>
      </c>
      <c r="I255" s="60">
        <f>_xlfn.XLOOKUP(G255,ShiftCodes[Code],ShiftCodes[Start],"")</f>
        <v>0.25</v>
      </c>
      <c r="J255" s="61">
        <f t="shared" si="15"/>
        <v>-2</v>
      </c>
      <c r="K255" s="59" t="str">
        <f t="shared" si="16"/>
        <v>OK</v>
      </c>
      <c r="L255" s="62"/>
      <c r="M255" s="5" t="str">
        <f t="shared" si="17"/>
        <v>Mon</v>
      </c>
      <c r="N255" s="63">
        <f t="shared" si="18"/>
        <v>7.98</v>
      </c>
      <c r="O255" s="5" t="s">
        <v>758</v>
      </c>
      <c r="P255" s="6">
        <v>46300</v>
      </c>
      <c r="Q255" s="5" t="str">
        <f t="shared" si="19"/>
        <v>Current period</v>
      </c>
      <c r="R255" s="5" t="str">
        <f t="array" ref="R255">_xlfn.XLOOKUP(A255,TRIM(SUBSTITUTE('worker file'!$A$2:$A$406,_xlfn.UNICHAR(160)," ")),'worker file'!$D$2:$D$406,"Not found")</f>
        <v>TX</v>
      </c>
    </row>
    <row r="256" spans="1:18" ht="16" x14ac:dyDescent="0.2">
      <c r="A256" s="5" t="s">
        <v>363</v>
      </c>
      <c r="B256" s="6">
        <v>46301</v>
      </c>
      <c r="C256" s="56">
        <v>0.25277777777777799</v>
      </c>
      <c r="D256" s="56">
        <v>0.60138888888888897</v>
      </c>
      <c r="E256" s="57">
        <v>0.4</v>
      </c>
      <c r="F256" s="58">
        <v>0.420833333333333</v>
      </c>
      <c r="G256" s="59" t="str">
        <f t="array" ref="G256">_xlfn.XLOOKUP(A256&amp;"|"&amp;B256,ShiftRoster[Employee ID]&amp;"|"&amp;ShiftRoster[Date],ShiftRoster[Shift Code],_xlfn.XLOOKUP(A256,TRIM(SUBSTITUTE('worker file'!$A$2:$A$406,_xlfn.UNICHAR(160)," ")),'worker file'!$X$2:$X$406,"?"),0,-1)</f>
        <v>DAY</v>
      </c>
      <c r="H256" s="59" t="str">
        <f>_xlfn.XLOOKUP(G256,ShiftCodes[Code],ShiftCodes[Work Schedule],"Unknown")</f>
        <v>Shift A – Day (Mon–Fri 06:00–14:30)</v>
      </c>
      <c r="I256" s="60">
        <f>_xlfn.XLOOKUP(G256,ShiftCodes[Code],ShiftCodes[Start],"")</f>
        <v>0.25</v>
      </c>
      <c r="J256" s="61">
        <f t="shared" si="15"/>
        <v>4</v>
      </c>
      <c r="K256" s="59" t="str">
        <f t="shared" si="16"/>
        <v>OK</v>
      </c>
      <c r="L256" s="62"/>
      <c r="M256" s="5" t="str">
        <f t="shared" si="17"/>
        <v>Tue</v>
      </c>
      <c r="N256" s="63">
        <f t="shared" si="18"/>
        <v>7.87</v>
      </c>
      <c r="O256" s="5" t="s">
        <v>758</v>
      </c>
      <c r="P256" s="6">
        <v>46301</v>
      </c>
      <c r="Q256" s="5" t="str">
        <f t="shared" si="19"/>
        <v>Current period</v>
      </c>
      <c r="R256" s="5" t="str">
        <f t="array" ref="R256">_xlfn.XLOOKUP(A256,TRIM(SUBSTITUTE('worker file'!$A$2:$A$406,_xlfn.UNICHAR(160)," ")),'worker file'!$D$2:$D$406,"Not found")</f>
        <v>TX</v>
      </c>
    </row>
    <row r="257" spans="1:18" ht="16" x14ac:dyDescent="0.2">
      <c r="A257" s="5" t="s">
        <v>363</v>
      </c>
      <c r="B257" s="6">
        <v>46302</v>
      </c>
      <c r="C257" s="56">
        <v>0.24791666666666701</v>
      </c>
      <c r="D257" s="56">
        <v>0.60208333333333297</v>
      </c>
      <c r="E257" s="57">
        <v>0.43125000000000002</v>
      </c>
      <c r="F257" s="58">
        <v>0.452083333333333</v>
      </c>
      <c r="G257" s="59" t="str">
        <f t="array" ref="G257">_xlfn.XLOOKUP(A257&amp;"|"&amp;B257,ShiftRoster[Employee ID]&amp;"|"&amp;ShiftRoster[Date],ShiftRoster[Shift Code],_xlfn.XLOOKUP(A257,TRIM(SUBSTITUTE('worker file'!$A$2:$A$406,_xlfn.UNICHAR(160)," ")),'worker file'!$X$2:$X$406,"?"),0,-1)</f>
        <v>DAY</v>
      </c>
      <c r="H257" s="59" t="str">
        <f>_xlfn.XLOOKUP(G257,ShiftCodes[Code],ShiftCodes[Work Schedule],"Unknown")</f>
        <v>Shift A – Day (Mon–Fri 06:00–14:30)</v>
      </c>
      <c r="I257" s="60">
        <f>_xlfn.XLOOKUP(G257,ShiftCodes[Code],ShiftCodes[Start],"")</f>
        <v>0.25</v>
      </c>
      <c r="J257" s="61">
        <f t="shared" si="15"/>
        <v>-3</v>
      </c>
      <c r="K257" s="59" t="str">
        <f t="shared" si="16"/>
        <v>OK</v>
      </c>
      <c r="L257" s="62"/>
      <c r="M257" s="5" t="str">
        <f t="shared" si="17"/>
        <v>Wed</v>
      </c>
      <c r="N257" s="63">
        <f t="shared" si="18"/>
        <v>8</v>
      </c>
      <c r="O257" s="5" t="s">
        <v>758</v>
      </c>
      <c r="P257" s="6">
        <v>46302</v>
      </c>
      <c r="Q257" s="5" t="str">
        <f t="shared" si="19"/>
        <v>Current period</v>
      </c>
      <c r="R257" s="5" t="str">
        <f t="array" ref="R257">_xlfn.XLOOKUP(A257,TRIM(SUBSTITUTE('worker file'!$A$2:$A$406,_xlfn.UNICHAR(160)," ")),'worker file'!$D$2:$D$406,"Not found")</f>
        <v>TX</v>
      </c>
    </row>
    <row r="258" spans="1:18" ht="16" x14ac:dyDescent="0.2">
      <c r="A258" s="5" t="s">
        <v>363</v>
      </c>
      <c r="B258" s="6">
        <v>46303</v>
      </c>
      <c r="C258" s="56">
        <v>0.24652777777777801</v>
      </c>
      <c r="D258" s="56">
        <v>0.59652777777777799</v>
      </c>
      <c r="E258" s="57">
        <v>0.39930555555555602</v>
      </c>
      <c r="F258" s="58">
        <v>0.42013888888888901</v>
      </c>
      <c r="G258" s="59" t="str">
        <f t="array" ref="G258">_xlfn.XLOOKUP(A258&amp;"|"&amp;B258,ShiftRoster[Employee ID]&amp;"|"&amp;ShiftRoster[Date],ShiftRoster[Shift Code],_xlfn.XLOOKUP(A258,TRIM(SUBSTITUTE('worker file'!$A$2:$A$406,_xlfn.UNICHAR(160)," ")),'worker file'!$X$2:$X$406,"?"),0,-1)</f>
        <v>DAY</v>
      </c>
      <c r="H258" s="59" t="str">
        <f>_xlfn.XLOOKUP(G258,ShiftCodes[Code],ShiftCodes[Work Schedule],"Unknown")</f>
        <v>Shift A – Day (Mon–Fri 06:00–14:30)</v>
      </c>
      <c r="I258" s="60">
        <f>_xlfn.XLOOKUP(G258,ShiftCodes[Code],ShiftCodes[Start],"")</f>
        <v>0.25</v>
      </c>
      <c r="J258" s="61">
        <f t="shared" ref="J258:J321" si="20">IF(OR(C258="",I258=""),"",ROUND((MOD(C258-I258+0.5,1)-0.5)*1440,0))</f>
        <v>-5</v>
      </c>
      <c r="K258" s="59" t="str">
        <f t="shared" ref="K258:K321" si="21">IF(J258="","",IF(ABS(J258)&gt;$U$3,"Off-schedule","OK"))</f>
        <v>OK</v>
      </c>
      <c r="L258" s="62"/>
      <c r="M258" s="5" t="str">
        <f t="shared" ref="M258:M321" si="22">TEXT(B258,"ddd")</f>
        <v>Thu</v>
      </c>
      <c r="N258" s="63">
        <f t="shared" ref="N258:N321" si="23">IF(OR(C258="",D258=""),"",ROUND((MOD(D258-C258,1)-IF(ISNUMBER(E258),MOD(F258-E258,1),0))*24,2))</f>
        <v>7.9</v>
      </c>
      <c r="O258" s="5" t="s">
        <v>758</v>
      </c>
      <c r="P258" s="6">
        <v>46303</v>
      </c>
      <c r="Q258" s="5" t="str">
        <f t="shared" ref="Q258:Q321" si="24">IF(B258&lt;$U$1,"Prior period",IF(B258&gt;$U$2,"Future period","Current period"))</f>
        <v>Current period</v>
      </c>
      <c r="R258" s="5" t="str">
        <f t="array" ref="R258">_xlfn.XLOOKUP(A258,TRIM(SUBSTITUTE('worker file'!$A$2:$A$406,_xlfn.UNICHAR(160)," ")),'worker file'!$D$2:$D$406,"Not found")</f>
        <v>TX</v>
      </c>
    </row>
    <row r="259" spans="1:18" ht="16" x14ac:dyDescent="0.2">
      <c r="A259" s="5" t="s">
        <v>363</v>
      </c>
      <c r="B259" s="6">
        <v>46304</v>
      </c>
      <c r="C259" s="56">
        <v>0.250694444444444</v>
      </c>
      <c r="D259" s="56">
        <v>0.60208333333333297</v>
      </c>
      <c r="E259" s="57">
        <v>0.43611111111111101</v>
      </c>
      <c r="F259" s="58">
        <v>0.45694444444444399</v>
      </c>
      <c r="G259" s="59" t="str">
        <f t="array" ref="G259">_xlfn.XLOOKUP(A259&amp;"|"&amp;B259,ShiftRoster[Employee ID]&amp;"|"&amp;ShiftRoster[Date],ShiftRoster[Shift Code],_xlfn.XLOOKUP(A259,TRIM(SUBSTITUTE('worker file'!$A$2:$A$406,_xlfn.UNICHAR(160)," ")),'worker file'!$X$2:$X$406,"?"),0,-1)</f>
        <v>DAY</v>
      </c>
      <c r="H259" s="59" t="str">
        <f>_xlfn.XLOOKUP(G259,ShiftCodes[Code],ShiftCodes[Work Schedule],"Unknown")</f>
        <v>Shift A – Day (Mon–Fri 06:00–14:30)</v>
      </c>
      <c r="I259" s="60">
        <f>_xlfn.XLOOKUP(G259,ShiftCodes[Code],ShiftCodes[Start],"")</f>
        <v>0.25</v>
      </c>
      <c r="J259" s="61">
        <f t="shared" si="20"/>
        <v>1</v>
      </c>
      <c r="K259" s="59" t="str">
        <f t="shared" si="21"/>
        <v>OK</v>
      </c>
      <c r="L259" s="62"/>
      <c r="M259" s="5" t="str">
        <f t="shared" si="22"/>
        <v>Fri</v>
      </c>
      <c r="N259" s="63">
        <f t="shared" si="23"/>
        <v>7.93</v>
      </c>
      <c r="O259" s="5" t="s">
        <v>758</v>
      </c>
      <c r="P259" s="6">
        <v>46304</v>
      </c>
      <c r="Q259" s="5" t="str">
        <f t="shared" si="24"/>
        <v>Current period</v>
      </c>
      <c r="R259" s="5" t="str">
        <f t="array" ref="R259">_xlfn.XLOOKUP(A259,TRIM(SUBSTITUTE('worker file'!$A$2:$A$406,_xlfn.UNICHAR(160)," ")),'worker file'!$D$2:$D$406,"Not found")</f>
        <v>TX</v>
      </c>
    </row>
    <row r="260" spans="1:18" ht="16" x14ac:dyDescent="0.2">
      <c r="A260" s="5" t="s">
        <v>363</v>
      </c>
      <c r="B260" s="6">
        <v>46307</v>
      </c>
      <c r="C260" s="56">
        <v>0.24652777777777801</v>
      </c>
      <c r="D260" s="56">
        <v>0.66388888888888897</v>
      </c>
      <c r="E260" s="57">
        <v>0.39236111111111099</v>
      </c>
      <c r="F260" s="58">
        <v>0.41319444444444398</v>
      </c>
      <c r="G260" s="59" t="str">
        <f t="array" ref="G260">_xlfn.XLOOKUP(A260&amp;"|"&amp;B260,ShiftRoster[Employee ID]&amp;"|"&amp;ShiftRoster[Date],ShiftRoster[Shift Code],_xlfn.XLOOKUP(A260,TRIM(SUBSTITUTE('worker file'!$A$2:$A$406,_xlfn.UNICHAR(160)," ")),'worker file'!$X$2:$X$406,"?"),0,-1)</f>
        <v>DAY</v>
      </c>
      <c r="H260" s="59" t="str">
        <f>_xlfn.XLOOKUP(G260,ShiftCodes[Code],ShiftCodes[Work Schedule],"Unknown")</f>
        <v>Shift A – Day (Mon–Fri 06:00–14:30)</v>
      </c>
      <c r="I260" s="60">
        <f>_xlfn.XLOOKUP(G260,ShiftCodes[Code],ShiftCodes[Start],"")</f>
        <v>0.25</v>
      </c>
      <c r="J260" s="61">
        <f t="shared" si="20"/>
        <v>-5</v>
      </c>
      <c r="K260" s="59" t="str">
        <f t="shared" si="21"/>
        <v>OK</v>
      </c>
      <c r="L260" s="62" t="s">
        <v>784</v>
      </c>
      <c r="M260" s="5" t="str">
        <f t="shared" si="22"/>
        <v>Mon</v>
      </c>
      <c r="N260" s="63">
        <f t="shared" si="23"/>
        <v>9.52</v>
      </c>
      <c r="O260" s="5" t="s">
        <v>758</v>
      </c>
      <c r="P260" s="6">
        <v>46307</v>
      </c>
      <c r="Q260" s="5" t="str">
        <f t="shared" si="24"/>
        <v>Current period</v>
      </c>
      <c r="R260" s="5" t="str">
        <f t="array" ref="R260">_xlfn.XLOOKUP(A260,TRIM(SUBSTITUTE('worker file'!$A$2:$A$406,_xlfn.UNICHAR(160)," ")),'worker file'!$D$2:$D$406,"Not found")</f>
        <v>TX</v>
      </c>
    </row>
    <row r="261" spans="1:18" ht="16" x14ac:dyDescent="0.2">
      <c r="A261" s="5" t="s">
        <v>363</v>
      </c>
      <c r="B261" s="6">
        <v>46308</v>
      </c>
      <c r="C261" s="56">
        <v>0.25138888888888899</v>
      </c>
      <c r="D261" s="56">
        <v>0.66111111111111098</v>
      </c>
      <c r="E261" s="57">
        <v>0.41111111111111098</v>
      </c>
      <c r="F261" s="58">
        <v>0.43194444444444402</v>
      </c>
      <c r="G261" s="59" t="str">
        <f t="array" ref="G261">_xlfn.XLOOKUP(A261&amp;"|"&amp;B261,ShiftRoster[Employee ID]&amp;"|"&amp;ShiftRoster[Date],ShiftRoster[Shift Code],_xlfn.XLOOKUP(A261,TRIM(SUBSTITUTE('worker file'!$A$2:$A$406,_xlfn.UNICHAR(160)," ")),'worker file'!$X$2:$X$406,"?"),0,-1)</f>
        <v>DAY</v>
      </c>
      <c r="H261" s="59" t="str">
        <f>_xlfn.XLOOKUP(G261,ShiftCodes[Code],ShiftCodes[Work Schedule],"Unknown")</f>
        <v>Shift A – Day (Mon–Fri 06:00–14:30)</v>
      </c>
      <c r="I261" s="60">
        <f>_xlfn.XLOOKUP(G261,ShiftCodes[Code],ShiftCodes[Start],"")</f>
        <v>0.25</v>
      </c>
      <c r="J261" s="61">
        <f t="shared" si="20"/>
        <v>2</v>
      </c>
      <c r="K261" s="59" t="str">
        <f t="shared" si="21"/>
        <v>OK</v>
      </c>
      <c r="L261" s="62" t="s">
        <v>784</v>
      </c>
      <c r="M261" s="5" t="str">
        <f t="shared" si="22"/>
        <v>Tue</v>
      </c>
      <c r="N261" s="63">
        <f t="shared" si="23"/>
        <v>9.33</v>
      </c>
      <c r="O261" s="5" t="s">
        <v>758</v>
      </c>
      <c r="P261" s="6">
        <v>46308</v>
      </c>
      <c r="Q261" s="5" t="str">
        <f t="shared" si="24"/>
        <v>Current period</v>
      </c>
      <c r="R261" s="5" t="str">
        <f t="array" ref="R261">_xlfn.XLOOKUP(A261,TRIM(SUBSTITUTE('worker file'!$A$2:$A$406,_xlfn.UNICHAR(160)," ")),'worker file'!$D$2:$D$406,"Not found")</f>
        <v>TX</v>
      </c>
    </row>
    <row r="262" spans="1:18" ht="16" x14ac:dyDescent="0.2">
      <c r="A262" s="5" t="s">
        <v>363</v>
      </c>
      <c r="B262" s="6">
        <v>46309</v>
      </c>
      <c r="C262" s="56">
        <v>0.25277777777777799</v>
      </c>
      <c r="D262" s="56">
        <v>0.67013888888888895</v>
      </c>
      <c r="E262" s="57">
        <v>0.42361111111111099</v>
      </c>
      <c r="F262" s="58">
        <v>0.44444444444444398</v>
      </c>
      <c r="G262" s="59" t="str">
        <f t="array" ref="G262">_xlfn.XLOOKUP(A262&amp;"|"&amp;B262,ShiftRoster[Employee ID]&amp;"|"&amp;ShiftRoster[Date],ShiftRoster[Shift Code],_xlfn.XLOOKUP(A262,TRIM(SUBSTITUTE('worker file'!$A$2:$A$406,_xlfn.UNICHAR(160)," ")),'worker file'!$X$2:$X$406,"?"),0,-1)</f>
        <v>DAY</v>
      </c>
      <c r="H262" s="59" t="str">
        <f>_xlfn.XLOOKUP(G262,ShiftCodes[Code],ShiftCodes[Work Schedule],"Unknown")</f>
        <v>Shift A – Day (Mon–Fri 06:00–14:30)</v>
      </c>
      <c r="I262" s="60">
        <f>_xlfn.XLOOKUP(G262,ShiftCodes[Code],ShiftCodes[Start],"")</f>
        <v>0.25</v>
      </c>
      <c r="J262" s="61">
        <f t="shared" si="20"/>
        <v>4</v>
      </c>
      <c r="K262" s="59" t="str">
        <f t="shared" si="21"/>
        <v>OK</v>
      </c>
      <c r="L262" s="62" t="s">
        <v>784</v>
      </c>
      <c r="M262" s="5" t="str">
        <f t="shared" si="22"/>
        <v>Wed</v>
      </c>
      <c r="N262" s="63">
        <f t="shared" si="23"/>
        <v>9.52</v>
      </c>
      <c r="O262" s="5" t="s">
        <v>758</v>
      </c>
      <c r="P262" s="6">
        <v>46309</v>
      </c>
      <c r="Q262" s="5" t="str">
        <f t="shared" si="24"/>
        <v>Current period</v>
      </c>
      <c r="R262" s="5" t="str">
        <f t="array" ref="R262">_xlfn.XLOOKUP(A262,TRIM(SUBSTITUTE('worker file'!$A$2:$A$406,_xlfn.UNICHAR(160)," ")),'worker file'!$D$2:$D$406,"Not found")</f>
        <v>TX</v>
      </c>
    </row>
    <row r="263" spans="1:18" ht="16" x14ac:dyDescent="0.2">
      <c r="A263" s="5" t="s">
        <v>363</v>
      </c>
      <c r="B263" s="6">
        <v>46310</v>
      </c>
      <c r="C263" s="56">
        <v>0.24861111111111101</v>
      </c>
      <c r="D263" s="56">
        <v>0.66736111111111096</v>
      </c>
      <c r="E263" s="57">
        <v>0.40902777777777799</v>
      </c>
      <c r="F263" s="58">
        <v>0.42986111111111103</v>
      </c>
      <c r="G263" s="59" t="str">
        <f t="array" ref="G263">_xlfn.XLOOKUP(A263&amp;"|"&amp;B263,ShiftRoster[Employee ID]&amp;"|"&amp;ShiftRoster[Date],ShiftRoster[Shift Code],_xlfn.XLOOKUP(A263,TRIM(SUBSTITUTE('worker file'!$A$2:$A$406,_xlfn.UNICHAR(160)," ")),'worker file'!$X$2:$X$406,"?"),0,-1)</f>
        <v>DAY</v>
      </c>
      <c r="H263" s="59" t="str">
        <f>_xlfn.XLOOKUP(G263,ShiftCodes[Code],ShiftCodes[Work Schedule],"Unknown")</f>
        <v>Shift A – Day (Mon–Fri 06:00–14:30)</v>
      </c>
      <c r="I263" s="60">
        <f>_xlfn.XLOOKUP(G263,ShiftCodes[Code],ShiftCodes[Start],"")</f>
        <v>0.25</v>
      </c>
      <c r="J263" s="61">
        <f t="shared" si="20"/>
        <v>-2</v>
      </c>
      <c r="K263" s="59" t="str">
        <f t="shared" si="21"/>
        <v>OK</v>
      </c>
      <c r="L263" s="62" t="s">
        <v>784</v>
      </c>
      <c r="M263" s="5" t="str">
        <f t="shared" si="22"/>
        <v>Thu</v>
      </c>
      <c r="N263" s="63">
        <f t="shared" si="23"/>
        <v>9.5500000000000007</v>
      </c>
      <c r="O263" s="5" t="s">
        <v>758</v>
      </c>
      <c r="P263" s="6">
        <v>46310</v>
      </c>
      <c r="Q263" s="5" t="str">
        <f t="shared" si="24"/>
        <v>Current period</v>
      </c>
      <c r="R263" s="5" t="str">
        <f t="array" ref="R263">_xlfn.XLOOKUP(A263,TRIM(SUBSTITUTE('worker file'!$A$2:$A$406,_xlfn.UNICHAR(160)," ")),'worker file'!$D$2:$D$406,"Not found")</f>
        <v>TX</v>
      </c>
    </row>
    <row r="264" spans="1:18" ht="16" x14ac:dyDescent="0.2">
      <c r="A264" s="5" t="s">
        <v>363</v>
      </c>
      <c r="B264" s="6">
        <v>46311</v>
      </c>
      <c r="C264" s="56">
        <v>0.24791666666666701</v>
      </c>
      <c r="D264" s="56">
        <v>0.66249999999999998</v>
      </c>
      <c r="E264" s="57">
        <v>0.40902777777777799</v>
      </c>
      <c r="F264" s="58">
        <v>0.42986111111111103</v>
      </c>
      <c r="G264" s="59" t="str">
        <f t="array" ref="G264">_xlfn.XLOOKUP(A264&amp;"|"&amp;B264,ShiftRoster[Employee ID]&amp;"|"&amp;ShiftRoster[Date],ShiftRoster[Shift Code],_xlfn.XLOOKUP(A264,TRIM(SUBSTITUTE('worker file'!$A$2:$A$406,_xlfn.UNICHAR(160)," ")),'worker file'!$X$2:$X$406,"?"),0,-1)</f>
        <v>DAY</v>
      </c>
      <c r="H264" s="59" t="str">
        <f>_xlfn.XLOOKUP(G264,ShiftCodes[Code],ShiftCodes[Work Schedule],"Unknown")</f>
        <v>Shift A – Day (Mon–Fri 06:00–14:30)</v>
      </c>
      <c r="I264" s="60">
        <f>_xlfn.XLOOKUP(G264,ShiftCodes[Code],ShiftCodes[Start],"")</f>
        <v>0.25</v>
      </c>
      <c r="J264" s="61">
        <f t="shared" si="20"/>
        <v>-3</v>
      </c>
      <c r="K264" s="59" t="str">
        <f t="shared" si="21"/>
        <v>OK</v>
      </c>
      <c r="L264" s="62" t="s">
        <v>784</v>
      </c>
      <c r="M264" s="5" t="str">
        <f t="shared" si="22"/>
        <v>Fri</v>
      </c>
      <c r="N264" s="63">
        <f t="shared" si="23"/>
        <v>9.4499999999999993</v>
      </c>
      <c r="O264" s="5" t="s">
        <v>758</v>
      </c>
      <c r="P264" s="6">
        <v>46311</v>
      </c>
      <c r="Q264" s="5" t="str">
        <f t="shared" si="24"/>
        <v>Current period</v>
      </c>
      <c r="R264" s="5" t="str">
        <f t="array" ref="R264">_xlfn.XLOOKUP(A264,TRIM(SUBSTITUTE('worker file'!$A$2:$A$406,_xlfn.UNICHAR(160)," ")),'worker file'!$D$2:$D$406,"Not found")</f>
        <v>TX</v>
      </c>
    </row>
    <row r="265" spans="1:18" ht="16" x14ac:dyDescent="0.2">
      <c r="A265" s="5" t="s">
        <v>376</v>
      </c>
      <c r="B265" s="6">
        <v>46300</v>
      </c>
      <c r="C265" s="56">
        <v>0.58472222222222203</v>
      </c>
      <c r="D265" s="56">
        <v>0.93402777777777801</v>
      </c>
      <c r="E265" s="57">
        <v>0.750694444444444</v>
      </c>
      <c r="F265" s="58">
        <v>0.77152777777777803</v>
      </c>
      <c r="G265" s="59" t="str">
        <f t="array" ref="G265">_xlfn.XLOOKUP(A265&amp;"|"&amp;B265,ShiftRoster[Employee ID]&amp;"|"&amp;ShiftRoster[Date],ShiftRoster[Shift Code],_xlfn.XLOOKUP(A265,TRIM(SUBSTITUTE('worker file'!$A$2:$A$406,_xlfn.UNICHAR(160)," ")),'worker file'!$X$2:$X$406,"?"),0,-1)</f>
        <v>SWNG</v>
      </c>
      <c r="H265" s="59" t="str">
        <f>_xlfn.XLOOKUP(G265,ShiftCodes[Code],ShiftCodes[Work Schedule],"Unknown")</f>
        <v>Shift B – Swing (Mon–Fri 14:00–22:30)</v>
      </c>
      <c r="I265" s="60">
        <f>_xlfn.XLOOKUP(G265,ShiftCodes[Code],ShiftCodes[Start],"")</f>
        <v>0.58333333333333304</v>
      </c>
      <c r="J265" s="61">
        <f t="shared" si="20"/>
        <v>2</v>
      </c>
      <c r="K265" s="59" t="str">
        <f t="shared" si="21"/>
        <v>OK</v>
      </c>
      <c r="L265" s="62"/>
      <c r="M265" s="5" t="str">
        <f t="shared" si="22"/>
        <v>Mon</v>
      </c>
      <c r="N265" s="63">
        <f t="shared" si="23"/>
        <v>7.88</v>
      </c>
      <c r="O265" s="5" t="s">
        <v>758</v>
      </c>
      <c r="P265" s="6">
        <v>46300</v>
      </c>
      <c r="Q265" s="5" t="str">
        <f t="shared" si="24"/>
        <v>Current period</v>
      </c>
      <c r="R265" s="5" t="str">
        <f t="array" ref="R265">_xlfn.XLOOKUP(A265,TRIM(SUBSTITUTE('worker file'!$A$2:$A$406,_xlfn.UNICHAR(160)," ")),'worker file'!$D$2:$D$406,"Not found")</f>
        <v>TX</v>
      </c>
    </row>
    <row r="266" spans="1:18" ht="16" x14ac:dyDescent="0.2">
      <c r="A266" s="5" t="s">
        <v>376</v>
      </c>
      <c r="B266" s="6">
        <v>46301</v>
      </c>
      <c r="C266" s="56">
        <v>0.58472222222222203</v>
      </c>
      <c r="D266" s="56">
        <v>0.93472222222222201</v>
      </c>
      <c r="E266" s="57">
        <v>0.75416666666666698</v>
      </c>
      <c r="F266" s="58">
        <v>0.77500000000000002</v>
      </c>
      <c r="G266" s="59" t="str">
        <f t="array" ref="G266">_xlfn.XLOOKUP(A266&amp;"|"&amp;B266,ShiftRoster[Employee ID]&amp;"|"&amp;ShiftRoster[Date],ShiftRoster[Shift Code],_xlfn.XLOOKUP(A266,TRIM(SUBSTITUTE('worker file'!$A$2:$A$406,_xlfn.UNICHAR(160)," ")),'worker file'!$X$2:$X$406,"?"),0,-1)</f>
        <v>SWNG</v>
      </c>
      <c r="H266" s="59" t="str">
        <f>_xlfn.XLOOKUP(G266,ShiftCodes[Code],ShiftCodes[Work Schedule],"Unknown")</f>
        <v>Shift B – Swing (Mon–Fri 14:00–22:30)</v>
      </c>
      <c r="I266" s="60">
        <f>_xlfn.XLOOKUP(G266,ShiftCodes[Code],ShiftCodes[Start],"")</f>
        <v>0.58333333333333304</v>
      </c>
      <c r="J266" s="61">
        <f t="shared" si="20"/>
        <v>2</v>
      </c>
      <c r="K266" s="59" t="str">
        <f t="shared" si="21"/>
        <v>OK</v>
      </c>
      <c r="L266" s="62"/>
      <c r="M266" s="5" t="str">
        <f t="shared" si="22"/>
        <v>Tue</v>
      </c>
      <c r="N266" s="63">
        <f t="shared" si="23"/>
        <v>7.9</v>
      </c>
      <c r="O266" s="5" t="s">
        <v>758</v>
      </c>
      <c r="P266" s="6">
        <v>46301</v>
      </c>
      <c r="Q266" s="5" t="str">
        <f t="shared" si="24"/>
        <v>Current period</v>
      </c>
      <c r="R266" s="5" t="str">
        <f t="array" ref="R266">_xlfn.XLOOKUP(A266,TRIM(SUBSTITUTE('worker file'!$A$2:$A$406,_xlfn.UNICHAR(160)," ")),'worker file'!$D$2:$D$406,"Not found")</f>
        <v>TX</v>
      </c>
    </row>
    <row r="267" spans="1:18" ht="16" x14ac:dyDescent="0.2">
      <c r="A267" s="5" t="s">
        <v>376</v>
      </c>
      <c r="B267" s="6">
        <v>46302</v>
      </c>
      <c r="C267" s="56">
        <v>0.58194444444444504</v>
      </c>
      <c r="D267" s="56">
        <v>0.93333333333333302</v>
      </c>
      <c r="E267" s="57">
        <v>0.72847222222222197</v>
      </c>
      <c r="F267" s="58">
        <v>0.749305555555556</v>
      </c>
      <c r="G267" s="59" t="str">
        <f t="array" ref="G267">_xlfn.XLOOKUP(A267&amp;"|"&amp;B267,ShiftRoster[Employee ID]&amp;"|"&amp;ShiftRoster[Date],ShiftRoster[Shift Code],_xlfn.XLOOKUP(A267,TRIM(SUBSTITUTE('worker file'!$A$2:$A$406,_xlfn.UNICHAR(160)," ")),'worker file'!$X$2:$X$406,"?"),0,-1)</f>
        <v>SWNG</v>
      </c>
      <c r="H267" s="59" t="str">
        <f>_xlfn.XLOOKUP(G267,ShiftCodes[Code],ShiftCodes[Work Schedule],"Unknown")</f>
        <v>Shift B – Swing (Mon–Fri 14:00–22:30)</v>
      </c>
      <c r="I267" s="60">
        <f>_xlfn.XLOOKUP(G267,ShiftCodes[Code],ShiftCodes[Start],"")</f>
        <v>0.58333333333333304</v>
      </c>
      <c r="J267" s="61">
        <f t="shared" si="20"/>
        <v>-2</v>
      </c>
      <c r="K267" s="59" t="str">
        <f t="shared" si="21"/>
        <v>OK</v>
      </c>
      <c r="L267" s="62"/>
      <c r="M267" s="5" t="str">
        <f t="shared" si="22"/>
        <v>Wed</v>
      </c>
      <c r="N267" s="63">
        <f t="shared" si="23"/>
        <v>7.93</v>
      </c>
      <c r="O267" s="5" t="s">
        <v>758</v>
      </c>
      <c r="P267" s="6">
        <v>46302</v>
      </c>
      <c r="Q267" s="5" t="str">
        <f t="shared" si="24"/>
        <v>Current period</v>
      </c>
      <c r="R267" s="5" t="str">
        <f t="array" ref="R267">_xlfn.XLOOKUP(A267,TRIM(SUBSTITUTE('worker file'!$A$2:$A$406,_xlfn.UNICHAR(160)," ")),'worker file'!$D$2:$D$406,"Not found")</f>
        <v>TX</v>
      </c>
    </row>
    <row r="268" spans="1:18" ht="16" x14ac:dyDescent="0.2">
      <c r="A268" s="5" t="s">
        <v>376</v>
      </c>
      <c r="B268" s="6">
        <v>46303</v>
      </c>
      <c r="C268" s="56">
        <v>0.58194444444444504</v>
      </c>
      <c r="D268" s="56">
        <v>0.93472222222222201</v>
      </c>
      <c r="E268" s="57">
        <v>0.75972222222222197</v>
      </c>
      <c r="F268" s="58">
        <v>0.780555555555556</v>
      </c>
      <c r="G268" s="59" t="str">
        <f t="array" ref="G268">_xlfn.XLOOKUP(A268&amp;"|"&amp;B268,ShiftRoster[Employee ID]&amp;"|"&amp;ShiftRoster[Date],ShiftRoster[Shift Code],_xlfn.XLOOKUP(A268,TRIM(SUBSTITUTE('worker file'!$A$2:$A$406,_xlfn.UNICHAR(160)," ")),'worker file'!$X$2:$X$406,"?"),0,-1)</f>
        <v>SWNG</v>
      </c>
      <c r="H268" s="59" t="str">
        <f>_xlfn.XLOOKUP(G268,ShiftCodes[Code],ShiftCodes[Work Schedule],"Unknown")</f>
        <v>Shift B – Swing (Mon–Fri 14:00–22:30)</v>
      </c>
      <c r="I268" s="60">
        <f>_xlfn.XLOOKUP(G268,ShiftCodes[Code],ShiftCodes[Start],"")</f>
        <v>0.58333333333333304</v>
      </c>
      <c r="J268" s="61">
        <f t="shared" si="20"/>
        <v>-2</v>
      </c>
      <c r="K268" s="59" t="str">
        <f t="shared" si="21"/>
        <v>OK</v>
      </c>
      <c r="L268" s="62"/>
      <c r="M268" s="5" t="str">
        <f t="shared" si="22"/>
        <v>Thu</v>
      </c>
      <c r="N268" s="63">
        <f t="shared" si="23"/>
        <v>7.97</v>
      </c>
      <c r="O268" s="5" t="s">
        <v>758</v>
      </c>
      <c r="P268" s="6">
        <v>46303</v>
      </c>
      <c r="Q268" s="5" t="str">
        <f t="shared" si="24"/>
        <v>Current period</v>
      </c>
      <c r="R268" s="5" t="str">
        <f t="array" ref="R268">_xlfn.XLOOKUP(A268,TRIM(SUBSTITUTE('worker file'!$A$2:$A$406,_xlfn.UNICHAR(160)," ")),'worker file'!$D$2:$D$406,"Not found")</f>
        <v>TX</v>
      </c>
    </row>
    <row r="269" spans="1:18" ht="16" x14ac:dyDescent="0.2">
      <c r="A269" s="5" t="s">
        <v>376</v>
      </c>
      <c r="B269" s="6">
        <v>46304</v>
      </c>
      <c r="C269" s="56">
        <v>0.58333333333333304</v>
      </c>
      <c r="D269" s="56">
        <v>0.93541666666666701</v>
      </c>
      <c r="E269" s="57">
        <v>0.73888888888888904</v>
      </c>
      <c r="F269" s="58">
        <v>0.75972222222222197</v>
      </c>
      <c r="G269" s="59" t="str">
        <f t="array" ref="G269">_xlfn.XLOOKUP(A269&amp;"|"&amp;B269,ShiftRoster[Employee ID]&amp;"|"&amp;ShiftRoster[Date],ShiftRoster[Shift Code],_xlfn.XLOOKUP(A269,TRIM(SUBSTITUTE('worker file'!$A$2:$A$406,_xlfn.UNICHAR(160)," ")),'worker file'!$X$2:$X$406,"?"),0,-1)</f>
        <v>SWNG</v>
      </c>
      <c r="H269" s="59" t="str">
        <f>_xlfn.XLOOKUP(G269,ShiftCodes[Code],ShiftCodes[Work Schedule],"Unknown")</f>
        <v>Shift B – Swing (Mon–Fri 14:00–22:30)</v>
      </c>
      <c r="I269" s="60">
        <f>_xlfn.XLOOKUP(G269,ShiftCodes[Code],ShiftCodes[Start],"")</f>
        <v>0.58333333333333304</v>
      </c>
      <c r="J269" s="61">
        <f t="shared" si="20"/>
        <v>0</v>
      </c>
      <c r="K269" s="59" t="str">
        <f t="shared" si="21"/>
        <v>OK</v>
      </c>
      <c r="L269" s="62"/>
      <c r="M269" s="5" t="str">
        <f t="shared" si="22"/>
        <v>Fri</v>
      </c>
      <c r="N269" s="63">
        <f t="shared" si="23"/>
        <v>7.95</v>
      </c>
      <c r="O269" s="5" t="s">
        <v>758</v>
      </c>
      <c r="P269" s="6">
        <v>46304</v>
      </c>
      <c r="Q269" s="5" t="str">
        <f t="shared" si="24"/>
        <v>Current period</v>
      </c>
      <c r="R269" s="5" t="str">
        <f t="array" ref="R269">_xlfn.XLOOKUP(A269,TRIM(SUBSTITUTE('worker file'!$A$2:$A$406,_xlfn.UNICHAR(160)," ")),'worker file'!$D$2:$D$406,"Not found")</f>
        <v>TX</v>
      </c>
    </row>
    <row r="270" spans="1:18" ht="16" x14ac:dyDescent="0.2">
      <c r="A270" s="5" t="s">
        <v>376</v>
      </c>
      <c r="B270" s="6">
        <v>46307</v>
      </c>
      <c r="C270" s="56">
        <v>0.57986111111111105</v>
      </c>
      <c r="D270" s="56">
        <v>0.93402777777777801</v>
      </c>
      <c r="E270" s="57">
        <v>0.81597222222222199</v>
      </c>
      <c r="F270" s="58">
        <v>0.83680555555555602</v>
      </c>
      <c r="G270" s="59" t="str">
        <f t="array" ref="G270">_xlfn.XLOOKUP(A270&amp;"|"&amp;B270,ShiftRoster[Employee ID]&amp;"|"&amp;ShiftRoster[Date],ShiftRoster[Shift Code],_xlfn.XLOOKUP(A270,TRIM(SUBSTITUTE('worker file'!$A$2:$A$406,_xlfn.UNICHAR(160)," ")),'worker file'!$X$2:$X$406,"?"),0,-1)</f>
        <v>SWNG</v>
      </c>
      <c r="H270" s="59" t="str">
        <f>_xlfn.XLOOKUP(G270,ShiftCodes[Code],ShiftCodes[Work Schedule],"Unknown")</f>
        <v>Shift B – Swing (Mon–Fri 14:00–22:30)</v>
      </c>
      <c r="I270" s="60">
        <f>_xlfn.XLOOKUP(G270,ShiftCodes[Code],ShiftCodes[Start],"")</f>
        <v>0.58333333333333304</v>
      </c>
      <c r="J270" s="61">
        <f t="shared" si="20"/>
        <v>-5</v>
      </c>
      <c r="K270" s="59" t="str">
        <f t="shared" si="21"/>
        <v>OK</v>
      </c>
      <c r="L270" s="62" t="s">
        <v>768</v>
      </c>
      <c r="M270" s="5" t="str">
        <f t="shared" si="22"/>
        <v>Mon</v>
      </c>
      <c r="N270" s="63">
        <f t="shared" si="23"/>
        <v>8</v>
      </c>
      <c r="O270" s="5" t="s">
        <v>758</v>
      </c>
      <c r="P270" s="6">
        <v>46307</v>
      </c>
      <c r="Q270" s="5" t="str">
        <f t="shared" si="24"/>
        <v>Current period</v>
      </c>
      <c r="R270" s="5" t="str">
        <f t="array" ref="R270">_xlfn.XLOOKUP(A270,TRIM(SUBSTITUTE('worker file'!$A$2:$A$406,_xlfn.UNICHAR(160)," ")),'worker file'!$D$2:$D$406,"Not found")</f>
        <v>TX</v>
      </c>
    </row>
    <row r="271" spans="1:18" ht="16" x14ac:dyDescent="0.2">
      <c r="A271" s="5" t="s">
        <v>376</v>
      </c>
      <c r="B271" s="6">
        <v>46308</v>
      </c>
      <c r="C271" s="56">
        <v>0.58194444444444504</v>
      </c>
      <c r="D271" s="56">
        <v>0.93541666666666701</v>
      </c>
      <c r="E271" s="57">
        <v>0.73472222222222205</v>
      </c>
      <c r="F271" s="58">
        <v>0.75555555555555598</v>
      </c>
      <c r="G271" s="59" t="str">
        <f t="array" ref="G271">_xlfn.XLOOKUP(A271&amp;"|"&amp;B271,ShiftRoster[Employee ID]&amp;"|"&amp;ShiftRoster[Date],ShiftRoster[Shift Code],_xlfn.XLOOKUP(A271,TRIM(SUBSTITUTE('worker file'!$A$2:$A$406,_xlfn.UNICHAR(160)," ")),'worker file'!$X$2:$X$406,"?"),0,-1)</f>
        <v>SWNG</v>
      </c>
      <c r="H271" s="59" t="str">
        <f>_xlfn.XLOOKUP(G271,ShiftCodes[Code],ShiftCodes[Work Schedule],"Unknown")</f>
        <v>Shift B – Swing (Mon–Fri 14:00–22:30)</v>
      </c>
      <c r="I271" s="60">
        <f>_xlfn.XLOOKUP(G271,ShiftCodes[Code],ShiftCodes[Start],"")</f>
        <v>0.58333333333333304</v>
      </c>
      <c r="J271" s="61">
        <f t="shared" si="20"/>
        <v>-2</v>
      </c>
      <c r="K271" s="59" t="str">
        <f t="shared" si="21"/>
        <v>OK</v>
      </c>
      <c r="L271" s="62"/>
      <c r="M271" s="5" t="str">
        <f t="shared" si="22"/>
        <v>Tue</v>
      </c>
      <c r="N271" s="63">
        <f t="shared" si="23"/>
        <v>7.98</v>
      </c>
      <c r="O271" s="5" t="s">
        <v>758</v>
      </c>
      <c r="P271" s="6">
        <v>46308</v>
      </c>
      <c r="Q271" s="5" t="str">
        <f t="shared" si="24"/>
        <v>Current period</v>
      </c>
      <c r="R271" s="5" t="str">
        <f t="array" ref="R271">_xlfn.XLOOKUP(A271,TRIM(SUBSTITUTE('worker file'!$A$2:$A$406,_xlfn.UNICHAR(160)," ")),'worker file'!$D$2:$D$406,"Not found")</f>
        <v>TX</v>
      </c>
    </row>
    <row r="272" spans="1:18" ht="16" x14ac:dyDescent="0.2">
      <c r="A272" s="5" t="s">
        <v>376</v>
      </c>
      <c r="B272" s="6">
        <v>46309</v>
      </c>
      <c r="C272" s="56">
        <v>0.58402777777777803</v>
      </c>
      <c r="D272" s="56">
        <v>0.938194444444444</v>
      </c>
      <c r="E272" s="57">
        <v>0.75486111111111098</v>
      </c>
      <c r="F272" s="58">
        <v>0.77569444444444502</v>
      </c>
      <c r="G272" s="59" t="str">
        <f t="array" ref="G272">_xlfn.XLOOKUP(A272&amp;"|"&amp;B272,ShiftRoster[Employee ID]&amp;"|"&amp;ShiftRoster[Date],ShiftRoster[Shift Code],_xlfn.XLOOKUP(A272,TRIM(SUBSTITUTE('worker file'!$A$2:$A$406,_xlfn.UNICHAR(160)," ")),'worker file'!$X$2:$X$406,"?"),0,-1)</f>
        <v>SWNG</v>
      </c>
      <c r="H272" s="59" t="str">
        <f>_xlfn.XLOOKUP(G272,ShiftCodes[Code],ShiftCodes[Work Schedule],"Unknown")</f>
        <v>Shift B – Swing (Mon–Fri 14:00–22:30)</v>
      </c>
      <c r="I272" s="60">
        <f>_xlfn.XLOOKUP(G272,ShiftCodes[Code],ShiftCodes[Start],"")</f>
        <v>0.58333333333333304</v>
      </c>
      <c r="J272" s="61">
        <f t="shared" si="20"/>
        <v>1</v>
      </c>
      <c r="K272" s="59" t="str">
        <f t="shared" si="21"/>
        <v>OK</v>
      </c>
      <c r="L272" s="62"/>
      <c r="M272" s="5" t="str">
        <f t="shared" si="22"/>
        <v>Wed</v>
      </c>
      <c r="N272" s="63">
        <f t="shared" si="23"/>
        <v>8</v>
      </c>
      <c r="O272" s="5" t="s">
        <v>758</v>
      </c>
      <c r="P272" s="6">
        <v>46309</v>
      </c>
      <c r="Q272" s="5" t="str">
        <f t="shared" si="24"/>
        <v>Current period</v>
      </c>
      <c r="R272" s="5" t="str">
        <f t="array" ref="R272">_xlfn.XLOOKUP(A272,TRIM(SUBSTITUTE('worker file'!$A$2:$A$406,_xlfn.UNICHAR(160)," ")),'worker file'!$D$2:$D$406,"Not found")</f>
        <v>TX</v>
      </c>
    </row>
    <row r="273" spans="1:18" ht="16" x14ac:dyDescent="0.2">
      <c r="A273" s="5" t="s">
        <v>376</v>
      </c>
      <c r="B273" s="6">
        <v>46310</v>
      </c>
      <c r="C273" s="56">
        <v>0.58541666666666703</v>
      </c>
      <c r="D273" s="56">
        <v>0.936805555555556</v>
      </c>
      <c r="E273" s="57">
        <v>0.73750000000000004</v>
      </c>
      <c r="F273" s="58">
        <v>0.75833333333333297</v>
      </c>
      <c r="G273" s="59" t="str">
        <f t="array" ref="G273">_xlfn.XLOOKUP(A273&amp;"|"&amp;B273,ShiftRoster[Employee ID]&amp;"|"&amp;ShiftRoster[Date],ShiftRoster[Shift Code],_xlfn.XLOOKUP(A273,TRIM(SUBSTITUTE('worker file'!$A$2:$A$406,_xlfn.UNICHAR(160)," ")),'worker file'!$X$2:$X$406,"?"),0,-1)</f>
        <v>SWNG</v>
      </c>
      <c r="H273" s="59" t="str">
        <f>_xlfn.XLOOKUP(G273,ShiftCodes[Code],ShiftCodes[Work Schedule],"Unknown")</f>
        <v>Shift B – Swing (Mon–Fri 14:00–22:30)</v>
      </c>
      <c r="I273" s="60">
        <f>_xlfn.XLOOKUP(G273,ShiftCodes[Code],ShiftCodes[Start],"")</f>
        <v>0.58333333333333304</v>
      </c>
      <c r="J273" s="61">
        <f t="shared" si="20"/>
        <v>3</v>
      </c>
      <c r="K273" s="59" t="str">
        <f t="shared" si="21"/>
        <v>OK</v>
      </c>
      <c r="L273" s="62"/>
      <c r="M273" s="5" t="str">
        <f t="shared" si="22"/>
        <v>Thu</v>
      </c>
      <c r="N273" s="63">
        <f t="shared" si="23"/>
        <v>7.93</v>
      </c>
      <c r="O273" s="5" t="s">
        <v>758</v>
      </c>
      <c r="P273" s="6">
        <v>46310</v>
      </c>
      <c r="Q273" s="5" t="str">
        <f t="shared" si="24"/>
        <v>Current period</v>
      </c>
      <c r="R273" s="5" t="str">
        <f t="array" ref="R273">_xlfn.XLOOKUP(A273,TRIM(SUBSTITUTE('worker file'!$A$2:$A$406,_xlfn.UNICHAR(160)," ")),'worker file'!$D$2:$D$406,"Not found")</f>
        <v>TX</v>
      </c>
    </row>
    <row r="274" spans="1:18" ht="16" x14ac:dyDescent="0.2">
      <c r="A274" s="5" t="s">
        <v>376</v>
      </c>
      <c r="B274" s="6">
        <v>46311</v>
      </c>
      <c r="C274" s="56">
        <v>0.58055555555555605</v>
      </c>
      <c r="D274" s="56">
        <v>0.93472222222222201</v>
      </c>
      <c r="E274" s="57">
        <v>0.72847222222222197</v>
      </c>
      <c r="F274" s="58">
        <v>0.749305555555556</v>
      </c>
      <c r="G274" s="59" t="str">
        <f t="array" ref="G274">_xlfn.XLOOKUP(A274&amp;"|"&amp;B274,ShiftRoster[Employee ID]&amp;"|"&amp;ShiftRoster[Date],ShiftRoster[Shift Code],_xlfn.XLOOKUP(A274,TRIM(SUBSTITUTE('worker file'!$A$2:$A$406,_xlfn.UNICHAR(160)," ")),'worker file'!$X$2:$X$406,"?"),0,-1)</f>
        <v>SWNG</v>
      </c>
      <c r="H274" s="59" t="str">
        <f>_xlfn.XLOOKUP(G274,ShiftCodes[Code],ShiftCodes[Work Schedule],"Unknown")</f>
        <v>Shift B – Swing (Mon–Fri 14:00–22:30)</v>
      </c>
      <c r="I274" s="60">
        <f>_xlfn.XLOOKUP(G274,ShiftCodes[Code],ShiftCodes[Start],"")</f>
        <v>0.58333333333333304</v>
      </c>
      <c r="J274" s="61">
        <f t="shared" si="20"/>
        <v>-4</v>
      </c>
      <c r="K274" s="59" t="str">
        <f t="shared" si="21"/>
        <v>OK</v>
      </c>
      <c r="L274" s="62"/>
      <c r="M274" s="5" t="str">
        <f t="shared" si="22"/>
        <v>Fri</v>
      </c>
      <c r="N274" s="63">
        <f t="shared" si="23"/>
        <v>8</v>
      </c>
      <c r="O274" s="5" t="s">
        <v>758</v>
      </c>
      <c r="P274" s="6">
        <v>46311</v>
      </c>
      <c r="Q274" s="5" t="str">
        <f t="shared" si="24"/>
        <v>Current period</v>
      </c>
      <c r="R274" s="5" t="str">
        <f t="array" ref="R274">_xlfn.XLOOKUP(A274,TRIM(SUBSTITUTE('worker file'!$A$2:$A$406,_xlfn.UNICHAR(160)," ")),'worker file'!$D$2:$D$406,"Not found")</f>
        <v>TX</v>
      </c>
    </row>
    <row r="275" spans="1:18" ht="16" x14ac:dyDescent="0.2">
      <c r="A275" s="5" t="s">
        <v>377</v>
      </c>
      <c r="B275" s="6">
        <v>46299</v>
      </c>
      <c r="C275" s="56">
        <v>0.91736111111111096</v>
      </c>
      <c r="D275" s="56">
        <v>0.26736111111111099</v>
      </c>
      <c r="E275" s="57">
        <v>8.6111111111111097E-2</v>
      </c>
      <c r="F275" s="58">
        <v>0.106944444444444</v>
      </c>
      <c r="G275" s="59" t="str">
        <f t="array" ref="G275">_xlfn.XLOOKUP(A275&amp;"|"&amp;B275,ShiftRoster[Employee ID]&amp;"|"&amp;ShiftRoster[Date],ShiftRoster[Shift Code],_xlfn.XLOOKUP(A275,TRIM(SUBSTITUTE('worker file'!$A$2:$A$406,_xlfn.UNICHAR(160)," ")),'worker file'!$X$2:$X$406,"?"),0,-1)</f>
        <v>NGHT</v>
      </c>
      <c r="H275" s="59" t="str">
        <f>_xlfn.XLOOKUP(G275,ShiftCodes[Code],ShiftCodes[Work Schedule],"Unknown")</f>
        <v>Shift C – Night (Sun–Thu 22:00–06:30)</v>
      </c>
      <c r="I275" s="60">
        <f>_xlfn.XLOOKUP(G275,ShiftCodes[Code],ShiftCodes[Start],"")</f>
        <v>0.91666666666666696</v>
      </c>
      <c r="J275" s="61">
        <f t="shared" si="20"/>
        <v>1</v>
      </c>
      <c r="K275" s="59" t="str">
        <f t="shared" si="21"/>
        <v>OK</v>
      </c>
      <c r="L275" s="62" t="s">
        <v>779</v>
      </c>
      <c r="M275" s="5" t="str">
        <f t="shared" si="22"/>
        <v>Sun</v>
      </c>
      <c r="N275" s="63">
        <f t="shared" si="23"/>
        <v>7.9</v>
      </c>
      <c r="O275" s="5" t="s">
        <v>758</v>
      </c>
      <c r="P275" s="6">
        <v>46300</v>
      </c>
      <c r="Q275" s="5" t="str">
        <f t="shared" si="24"/>
        <v>Current period</v>
      </c>
      <c r="R275" s="5" t="str">
        <f t="array" ref="R275">_xlfn.XLOOKUP(A275,TRIM(SUBSTITUTE('worker file'!$A$2:$A$406,_xlfn.UNICHAR(160)," ")),'worker file'!$D$2:$D$406,"Not found")</f>
        <v>TX</v>
      </c>
    </row>
    <row r="276" spans="1:18" ht="16" x14ac:dyDescent="0.2">
      <c r="A276" s="5" t="s">
        <v>377</v>
      </c>
      <c r="B276" s="6">
        <v>46300</v>
      </c>
      <c r="C276" s="56">
        <v>0.91388888888888897</v>
      </c>
      <c r="D276" s="56">
        <v>0.265277777777778</v>
      </c>
      <c r="E276" s="57">
        <v>8.3333333333333301E-2</v>
      </c>
      <c r="F276" s="58">
        <v>0.104166666666667</v>
      </c>
      <c r="G276" s="59" t="str">
        <f t="array" ref="G276">_xlfn.XLOOKUP(A276&amp;"|"&amp;B276,ShiftRoster[Employee ID]&amp;"|"&amp;ShiftRoster[Date],ShiftRoster[Shift Code],_xlfn.XLOOKUP(A276,TRIM(SUBSTITUTE('worker file'!$A$2:$A$406,_xlfn.UNICHAR(160)," ")),'worker file'!$X$2:$X$406,"?"),0,-1)</f>
        <v>NGHT</v>
      </c>
      <c r="H276" s="59" t="str">
        <f>_xlfn.XLOOKUP(G276,ShiftCodes[Code],ShiftCodes[Work Schedule],"Unknown")</f>
        <v>Shift C – Night (Sun–Thu 22:00–06:30)</v>
      </c>
      <c r="I276" s="60">
        <f>_xlfn.XLOOKUP(G276,ShiftCodes[Code],ShiftCodes[Start],"")</f>
        <v>0.91666666666666696</v>
      </c>
      <c r="J276" s="61">
        <f t="shared" si="20"/>
        <v>-4</v>
      </c>
      <c r="K276" s="59" t="str">
        <f t="shared" si="21"/>
        <v>OK</v>
      </c>
      <c r="L276" s="62" t="s">
        <v>779</v>
      </c>
      <c r="M276" s="5" t="str">
        <f t="shared" si="22"/>
        <v>Mon</v>
      </c>
      <c r="N276" s="63">
        <f t="shared" si="23"/>
        <v>7.93</v>
      </c>
      <c r="O276" s="5" t="s">
        <v>758</v>
      </c>
      <c r="P276" s="6">
        <v>46301</v>
      </c>
      <c r="Q276" s="5" t="str">
        <f t="shared" si="24"/>
        <v>Current period</v>
      </c>
      <c r="R276" s="5" t="str">
        <f t="array" ref="R276">_xlfn.XLOOKUP(A276,TRIM(SUBSTITUTE('worker file'!$A$2:$A$406,_xlfn.UNICHAR(160)," ")),'worker file'!$D$2:$D$406,"Not found")</f>
        <v>TX</v>
      </c>
    </row>
    <row r="277" spans="1:18" ht="16" x14ac:dyDescent="0.2">
      <c r="A277" s="5" t="s">
        <v>377</v>
      </c>
      <c r="B277" s="6">
        <v>46301</v>
      </c>
      <c r="C277" s="56">
        <v>0.91319444444444398</v>
      </c>
      <c r="D277" s="56">
        <v>0.26319444444444401</v>
      </c>
      <c r="E277" s="57">
        <v>8.9583333333333307E-2</v>
      </c>
      <c r="F277" s="58">
        <v>0.110416666666667</v>
      </c>
      <c r="G277" s="59" t="str">
        <f t="array" ref="G277">_xlfn.XLOOKUP(A277&amp;"|"&amp;B277,ShiftRoster[Employee ID]&amp;"|"&amp;ShiftRoster[Date],ShiftRoster[Shift Code],_xlfn.XLOOKUP(A277,TRIM(SUBSTITUTE('worker file'!$A$2:$A$406,_xlfn.UNICHAR(160)," ")),'worker file'!$X$2:$X$406,"?"),0,-1)</f>
        <v>NGHT</v>
      </c>
      <c r="H277" s="59" t="str">
        <f>_xlfn.XLOOKUP(G277,ShiftCodes[Code],ShiftCodes[Work Schedule],"Unknown")</f>
        <v>Shift C – Night (Sun–Thu 22:00–06:30)</v>
      </c>
      <c r="I277" s="60">
        <f>_xlfn.XLOOKUP(G277,ShiftCodes[Code],ShiftCodes[Start],"")</f>
        <v>0.91666666666666696</v>
      </c>
      <c r="J277" s="61">
        <f t="shared" si="20"/>
        <v>-5</v>
      </c>
      <c r="K277" s="59" t="str">
        <f t="shared" si="21"/>
        <v>OK</v>
      </c>
      <c r="L277" s="62" t="s">
        <v>779</v>
      </c>
      <c r="M277" s="5" t="str">
        <f t="shared" si="22"/>
        <v>Tue</v>
      </c>
      <c r="N277" s="63">
        <f t="shared" si="23"/>
        <v>7.9</v>
      </c>
      <c r="O277" s="5" t="s">
        <v>758</v>
      </c>
      <c r="P277" s="6">
        <v>46302</v>
      </c>
      <c r="Q277" s="5" t="str">
        <f t="shared" si="24"/>
        <v>Current period</v>
      </c>
      <c r="R277" s="5" t="str">
        <f t="array" ref="R277">_xlfn.XLOOKUP(A277,TRIM(SUBSTITUTE('worker file'!$A$2:$A$406,_xlfn.UNICHAR(160)," ")),'worker file'!$D$2:$D$406,"Not found")</f>
        <v>TX</v>
      </c>
    </row>
    <row r="278" spans="1:18" ht="16" x14ac:dyDescent="0.2">
      <c r="A278" s="5" t="s">
        <v>377</v>
      </c>
      <c r="B278" s="6">
        <v>46302</v>
      </c>
      <c r="C278" s="56">
        <v>0.91944444444444395</v>
      </c>
      <c r="D278" s="56">
        <v>0.27291666666666697</v>
      </c>
      <c r="E278" s="57">
        <v>7.4999999999999997E-2</v>
      </c>
      <c r="F278" s="58">
        <v>9.5833333333333298E-2</v>
      </c>
      <c r="G278" s="59" t="str">
        <f t="array" ref="G278">_xlfn.XLOOKUP(A278&amp;"|"&amp;B278,ShiftRoster[Employee ID]&amp;"|"&amp;ShiftRoster[Date],ShiftRoster[Shift Code],_xlfn.XLOOKUP(A278,TRIM(SUBSTITUTE('worker file'!$A$2:$A$406,_xlfn.UNICHAR(160)," ")),'worker file'!$X$2:$X$406,"?"),0,-1)</f>
        <v>NGHT</v>
      </c>
      <c r="H278" s="59" t="str">
        <f>_xlfn.XLOOKUP(G278,ShiftCodes[Code],ShiftCodes[Work Schedule],"Unknown")</f>
        <v>Shift C – Night (Sun–Thu 22:00–06:30)</v>
      </c>
      <c r="I278" s="60">
        <f>_xlfn.XLOOKUP(G278,ShiftCodes[Code],ShiftCodes[Start],"")</f>
        <v>0.91666666666666696</v>
      </c>
      <c r="J278" s="61">
        <f t="shared" si="20"/>
        <v>4</v>
      </c>
      <c r="K278" s="59" t="str">
        <f t="shared" si="21"/>
        <v>OK</v>
      </c>
      <c r="L278" s="62" t="s">
        <v>779</v>
      </c>
      <c r="M278" s="5" t="str">
        <f t="shared" si="22"/>
        <v>Wed</v>
      </c>
      <c r="N278" s="63">
        <f t="shared" si="23"/>
        <v>7.98</v>
      </c>
      <c r="O278" s="5" t="s">
        <v>758</v>
      </c>
      <c r="P278" s="6">
        <v>46303</v>
      </c>
      <c r="Q278" s="5" t="str">
        <f t="shared" si="24"/>
        <v>Current period</v>
      </c>
      <c r="R278" s="5" t="str">
        <f t="array" ref="R278">_xlfn.XLOOKUP(A278,TRIM(SUBSTITUTE('worker file'!$A$2:$A$406,_xlfn.UNICHAR(160)," ")),'worker file'!$D$2:$D$406,"Not found")</f>
        <v>TX</v>
      </c>
    </row>
    <row r="279" spans="1:18" ht="16" x14ac:dyDescent="0.2">
      <c r="A279" s="5" t="s">
        <v>377</v>
      </c>
      <c r="B279" s="6">
        <v>46303</v>
      </c>
      <c r="C279" s="56">
        <v>0.91527777777777797</v>
      </c>
      <c r="D279" s="56">
        <v>0.264583333333333</v>
      </c>
      <c r="E279" s="57">
        <v>9.0972222222222204E-2</v>
      </c>
      <c r="F279" s="58">
        <v>0.111805555555556</v>
      </c>
      <c r="G279" s="59" t="str">
        <f t="array" ref="G279">_xlfn.XLOOKUP(A279&amp;"|"&amp;B279,ShiftRoster[Employee ID]&amp;"|"&amp;ShiftRoster[Date],ShiftRoster[Shift Code],_xlfn.XLOOKUP(A279,TRIM(SUBSTITUTE('worker file'!$A$2:$A$406,_xlfn.UNICHAR(160)," ")),'worker file'!$X$2:$X$406,"?"),0,-1)</f>
        <v>NGHT</v>
      </c>
      <c r="H279" s="59" t="str">
        <f>_xlfn.XLOOKUP(G279,ShiftCodes[Code],ShiftCodes[Work Schedule],"Unknown")</f>
        <v>Shift C – Night (Sun–Thu 22:00–06:30)</v>
      </c>
      <c r="I279" s="60">
        <f>_xlfn.XLOOKUP(G279,ShiftCodes[Code],ShiftCodes[Start],"")</f>
        <v>0.91666666666666696</v>
      </c>
      <c r="J279" s="61">
        <f t="shared" si="20"/>
        <v>-2</v>
      </c>
      <c r="K279" s="59" t="str">
        <f t="shared" si="21"/>
        <v>OK</v>
      </c>
      <c r="L279" s="62" t="s">
        <v>779</v>
      </c>
      <c r="M279" s="5" t="str">
        <f t="shared" si="22"/>
        <v>Thu</v>
      </c>
      <c r="N279" s="63">
        <f t="shared" si="23"/>
        <v>7.88</v>
      </c>
      <c r="O279" s="5" t="s">
        <v>758</v>
      </c>
      <c r="P279" s="6">
        <v>46304</v>
      </c>
      <c r="Q279" s="5" t="str">
        <f t="shared" si="24"/>
        <v>Current period</v>
      </c>
      <c r="R279" s="5" t="str">
        <f t="array" ref="R279">_xlfn.XLOOKUP(A279,TRIM(SUBSTITUTE('worker file'!$A$2:$A$406,_xlfn.UNICHAR(160)," ")),'worker file'!$D$2:$D$406,"Not found")</f>
        <v>TX</v>
      </c>
    </row>
    <row r="280" spans="1:18" ht="16" x14ac:dyDescent="0.2">
      <c r="A280" s="5" t="s">
        <v>377</v>
      </c>
      <c r="B280" s="6">
        <v>46306</v>
      </c>
      <c r="C280" s="56">
        <v>0.91458333333333297</v>
      </c>
      <c r="D280" s="56">
        <v>0.26319444444444401</v>
      </c>
      <c r="E280" s="57">
        <v>6.7361111111111094E-2</v>
      </c>
      <c r="F280" s="58">
        <v>8.8194444444444506E-2</v>
      </c>
      <c r="G280" s="59" t="str">
        <f t="array" ref="G280">_xlfn.XLOOKUP(A280&amp;"|"&amp;B280,ShiftRoster[Employee ID]&amp;"|"&amp;ShiftRoster[Date],ShiftRoster[Shift Code],_xlfn.XLOOKUP(A280,TRIM(SUBSTITUTE('worker file'!$A$2:$A$406,_xlfn.UNICHAR(160)," ")),'worker file'!$X$2:$X$406,"?"),0,-1)</f>
        <v>NGHT</v>
      </c>
      <c r="H280" s="59" t="str">
        <f>_xlfn.XLOOKUP(G280,ShiftCodes[Code],ShiftCodes[Work Schedule],"Unknown")</f>
        <v>Shift C – Night (Sun–Thu 22:00–06:30)</v>
      </c>
      <c r="I280" s="60">
        <f>_xlfn.XLOOKUP(G280,ShiftCodes[Code],ShiftCodes[Start],"")</f>
        <v>0.91666666666666696</v>
      </c>
      <c r="J280" s="61">
        <f t="shared" si="20"/>
        <v>-3</v>
      </c>
      <c r="K280" s="59" t="str">
        <f t="shared" si="21"/>
        <v>OK</v>
      </c>
      <c r="L280" s="62" t="s">
        <v>779</v>
      </c>
      <c r="M280" s="5" t="str">
        <f t="shared" si="22"/>
        <v>Sun</v>
      </c>
      <c r="N280" s="63">
        <f t="shared" si="23"/>
        <v>7.87</v>
      </c>
      <c r="O280" s="5" t="s">
        <v>758</v>
      </c>
      <c r="P280" s="6">
        <v>46307</v>
      </c>
      <c r="Q280" s="5" t="str">
        <f t="shared" si="24"/>
        <v>Current period</v>
      </c>
      <c r="R280" s="5" t="str">
        <f t="array" ref="R280">_xlfn.XLOOKUP(A280,TRIM(SUBSTITUTE('worker file'!$A$2:$A$406,_xlfn.UNICHAR(160)," ")),'worker file'!$D$2:$D$406,"Not found")</f>
        <v>TX</v>
      </c>
    </row>
    <row r="281" spans="1:18" ht="16" x14ac:dyDescent="0.2">
      <c r="A281" s="5" t="s">
        <v>377</v>
      </c>
      <c r="B281" s="6">
        <v>46307</v>
      </c>
      <c r="C281" s="56">
        <v>0.91736111111111096</v>
      </c>
      <c r="D281" s="56">
        <v>0.27013888888888898</v>
      </c>
      <c r="E281" s="57">
        <v>0.101388888888889</v>
      </c>
      <c r="F281" s="58">
        <v>0.122222222222222</v>
      </c>
      <c r="G281" s="59" t="str">
        <f t="array" ref="G281">_xlfn.XLOOKUP(A281&amp;"|"&amp;B281,ShiftRoster[Employee ID]&amp;"|"&amp;ShiftRoster[Date],ShiftRoster[Shift Code],_xlfn.XLOOKUP(A281,TRIM(SUBSTITUTE('worker file'!$A$2:$A$406,_xlfn.UNICHAR(160)," ")),'worker file'!$X$2:$X$406,"?"),0,-1)</f>
        <v>NGHT</v>
      </c>
      <c r="H281" s="59" t="str">
        <f>_xlfn.XLOOKUP(G281,ShiftCodes[Code],ShiftCodes[Work Schedule],"Unknown")</f>
        <v>Shift C – Night (Sun–Thu 22:00–06:30)</v>
      </c>
      <c r="I281" s="60">
        <f>_xlfn.XLOOKUP(G281,ShiftCodes[Code],ShiftCodes[Start],"")</f>
        <v>0.91666666666666696</v>
      </c>
      <c r="J281" s="61">
        <f t="shared" si="20"/>
        <v>1</v>
      </c>
      <c r="K281" s="59" t="str">
        <f t="shared" si="21"/>
        <v>OK</v>
      </c>
      <c r="L281" s="62" t="s">
        <v>779</v>
      </c>
      <c r="M281" s="5" t="str">
        <f t="shared" si="22"/>
        <v>Mon</v>
      </c>
      <c r="N281" s="63">
        <f t="shared" si="23"/>
        <v>7.97</v>
      </c>
      <c r="O281" s="5" t="s">
        <v>758</v>
      </c>
      <c r="P281" s="6">
        <v>46308</v>
      </c>
      <c r="Q281" s="5" t="str">
        <f t="shared" si="24"/>
        <v>Current period</v>
      </c>
      <c r="R281" s="5" t="str">
        <f t="array" ref="R281">_xlfn.XLOOKUP(A281,TRIM(SUBSTITUTE('worker file'!$A$2:$A$406,_xlfn.UNICHAR(160)," ")),'worker file'!$D$2:$D$406,"Not found")</f>
        <v>TX</v>
      </c>
    </row>
    <row r="282" spans="1:18" ht="16" x14ac:dyDescent="0.2">
      <c r="A282" s="5" t="s">
        <v>377</v>
      </c>
      <c r="B282" s="6">
        <v>46307</v>
      </c>
      <c r="C282" s="56">
        <v>0.91736111111111096</v>
      </c>
      <c r="D282" s="56">
        <v>0.27013888888888898</v>
      </c>
      <c r="E282" s="57">
        <v>0.101388888888889</v>
      </c>
      <c r="F282" s="58">
        <v>0.122222222222222</v>
      </c>
      <c r="G282" s="59" t="str">
        <f t="array" ref="G282">_xlfn.XLOOKUP(A282&amp;"|"&amp;B282,ShiftRoster[Employee ID]&amp;"|"&amp;ShiftRoster[Date],ShiftRoster[Shift Code],_xlfn.XLOOKUP(A282,TRIM(SUBSTITUTE('worker file'!$A$2:$A$406,_xlfn.UNICHAR(160)," ")),'worker file'!$X$2:$X$406,"?"),0,-1)</f>
        <v>NGHT</v>
      </c>
      <c r="H282" s="59" t="str">
        <f>_xlfn.XLOOKUP(G282,ShiftCodes[Code],ShiftCodes[Work Schedule],"Unknown")</f>
        <v>Shift C – Night (Sun–Thu 22:00–06:30)</v>
      </c>
      <c r="I282" s="60">
        <f>_xlfn.XLOOKUP(G282,ShiftCodes[Code],ShiftCodes[Start],"")</f>
        <v>0.91666666666666696</v>
      </c>
      <c r="J282" s="61">
        <f t="shared" si="20"/>
        <v>1</v>
      </c>
      <c r="K282" s="59" t="str">
        <f t="shared" si="21"/>
        <v>OK</v>
      </c>
      <c r="L282" s="62" t="s">
        <v>785</v>
      </c>
      <c r="M282" s="5" t="str">
        <f t="shared" si="22"/>
        <v>Mon</v>
      </c>
      <c r="N282" s="63">
        <f t="shared" si="23"/>
        <v>7.97</v>
      </c>
      <c r="O282" s="5" t="s">
        <v>758</v>
      </c>
      <c r="P282" s="6">
        <v>46308</v>
      </c>
      <c r="Q282" s="5" t="str">
        <f t="shared" si="24"/>
        <v>Current period</v>
      </c>
      <c r="R282" s="5" t="str">
        <f t="array" ref="R282">_xlfn.XLOOKUP(A282,TRIM(SUBSTITUTE('worker file'!$A$2:$A$406,_xlfn.UNICHAR(160)," ")),'worker file'!$D$2:$D$406,"Not found")</f>
        <v>TX</v>
      </c>
    </row>
    <row r="283" spans="1:18" ht="16" x14ac:dyDescent="0.2">
      <c r="A283" s="5" t="s">
        <v>377</v>
      </c>
      <c r="B283" s="6">
        <v>46308</v>
      </c>
      <c r="C283" s="56">
        <v>0.91874999999999996</v>
      </c>
      <c r="D283" s="56">
        <v>0.27083333333333298</v>
      </c>
      <c r="E283" s="57">
        <v>7.9861111111111105E-2</v>
      </c>
      <c r="F283" s="58">
        <v>0.100694444444444</v>
      </c>
      <c r="G283" s="59" t="str">
        <f t="array" ref="G283">_xlfn.XLOOKUP(A283&amp;"|"&amp;B283,ShiftRoster[Employee ID]&amp;"|"&amp;ShiftRoster[Date],ShiftRoster[Shift Code],_xlfn.XLOOKUP(A283,TRIM(SUBSTITUTE('worker file'!$A$2:$A$406,_xlfn.UNICHAR(160)," ")),'worker file'!$X$2:$X$406,"?"),0,-1)</f>
        <v>NGHT</v>
      </c>
      <c r="H283" s="59" t="str">
        <f>_xlfn.XLOOKUP(G283,ShiftCodes[Code],ShiftCodes[Work Schedule],"Unknown")</f>
        <v>Shift C – Night (Sun–Thu 22:00–06:30)</v>
      </c>
      <c r="I283" s="60">
        <f>_xlfn.XLOOKUP(G283,ShiftCodes[Code],ShiftCodes[Start],"")</f>
        <v>0.91666666666666696</v>
      </c>
      <c r="J283" s="61">
        <f t="shared" si="20"/>
        <v>3</v>
      </c>
      <c r="K283" s="59" t="str">
        <f t="shared" si="21"/>
        <v>OK</v>
      </c>
      <c r="L283" s="62" t="s">
        <v>779</v>
      </c>
      <c r="M283" s="5" t="str">
        <f t="shared" si="22"/>
        <v>Tue</v>
      </c>
      <c r="N283" s="63">
        <f t="shared" si="23"/>
        <v>7.95</v>
      </c>
      <c r="O283" s="5" t="s">
        <v>758</v>
      </c>
      <c r="P283" s="6">
        <v>46309</v>
      </c>
      <c r="Q283" s="5" t="str">
        <f t="shared" si="24"/>
        <v>Current period</v>
      </c>
      <c r="R283" s="5" t="str">
        <f t="array" ref="R283">_xlfn.XLOOKUP(A283,TRIM(SUBSTITUTE('worker file'!$A$2:$A$406,_xlfn.UNICHAR(160)," ")),'worker file'!$D$2:$D$406,"Not found")</f>
        <v>TX</v>
      </c>
    </row>
    <row r="284" spans="1:18" ht="16" x14ac:dyDescent="0.2">
      <c r="A284" s="5" t="s">
        <v>377</v>
      </c>
      <c r="B284" s="6">
        <v>46309</v>
      </c>
      <c r="C284" s="56">
        <v>0.91805555555555596</v>
      </c>
      <c r="D284" s="56">
        <v>0.27152777777777798</v>
      </c>
      <c r="E284" s="57">
        <v>7.4305555555555597E-2</v>
      </c>
      <c r="F284" s="58">
        <v>9.5138888888888898E-2</v>
      </c>
      <c r="G284" s="59" t="str">
        <f t="array" ref="G284">_xlfn.XLOOKUP(A284&amp;"|"&amp;B284,ShiftRoster[Employee ID]&amp;"|"&amp;ShiftRoster[Date],ShiftRoster[Shift Code],_xlfn.XLOOKUP(A284,TRIM(SUBSTITUTE('worker file'!$A$2:$A$406,_xlfn.UNICHAR(160)," ")),'worker file'!$X$2:$X$406,"?"),0,-1)</f>
        <v>NGHT</v>
      </c>
      <c r="H284" s="59" t="str">
        <f>_xlfn.XLOOKUP(G284,ShiftCodes[Code],ShiftCodes[Work Schedule],"Unknown")</f>
        <v>Shift C – Night (Sun–Thu 22:00–06:30)</v>
      </c>
      <c r="I284" s="60">
        <f>_xlfn.XLOOKUP(G284,ShiftCodes[Code],ShiftCodes[Start],"")</f>
        <v>0.91666666666666696</v>
      </c>
      <c r="J284" s="61">
        <f t="shared" si="20"/>
        <v>2</v>
      </c>
      <c r="K284" s="59" t="str">
        <f t="shared" si="21"/>
        <v>OK</v>
      </c>
      <c r="L284" s="62" t="s">
        <v>779</v>
      </c>
      <c r="M284" s="5" t="str">
        <f t="shared" si="22"/>
        <v>Wed</v>
      </c>
      <c r="N284" s="63">
        <f t="shared" si="23"/>
        <v>7.98</v>
      </c>
      <c r="O284" s="5" t="s">
        <v>758</v>
      </c>
      <c r="P284" s="6">
        <v>46310</v>
      </c>
      <c r="Q284" s="5" t="str">
        <f t="shared" si="24"/>
        <v>Current period</v>
      </c>
      <c r="R284" s="5" t="str">
        <f t="array" ref="R284">_xlfn.XLOOKUP(A284,TRIM(SUBSTITUTE('worker file'!$A$2:$A$406,_xlfn.UNICHAR(160)," ")),'worker file'!$D$2:$D$406,"Not found")</f>
        <v>TX</v>
      </c>
    </row>
    <row r="285" spans="1:18" ht="16" x14ac:dyDescent="0.2">
      <c r="A285" s="5" t="s">
        <v>377</v>
      </c>
      <c r="B285" s="6">
        <v>46310</v>
      </c>
      <c r="C285" s="56">
        <v>0.91249999999999998</v>
      </c>
      <c r="D285" s="56">
        <v>0.265972222222222</v>
      </c>
      <c r="E285" s="57">
        <v>6.8055555555555605E-2</v>
      </c>
      <c r="F285" s="58">
        <v>8.8888888888888906E-2</v>
      </c>
      <c r="G285" s="59" t="str">
        <f t="array" ref="G285">_xlfn.XLOOKUP(A285&amp;"|"&amp;B285,ShiftRoster[Employee ID]&amp;"|"&amp;ShiftRoster[Date],ShiftRoster[Shift Code],_xlfn.XLOOKUP(A285,TRIM(SUBSTITUTE('worker file'!$A$2:$A$406,_xlfn.UNICHAR(160)," ")),'worker file'!$X$2:$X$406,"?"),0,-1)</f>
        <v>NGHT</v>
      </c>
      <c r="H285" s="59" t="str">
        <f>_xlfn.XLOOKUP(G285,ShiftCodes[Code],ShiftCodes[Work Schedule],"Unknown")</f>
        <v>Shift C – Night (Sun–Thu 22:00–06:30)</v>
      </c>
      <c r="I285" s="60">
        <f>_xlfn.XLOOKUP(G285,ShiftCodes[Code],ShiftCodes[Start],"")</f>
        <v>0.91666666666666696</v>
      </c>
      <c r="J285" s="61">
        <f t="shared" si="20"/>
        <v>-6</v>
      </c>
      <c r="K285" s="59" t="str">
        <f t="shared" si="21"/>
        <v>OK</v>
      </c>
      <c r="L285" s="62" t="s">
        <v>779</v>
      </c>
      <c r="M285" s="5" t="str">
        <f t="shared" si="22"/>
        <v>Thu</v>
      </c>
      <c r="N285" s="63">
        <f t="shared" si="23"/>
        <v>7.98</v>
      </c>
      <c r="O285" s="5" t="s">
        <v>758</v>
      </c>
      <c r="P285" s="6">
        <v>46311</v>
      </c>
      <c r="Q285" s="5" t="str">
        <f t="shared" si="24"/>
        <v>Current period</v>
      </c>
      <c r="R285" s="5" t="str">
        <f t="array" ref="R285">_xlfn.XLOOKUP(A285,TRIM(SUBSTITUTE('worker file'!$A$2:$A$406,_xlfn.UNICHAR(160)," ")),'worker file'!$D$2:$D$406,"Not found")</f>
        <v>TX</v>
      </c>
    </row>
    <row r="286" spans="1:18" ht="16" x14ac:dyDescent="0.2">
      <c r="A286" s="5" t="s">
        <v>405</v>
      </c>
      <c r="B286" s="6">
        <v>46300</v>
      </c>
      <c r="C286" s="56">
        <v>0.250694444444444</v>
      </c>
      <c r="D286" s="56">
        <v>0.60486111111111096</v>
      </c>
      <c r="E286" s="57">
        <v>0.41180555555555598</v>
      </c>
      <c r="F286" s="58">
        <v>0.43263888888888902</v>
      </c>
      <c r="G286" s="59" t="str">
        <f t="array" ref="G286">_xlfn.XLOOKUP(A286&amp;"|"&amp;B286,ShiftRoster[Employee ID]&amp;"|"&amp;ShiftRoster[Date],ShiftRoster[Shift Code],_xlfn.XLOOKUP(A286,TRIM(SUBSTITUTE('worker file'!$A$2:$A$406,_xlfn.UNICHAR(160)," ")),'worker file'!$X$2:$X$406,"?"),0,-1)</f>
        <v>DAY</v>
      </c>
      <c r="H286" s="59" t="str">
        <f>_xlfn.XLOOKUP(G286,ShiftCodes[Code],ShiftCodes[Work Schedule],"Unknown")</f>
        <v>Shift A – Day (Mon–Fri 06:00–14:30)</v>
      </c>
      <c r="I286" s="60">
        <f>_xlfn.XLOOKUP(G286,ShiftCodes[Code],ShiftCodes[Start],"")</f>
        <v>0.25</v>
      </c>
      <c r="J286" s="61">
        <f t="shared" si="20"/>
        <v>1</v>
      </c>
      <c r="K286" s="59" t="str">
        <f t="shared" si="21"/>
        <v>OK</v>
      </c>
      <c r="L286" s="62"/>
      <c r="M286" s="5" t="str">
        <f t="shared" si="22"/>
        <v>Mon</v>
      </c>
      <c r="N286" s="63">
        <f t="shared" si="23"/>
        <v>8</v>
      </c>
      <c r="O286" s="5" t="s">
        <v>758</v>
      </c>
      <c r="P286" s="6">
        <v>46300</v>
      </c>
      <c r="Q286" s="5" t="str">
        <f t="shared" si="24"/>
        <v>Current period</v>
      </c>
      <c r="R286" s="5" t="str">
        <f t="array" ref="R286">_xlfn.XLOOKUP(A286,TRIM(SUBSTITUTE('worker file'!$A$2:$A$406,_xlfn.UNICHAR(160)," ")),'worker file'!$D$2:$D$406,"Not found")</f>
        <v>TX</v>
      </c>
    </row>
    <row r="287" spans="1:18" ht="16" x14ac:dyDescent="0.2">
      <c r="A287" s="5" t="s">
        <v>405</v>
      </c>
      <c r="B287" s="6">
        <v>46301</v>
      </c>
      <c r="C287" s="56">
        <v>0.249305555555556</v>
      </c>
      <c r="D287" s="56">
        <v>0.59861111111111098</v>
      </c>
      <c r="E287" s="57">
        <v>0.40763888888888899</v>
      </c>
      <c r="F287" s="58">
        <v>0.42847222222222198</v>
      </c>
      <c r="G287" s="59" t="str">
        <f t="array" ref="G287">_xlfn.XLOOKUP(A287&amp;"|"&amp;B287,ShiftRoster[Employee ID]&amp;"|"&amp;ShiftRoster[Date],ShiftRoster[Shift Code],_xlfn.XLOOKUP(A287,TRIM(SUBSTITUTE('worker file'!$A$2:$A$406,_xlfn.UNICHAR(160)," ")),'worker file'!$X$2:$X$406,"?"),0,-1)</f>
        <v>DAY</v>
      </c>
      <c r="H287" s="59" t="str">
        <f>_xlfn.XLOOKUP(G287,ShiftCodes[Code],ShiftCodes[Work Schedule],"Unknown")</f>
        <v>Shift A – Day (Mon–Fri 06:00–14:30)</v>
      </c>
      <c r="I287" s="60">
        <f>_xlfn.XLOOKUP(G287,ShiftCodes[Code],ShiftCodes[Start],"")</f>
        <v>0.25</v>
      </c>
      <c r="J287" s="61">
        <f t="shared" si="20"/>
        <v>-1</v>
      </c>
      <c r="K287" s="59" t="str">
        <f t="shared" si="21"/>
        <v>OK</v>
      </c>
      <c r="L287" s="62"/>
      <c r="M287" s="5" t="str">
        <f t="shared" si="22"/>
        <v>Tue</v>
      </c>
      <c r="N287" s="63">
        <f t="shared" si="23"/>
        <v>7.88</v>
      </c>
      <c r="O287" s="5" t="s">
        <v>758</v>
      </c>
      <c r="P287" s="6">
        <v>46301</v>
      </c>
      <c r="Q287" s="5" t="str">
        <f t="shared" si="24"/>
        <v>Current period</v>
      </c>
      <c r="R287" s="5" t="str">
        <f t="array" ref="R287">_xlfn.XLOOKUP(A287,TRIM(SUBSTITUTE('worker file'!$A$2:$A$406,_xlfn.UNICHAR(160)," ")),'worker file'!$D$2:$D$406,"Not found")</f>
        <v>TX</v>
      </c>
    </row>
    <row r="288" spans="1:18" ht="16" x14ac:dyDescent="0.2">
      <c r="A288" s="5" t="s">
        <v>405</v>
      </c>
      <c r="B288" s="6">
        <v>46302</v>
      </c>
      <c r="C288" s="56">
        <v>0.25</v>
      </c>
      <c r="D288" s="56">
        <v>0.60069444444444398</v>
      </c>
      <c r="E288" s="57">
        <v>0.40486111111111101</v>
      </c>
      <c r="F288" s="58">
        <v>0.42569444444444399</v>
      </c>
      <c r="G288" s="59" t="str">
        <f t="array" ref="G288">_xlfn.XLOOKUP(A288&amp;"|"&amp;B288,ShiftRoster[Employee ID]&amp;"|"&amp;ShiftRoster[Date],ShiftRoster[Shift Code],_xlfn.XLOOKUP(A288,TRIM(SUBSTITUTE('worker file'!$A$2:$A$406,_xlfn.UNICHAR(160)," ")),'worker file'!$X$2:$X$406,"?"),0,-1)</f>
        <v>DAY</v>
      </c>
      <c r="H288" s="59" t="str">
        <f>_xlfn.XLOOKUP(G288,ShiftCodes[Code],ShiftCodes[Work Schedule],"Unknown")</f>
        <v>Shift A – Day (Mon–Fri 06:00–14:30)</v>
      </c>
      <c r="I288" s="60">
        <f>_xlfn.XLOOKUP(G288,ShiftCodes[Code],ShiftCodes[Start],"")</f>
        <v>0.25</v>
      </c>
      <c r="J288" s="61">
        <f t="shared" si="20"/>
        <v>0</v>
      </c>
      <c r="K288" s="59" t="str">
        <f t="shared" si="21"/>
        <v>OK</v>
      </c>
      <c r="L288" s="62"/>
      <c r="M288" s="5" t="str">
        <f t="shared" si="22"/>
        <v>Wed</v>
      </c>
      <c r="N288" s="63">
        <f t="shared" si="23"/>
        <v>7.92</v>
      </c>
      <c r="O288" s="5" t="s">
        <v>758</v>
      </c>
      <c r="P288" s="6">
        <v>46302</v>
      </c>
      <c r="Q288" s="5" t="str">
        <f t="shared" si="24"/>
        <v>Current period</v>
      </c>
      <c r="R288" s="5" t="str">
        <f t="array" ref="R288">_xlfn.XLOOKUP(A288,TRIM(SUBSTITUTE('worker file'!$A$2:$A$406,_xlfn.UNICHAR(160)," ")),'worker file'!$D$2:$D$406,"Not found")</f>
        <v>TX</v>
      </c>
    </row>
    <row r="289" spans="1:18" ht="16" x14ac:dyDescent="0.2">
      <c r="A289" s="5" t="s">
        <v>405</v>
      </c>
      <c r="B289" s="6">
        <v>46303</v>
      </c>
      <c r="C289" s="56">
        <v>0.249305555555556</v>
      </c>
      <c r="D289" s="56">
        <v>0.60208333333333297</v>
      </c>
      <c r="E289" s="57">
        <v>0.41666666666666702</v>
      </c>
      <c r="F289" s="58">
        <v>0.4375</v>
      </c>
      <c r="G289" s="59" t="str">
        <f t="array" ref="G289">_xlfn.XLOOKUP(A289&amp;"|"&amp;B289,ShiftRoster[Employee ID]&amp;"|"&amp;ShiftRoster[Date],ShiftRoster[Shift Code],_xlfn.XLOOKUP(A289,TRIM(SUBSTITUTE('worker file'!$A$2:$A$406,_xlfn.UNICHAR(160)," ")),'worker file'!$X$2:$X$406,"?"),0,-1)</f>
        <v>DAY</v>
      </c>
      <c r="H289" s="59" t="str">
        <f>_xlfn.XLOOKUP(G289,ShiftCodes[Code],ShiftCodes[Work Schedule],"Unknown")</f>
        <v>Shift A – Day (Mon–Fri 06:00–14:30)</v>
      </c>
      <c r="I289" s="60">
        <f>_xlfn.XLOOKUP(G289,ShiftCodes[Code],ShiftCodes[Start],"")</f>
        <v>0.25</v>
      </c>
      <c r="J289" s="61">
        <f t="shared" si="20"/>
        <v>-1</v>
      </c>
      <c r="K289" s="59" t="str">
        <f t="shared" si="21"/>
        <v>OK</v>
      </c>
      <c r="L289" s="62"/>
      <c r="M289" s="5" t="str">
        <f t="shared" si="22"/>
        <v>Thu</v>
      </c>
      <c r="N289" s="63">
        <f t="shared" si="23"/>
        <v>7.97</v>
      </c>
      <c r="O289" s="5" t="s">
        <v>758</v>
      </c>
      <c r="P289" s="6">
        <v>46303</v>
      </c>
      <c r="Q289" s="5" t="str">
        <f t="shared" si="24"/>
        <v>Current period</v>
      </c>
      <c r="R289" s="5" t="str">
        <f t="array" ref="R289">_xlfn.XLOOKUP(A289,TRIM(SUBSTITUTE('worker file'!$A$2:$A$406,_xlfn.UNICHAR(160)," ")),'worker file'!$D$2:$D$406,"Not found")</f>
        <v>TX</v>
      </c>
    </row>
    <row r="290" spans="1:18" ht="16" x14ac:dyDescent="0.2">
      <c r="A290" s="5" t="s">
        <v>405</v>
      </c>
      <c r="B290" s="6">
        <v>46304</v>
      </c>
      <c r="C290" s="56">
        <v>0.24583333333333299</v>
      </c>
      <c r="D290" s="56">
        <v>0.59652777777777799</v>
      </c>
      <c r="E290" s="57">
        <v>0.43125000000000002</v>
      </c>
      <c r="F290" s="58">
        <v>0.452083333333333</v>
      </c>
      <c r="G290" s="59" t="str">
        <f t="array" ref="G290">_xlfn.XLOOKUP(A290&amp;"|"&amp;B290,ShiftRoster[Employee ID]&amp;"|"&amp;ShiftRoster[Date],ShiftRoster[Shift Code],_xlfn.XLOOKUP(A290,TRIM(SUBSTITUTE('worker file'!$A$2:$A$406,_xlfn.UNICHAR(160)," ")),'worker file'!$X$2:$X$406,"?"),0,-1)</f>
        <v>DAY</v>
      </c>
      <c r="H290" s="59" t="str">
        <f>_xlfn.XLOOKUP(G290,ShiftCodes[Code],ShiftCodes[Work Schedule],"Unknown")</f>
        <v>Shift A – Day (Mon–Fri 06:00–14:30)</v>
      </c>
      <c r="I290" s="60">
        <f>_xlfn.XLOOKUP(G290,ShiftCodes[Code],ShiftCodes[Start],"")</f>
        <v>0.25</v>
      </c>
      <c r="J290" s="61">
        <f t="shared" si="20"/>
        <v>-6</v>
      </c>
      <c r="K290" s="59" t="str">
        <f t="shared" si="21"/>
        <v>OK</v>
      </c>
      <c r="L290" s="62"/>
      <c r="M290" s="5" t="str">
        <f t="shared" si="22"/>
        <v>Fri</v>
      </c>
      <c r="N290" s="63">
        <f t="shared" si="23"/>
        <v>7.92</v>
      </c>
      <c r="O290" s="5" t="s">
        <v>758</v>
      </c>
      <c r="P290" s="6">
        <v>46304</v>
      </c>
      <c r="Q290" s="5" t="str">
        <f t="shared" si="24"/>
        <v>Current period</v>
      </c>
      <c r="R290" s="5" t="str">
        <f t="array" ref="R290">_xlfn.XLOOKUP(A290,TRIM(SUBSTITUTE('worker file'!$A$2:$A$406,_xlfn.UNICHAR(160)," ")),'worker file'!$D$2:$D$406,"Not found")</f>
        <v>TX</v>
      </c>
    </row>
    <row r="291" spans="1:18" ht="16" x14ac:dyDescent="0.2">
      <c r="A291" s="5" t="s">
        <v>405</v>
      </c>
      <c r="B291" s="6">
        <v>46307</v>
      </c>
      <c r="C291" s="56">
        <v>0.24722222222222201</v>
      </c>
      <c r="D291" s="56">
        <v>0.60069444444444398</v>
      </c>
      <c r="E291" s="57">
        <v>0.43263888888888902</v>
      </c>
      <c r="F291" s="58">
        <v>0.453472222222222</v>
      </c>
      <c r="G291" s="59" t="str">
        <f t="array" ref="G291">_xlfn.XLOOKUP(A291&amp;"|"&amp;B291,ShiftRoster[Employee ID]&amp;"|"&amp;ShiftRoster[Date],ShiftRoster[Shift Code],_xlfn.XLOOKUP(A291,TRIM(SUBSTITUTE('worker file'!$A$2:$A$406,_xlfn.UNICHAR(160)," ")),'worker file'!$X$2:$X$406,"?"),0,-1)</f>
        <v>DAY</v>
      </c>
      <c r="H291" s="59" t="str">
        <f>_xlfn.XLOOKUP(G291,ShiftCodes[Code],ShiftCodes[Work Schedule],"Unknown")</f>
        <v>Shift A – Day (Mon–Fri 06:00–14:30)</v>
      </c>
      <c r="I291" s="60">
        <f>_xlfn.XLOOKUP(G291,ShiftCodes[Code],ShiftCodes[Start],"")</f>
        <v>0.25</v>
      </c>
      <c r="J291" s="61">
        <f t="shared" si="20"/>
        <v>-4</v>
      </c>
      <c r="K291" s="59" t="str">
        <f t="shared" si="21"/>
        <v>OK</v>
      </c>
      <c r="L291" s="62"/>
      <c r="M291" s="5" t="str">
        <f t="shared" si="22"/>
        <v>Mon</v>
      </c>
      <c r="N291" s="63">
        <f t="shared" si="23"/>
        <v>7.98</v>
      </c>
      <c r="O291" s="5" t="s">
        <v>758</v>
      </c>
      <c r="P291" s="6">
        <v>46307</v>
      </c>
      <c r="Q291" s="5" t="str">
        <f t="shared" si="24"/>
        <v>Current period</v>
      </c>
      <c r="R291" s="5" t="str">
        <f t="array" ref="R291">_xlfn.XLOOKUP(A291,TRIM(SUBSTITUTE('worker file'!$A$2:$A$406,_xlfn.UNICHAR(160)," ")),'worker file'!$D$2:$D$406,"Not found")</f>
        <v>TX</v>
      </c>
    </row>
    <row r="292" spans="1:18" ht="16" x14ac:dyDescent="0.2">
      <c r="A292" s="5" t="s">
        <v>405</v>
      </c>
      <c r="B292" s="6">
        <v>46308</v>
      </c>
      <c r="C292" s="56">
        <v>0.24722222222222201</v>
      </c>
      <c r="D292" s="56">
        <v>0.59722222222222199</v>
      </c>
      <c r="E292" s="57">
        <v>0.42361111111111099</v>
      </c>
      <c r="F292" s="58">
        <v>0.44444444444444398</v>
      </c>
      <c r="G292" s="59" t="str">
        <f t="array" ref="G292">_xlfn.XLOOKUP(A292&amp;"|"&amp;B292,ShiftRoster[Employee ID]&amp;"|"&amp;ShiftRoster[Date],ShiftRoster[Shift Code],_xlfn.XLOOKUP(A292,TRIM(SUBSTITUTE('worker file'!$A$2:$A$406,_xlfn.UNICHAR(160)," ")),'worker file'!$X$2:$X$406,"?"),0,-1)</f>
        <v>DAY</v>
      </c>
      <c r="H292" s="59" t="str">
        <f>_xlfn.XLOOKUP(G292,ShiftCodes[Code],ShiftCodes[Work Schedule],"Unknown")</f>
        <v>Shift A – Day (Mon–Fri 06:00–14:30)</v>
      </c>
      <c r="I292" s="60">
        <f>_xlfn.XLOOKUP(G292,ShiftCodes[Code],ShiftCodes[Start],"")</f>
        <v>0.25</v>
      </c>
      <c r="J292" s="61">
        <f t="shared" si="20"/>
        <v>-4</v>
      </c>
      <c r="K292" s="59" t="str">
        <f t="shared" si="21"/>
        <v>OK</v>
      </c>
      <c r="L292" s="62"/>
      <c r="M292" s="5" t="str">
        <f t="shared" si="22"/>
        <v>Tue</v>
      </c>
      <c r="N292" s="63">
        <f t="shared" si="23"/>
        <v>7.9</v>
      </c>
      <c r="O292" s="5" t="s">
        <v>758</v>
      </c>
      <c r="P292" s="6">
        <v>46308</v>
      </c>
      <c r="Q292" s="5" t="str">
        <f t="shared" si="24"/>
        <v>Current period</v>
      </c>
      <c r="R292" s="5" t="str">
        <f t="array" ref="R292">_xlfn.XLOOKUP(A292,TRIM(SUBSTITUTE('worker file'!$A$2:$A$406,_xlfn.UNICHAR(160)," ")),'worker file'!$D$2:$D$406,"Not found")</f>
        <v>TX</v>
      </c>
    </row>
    <row r="293" spans="1:18" ht="16" x14ac:dyDescent="0.2">
      <c r="A293" s="5" t="s">
        <v>405</v>
      </c>
      <c r="B293" s="6">
        <v>46309</v>
      </c>
      <c r="C293" s="56">
        <v>0.24583333333333299</v>
      </c>
      <c r="D293" s="56">
        <v>0.59583333333333299</v>
      </c>
      <c r="E293" s="57">
        <v>0.41666666666666702</v>
      </c>
      <c r="F293" s="58">
        <v>0.4375</v>
      </c>
      <c r="G293" s="59" t="str">
        <f t="array" ref="G293">_xlfn.XLOOKUP(A293&amp;"|"&amp;B293,ShiftRoster[Employee ID]&amp;"|"&amp;ShiftRoster[Date],ShiftRoster[Shift Code],_xlfn.XLOOKUP(A293,TRIM(SUBSTITUTE('worker file'!$A$2:$A$406,_xlfn.UNICHAR(160)," ")),'worker file'!$X$2:$X$406,"?"),0,-1)</f>
        <v>DAY</v>
      </c>
      <c r="H293" s="59" t="str">
        <f>_xlfn.XLOOKUP(G293,ShiftCodes[Code],ShiftCodes[Work Schedule],"Unknown")</f>
        <v>Shift A – Day (Mon–Fri 06:00–14:30)</v>
      </c>
      <c r="I293" s="60">
        <f>_xlfn.XLOOKUP(G293,ShiftCodes[Code],ShiftCodes[Start],"")</f>
        <v>0.25</v>
      </c>
      <c r="J293" s="61">
        <f t="shared" si="20"/>
        <v>-6</v>
      </c>
      <c r="K293" s="59" t="str">
        <f t="shared" si="21"/>
        <v>OK</v>
      </c>
      <c r="L293" s="62"/>
      <c r="M293" s="5" t="str">
        <f t="shared" si="22"/>
        <v>Wed</v>
      </c>
      <c r="N293" s="63">
        <f t="shared" si="23"/>
        <v>7.9</v>
      </c>
      <c r="O293" s="5" t="s">
        <v>758</v>
      </c>
      <c r="P293" s="6">
        <v>46309</v>
      </c>
      <c r="Q293" s="5" t="str">
        <f t="shared" si="24"/>
        <v>Current period</v>
      </c>
      <c r="R293" s="5" t="str">
        <f t="array" ref="R293">_xlfn.XLOOKUP(A293,TRIM(SUBSTITUTE('worker file'!$A$2:$A$406,_xlfn.UNICHAR(160)," ")),'worker file'!$D$2:$D$406,"Not found")</f>
        <v>TX</v>
      </c>
    </row>
    <row r="294" spans="1:18" ht="16" x14ac:dyDescent="0.2">
      <c r="A294" s="5" t="s">
        <v>405</v>
      </c>
      <c r="B294" s="6">
        <v>46310</v>
      </c>
      <c r="C294" s="56">
        <v>0.24861111111111101</v>
      </c>
      <c r="D294" s="56">
        <v>0.59791666666666698</v>
      </c>
      <c r="E294" s="57">
        <v>0.42777777777777798</v>
      </c>
      <c r="F294" s="58">
        <v>0.44861111111111102</v>
      </c>
      <c r="G294" s="59" t="str">
        <f t="array" ref="G294">_xlfn.XLOOKUP(A294&amp;"|"&amp;B294,ShiftRoster[Employee ID]&amp;"|"&amp;ShiftRoster[Date],ShiftRoster[Shift Code],_xlfn.XLOOKUP(A294,TRIM(SUBSTITUTE('worker file'!$A$2:$A$406,_xlfn.UNICHAR(160)," ")),'worker file'!$X$2:$X$406,"?"),0,-1)</f>
        <v>DAY</v>
      </c>
      <c r="H294" s="59" t="str">
        <f>_xlfn.XLOOKUP(G294,ShiftCodes[Code],ShiftCodes[Work Schedule],"Unknown")</f>
        <v>Shift A – Day (Mon–Fri 06:00–14:30)</v>
      </c>
      <c r="I294" s="60">
        <f>_xlfn.XLOOKUP(G294,ShiftCodes[Code],ShiftCodes[Start],"")</f>
        <v>0.25</v>
      </c>
      <c r="J294" s="61">
        <f t="shared" si="20"/>
        <v>-2</v>
      </c>
      <c r="K294" s="59" t="str">
        <f t="shared" si="21"/>
        <v>OK</v>
      </c>
      <c r="L294" s="62"/>
      <c r="M294" s="5" t="str">
        <f t="shared" si="22"/>
        <v>Thu</v>
      </c>
      <c r="N294" s="63">
        <f t="shared" si="23"/>
        <v>7.88</v>
      </c>
      <c r="O294" s="5" t="s">
        <v>758</v>
      </c>
      <c r="P294" s="6">
        <v>46310</v>
      </c>
      <c r="Q294" s="5" t="str">
        <f t="shared" si="24"/>
        <v>Current period</v>
      </c>
      <c r="R294" s="5" t="str">
        <f t="array" ref="R294">_xlfn.XLOOKUP(A294,TRIM(SUBSTITUTE('worker file'!$A$2:$A$406,_xlfn.UNICHAR(160)," ")),'worker file'!$D$2:$D$406,"Not found")</f>
        <v>TX</v>
      </c>
    </row>
    <row r="295" spans="1:18" ht="16" x14ac:dyDescent="0.2">
      <c r="A295" s="5" t="s">
        <v>405</v>
      </c>
      <c r="B295" s="6">
        <v>46311</v>
      </c>
      <c r="C295" s="56">
        <v>0.25</v>
      </c>
      <c r="D295" s="56">
        <v>0.60069444444444398</v>
      </c>
      <c r="E295" s="57">
        <v>0.421527777777778</v>
      </c>
      <c r="F295" s="58">
        <v>0.44236111111111098</v>
      </c>
      <c r="G295" s="59" t="str">
        <f t="array" ref="G295">_xlfn.XLOOKUP(A295&amp;"|"&amp;B295,ShiftRoster[Employee ID]&amp;"|"&amp;ShiftRoster[Date],ShiftRoster[Shift Code],_xlfn.XLOOKUP(A295,TRIM(SUBSTITUTE('worker file'!$A$2:$A$406,_xlfn.UNICHAR(160)," ")),'worker file'!$X$2:$X$406,"?"),0,-1)</f>
        <v>DAY</v>
      </c>
      <c r="H295" s="59" t="str">
        <f>_xlfn.XLOOKUP(G295,ShiftCodes[Code],ShiftCodes[Work Schedule],"Unknown")</f>
        <v>Shift A – Day (Mon–Fri 06:00–14:30)</v>
      </c>
      <c r="I295" s="60">
        <f>_xlfn.XLOOKUP(G295,ShiftCodes[Code],ShiftCodes[Start],"")</f>
        <v>0.25</v>
      </c>
      <c r="J295" s="61">
        <f t="shared" si="20"/>
        <v>0</v>
      </c>
      <c r="K295" s="59" t="str">
        <f t="shared" si="21"/>
        <v>OK</v>
      </c>
      <c r="L295" s="62"/>
      <c r="M295" s="5" t="str">
        <f t="shared" si="22"/>
        <v>Fri</v>
      </c>
      <c r="N295" s="63">
        <f t="shared" si="23"/>
        <v>7.92</v>
      </c>
      <c r="O295" s="5" t="s">
        <v>758</v>
      </c>
      <c r="P295" s="6">
        <v>46311</v>
      </c>
      <c r="Q295" s="5" t="str">
        <f t="shared" si="24"/>
        <v>Current period</v>
      </c>
      <c r="R295" s="5" t="str">
        <f t="array" ref="R295">_xlfn.XLOOKUP(A295,TRIM(SUBSTITUTE('worker file'!$A$2:$A$406,_xlfn.UNICHAR(160)," ")),'worker file'!$D$2:$D$406,"Not found")</f>
        <v>TX</v>
      </c>
    </row>
    <row r="296" spans="1:18" ht="16" x14ac:dyDescent="0.2">
      <c r="A296" s="5" t="s">
        <v>437</v>
      </c>
      <c r="B296" s="6">
        <v>46299</v>
      </c>
      <c r="C296" s="56">
        <v>0.91597222222222197</v>
      </c>
      <c r="D296" s="56">
        <v>0.26944444444444399</v>
      </c>
      <c r="E296" s="57">
        <v>8.3333333333333301E-2</v>
      </c>
      <c r="F296" s="58">
        <v>0.104166666666667</v>
      </c>
      <c r="G296" s="59" t="str">
        <f t="array" ref="G296">_xlfn.XLOOKUP(A296&amp;"|"&amp;B296,ShiftRoster[Employee ID]&amp;"|"&amp;ShiftRoster[Date],ShiftRoster[Shift Code],_xlfn.XLOOKUP(A296,TRIM(SUBSTITUTE('worker file'!$A$2:$A$406,_xlfn.UNICHAR(160)," ")),'worker file'!$X$2:$X$406,"?"),0,-1)</f>
        <v>NGHT</v>
      </c>
      <c r="H296" s="59" t="str">
        <f>_xlfn.XLOOKUP(G296,ShiftCodes[Code],ShiftCodes[Work Schedule],"Unknown")</f>
        <v>Shift C – Night (Sun–Thu 22:00–06:30)</v>
      </c>
      <c r="I296" s="60">
        <f>_xlfn.XLOOKUP(G296,ShiftCodes[Code],ShiftCodes[Start],"")</f>
        <v>0.91666666666666696</v>
      </c>
      <c r="J296" s="61">
        <f t="shared" si="20"/>
        <v>-1</v>
      </c>
      <c r="K296" s="59" t="str">
        <f t="shared" si="21"/>
        <v>OK</v>
      </c>
      <c r="L296" s="62" t="s">
        <v>779</v>
      </c>
      <c r="M296" s="5" t="str">
        <f t="shared" si="22"/>
        <v>Sun</v>
      </c>
      <c r="N296" s="63">
        <f t="shared" si="23"/>
        <v>7.98</v>
      </c>
      <c r="O296" s="5" t="s">
        <v>758</v>
      </c>
      <c r="P296" s="6">
        <v>46300</v>
      </c>
      <c r="Q296" s="5" t="str">
        <f t="shared" si="24"/>
        <v>Current period</v>
      </c>
      <c r="R296" s="5" t="str">
        <f t="array" ref="R296">_xlfn.XLOOKUP(A296,TRIM(SUBSTITUTE('worker file'!$A$2:$A$406,_xlfn.UNICHAR(160)," ")),'worker file'!$D$2:$D$406,"Not found")</f>
        <v>TX</v>
      </c>
    </row>
    <row r="297" spans="1:18" ht="16" x14ac:dyDescent="0.2">
      <c r="A297" s="5" t="s">
        <v>437</v>
      </c>
      <c r="B297" s="6">
        <v>46300</v>
      </c>
      <c r="C297" s="56">
        <v>0.91458333333333297</v>
      </c>
      <c r="D297" s="56">
        <v>0.264583333333333</v>
      </c>
      <c r="E297" s="57">
        <v>0.1</v>
      </c>
      <c r="F297" s="58">
        <v>0.120833333333333</v>
      </c>
      <c r="G297" s="59" t="str">
        <f t="array" ref="G297">_xlfn.XLOOKUP(A297&amp;"|"&amp;B297,ShiftRoster[Employee ID]&amp;"|"&amp;ShiftRoster[Date],ShiftRoster[Shift Code],_xlfn.XLOOKUP(A297,TRIM(SUBSTITUTE('worker file'!$A$2:$A$406,_xlfn.UNICHAR(160)," ")),'worker file'!$X$2:$X$406,"?"),0,-1)</f>
        <v>NGHT</v>
      </c>
      <c r="H297" s="59" t="str">
        <f>_xlfn.XLOOKUP(G297,ShiftCodes[Code],ShiftCodes[Work Schedule],"Unknown")</f>
        <v>Shift C – Night (Sun–Thu 22:00–06:30)</v>
      </c>
      <c r="I297" s="60">
        <f>_xlfn.XLOOKUP(G297,ShiftCodes[Code],ShiftCodes[Start],"")</f>
        <v>0.91666666666666696</v>
      </c>
      <c r="J297" s="61">
        <f t="shared" si="20"/>
        <v>-3</v>
      </c>
      <c r="K297" s="59" t="str">
        <f t="shared" si="21"/>
        <v>OK</v>
      </c>
      <c r="L297" s="62" t="s">
        <v>779</v>
      </c>
      <c r="M297" s="5" t="str">
        <f t="shared" si="22"/>
        <v>Mon</v>
      </c>
      <c r="N297" s="63">
        <f t="shared" si="23"/>
        <v>7.9</v>
      </c>
      <c r="O297" s="5" t="s">
        <v>758</v>
      </c>
      <c r="P297" s="6">
        <v>46301</v>
      </c>
      <c r="Q297" s="5" t="str">
        <f t="shared" si="24"/>
        <v>Current period</v>
      </c>
      <c r="R297" s="5" t="str">
        <f t="array" ref="R297">_xlfn.XLOOKUP(A297,TRIM(SUBSTITUTE('worker file'!$A$2:$A$406,_xlfn.UNICHAR(160)," ")),'worker file'!$D$2:$D$406,"Not found")</f>
        <v>TX</v>
      </c>
    </row>
    <row r="298" spans="1:18" ht="16" x14ac:dyDescent="0.2">
      <c r="A298" s="5" t="s">
        <v>437</v>
      </c>
      <c r="B298" s="6">
        <v>46301</v>
      </c>
      <c r="C298" s="56">
        <v>0.91527777777777797</v>
      </c>
      <c r="D298" s="56">
        <v>0.26805555555555599</v>
      </c>
      <c r="E298" s="57">
        <v>9.8611111111111094E-2</v>
      </c>
      <c r="F298" s="58">
        <v>0.11944444444444401</v>
      </c>
      <c r="G298" s="59" t="str">
        <f t="array" ref="G298">_xlfn.XLOOKUP(A298&amp;"|"&amp;B298,ShiftRoster[Employee ID]&amp;"|"&amp;ShiftRoster[Date],ShiftRoster[Shift Code],_xlfn.XLOOKUP(A298,TRIM(SUBSTITUTE('worker file'!$A$2:$A$406,_xlfn.UNICHAR(160)," ")),'worker file'!$X$2:$X$406,"?"),0,-1)</f>
        <v>NGHT</v>
      </c>
      <c r="H298" s="59" t="str">
        <f>_xlfn.XLOOKUP(G298,ShiftCodes[Code],ShiftCodes[Work Schedule],"Unknown")</f>
        <v>Shift C – Night (Sun–Thu 22:00–06:30)</v>
      </c>
      <c r="I298" s="60">
        <f>_xlfn.XLOOKUP(G298,ShiftCodes[Code],ShiftCodes[Start],"")</f>
        <v>0.91666666666666696</v>
      </c>
      <c r="J298" s="61">
        <f t="shared" si="20"/>
        <v>-2</v>
      </c>
      <c r="K298" s="59" t="str">
        <f t="shared" si="21"/>
        <v>OK</v>
      </c>
      <c r="L298" s="62" t="s">
        <v>779</v>
      </c>
      <c r="M298" s="5" t="str">
        <f t="shared" si="22"/>
        <v>Tue</v>
      </c>
      <c r="N298" s="63">
        <f t="shared" si="23"/>
        <v>7.97</v>
      </c>
      <c r="O298" s="5" t="s">
        <v>758</v>
      </c>
      <c r="P298" s="6">
        <v>46302</v>
      </c>
      <c r="Q298" s="5" t="str">
        <f t="shared" si="24"/>
        <v>Current period</v>
      </c>
      <c r="R298" s="5" t="str">
        <f t="array" ref="R298">_xlfn.XLOOKUP(A298,TRIM(SUBSTITUTE('worker file'!$A$2:$A$406,_xlfn.UNICHAR(160)," ")),'worker file'!$D$2:$D$406,"Not found")</f>
        <v>TX</v>
      </c>
    </row>
    <row r="299" spans="1:18" ht="16" x14ac:dyDescent="0.2">
      <c r="A299" s="5" t="s">
        <v>437</v>
      </c>
      <c r="B299" s="6">
        <v>46302</v>
      </c>
      <c r="C299" s="56">
        <v>0.91944444444444395</v>
      </c>
      <c r="D299" s="56">
        <v>0.26944444444444399</v>
      </c>
      <c r="E299" s="57">
        <v>0.100694444444444</v>
      </c>
      <c r="F299" s="58">
        <v>0.121527777777778</v>
      </c>
      <c r="G299" s="59" t="str">
        <f t="array" ref="G299">_xlfn.XLOOKUP(A299&amp;"|"&amp;B299,ShiftRoster[Employee ID]&amp;"|"&amp;ShiftRoster[Date],ShiftRoster[Shift Code],_xlfn.XLOOKUP(A299,TRIM(SUBSTITUTE('worker file'!$A$2:$A$406,_xlfn.UNICHAR(160)," ")),'worker file'!$X$2:$X$406,"?"),0,-1)</f>
        <v>NGHT</v>
      </c>
      <c r="H299" s="59" t="str">
        <f>_xlfn.XLOOKUP(G299,ShiftCodes[Code],ShiftCodes[Work Schedule],"Unknown")</f>
        <v>Shift C – Night (Sun–Thu 22:00–06:30)</v>
      </c>
      <c r="I299" s="60">
        <f>_xlfn.XLOOKUP(G299,ShiftCodes[Code],ShiftCodes[Start],"")</f>
        <v>0.91666666666666696</v>
      </c>
      <c r="J299" s="61">
        <f t="shared" si="20"/>
        <v>4</v>
      </c>
      <c r="K299" s="59" t="str">
        <f t="shared" si="21"/>
        <v>OK</v>
      </c>
      <c r="L299" s="62" t="s">
        <v>779</v>
      </c>
      <c r="M299" s="5" t="str">
        <f t="shared" si="22"/>
        <v>Wed</v>
      </c>
      <c r="N299" s="63">
        <f t="shared" si="23"/>
        <v>7.9</v>
      </c>
      <c r="O299" s="5" t="s">
        <v>758</v>
      </c>
      <c r="P299" s="6">
        <v>46303</v>
      </c>
      <c r="Q299" s="5" t="str">
        <f t="shared" si="24"/>
        <v>Current period</v>
      </c>
      <c r="R299" s="5" t="str">
        <f t="array" ref="R299">_xlfn.XLOOKUP(A299,TRIM(SUBSTITUTE('worker file'!$A$2:$A$406,_xlfn.UNICHAR(160)," ")),'worker file'!$D$2:$D$406,"Not found")</f>
        <v>TX</v>
      </c>
    </row>
    <row r="300" spans="1:18" ht="16" x14ac:dyDescent="0.2">
      <c r="A300" s="5" t="s">
        <v>437</v>
      </c>
      <c r="B300" s="6">
        <v>46303</v>
      </c>
      <c r="C300" s="56">
        <v>0.91319444444444398</v>
      </c>
      <c r="D300" s="56">
        <v>0.264583333333333</v>
      </c>
      <c r="E300" s="57">
        <v>6.8750000000000006E-2</v>
      </c>
      <c r="F300" s="58">
        <v>8.9583333333333307E-2</v>
      </c>
      <c r="G300" s="59" t="str">
        <f t="array" ref="G300">_xlfn.XLOOKUP(A300&amp;"|"&amp;B300,ShiftRoster[Employee ID]&amp;"|"&amp;ShiftRoster[Date],ShiftRoster[Shift Code],_xlfn.XLOOKUP(A300,TRIM(SUBSTITUTE('worker file'!$A$2:$A$406,_xlfn.UNICHAR(160)," ")),'worker file'!$X$2:$X$406,"?"),0,-1)</f>
        <v>NGHT</v>
      </c>
      <c r="H300" s="59" t="str">
        <f>_xlfn.XLOOKUP(G300,ShiftCodes[Code],ShiftCodes[Work Schedule],"Unknown")</f>
        <v>Shift C – Night (Sun–Thu 22:00–06:30)</v>
      </c>
      <c r="I300" s="60">
        <f>_xlfn.XLOOKUP(G300,ShiftCodes[Code],ShiftCodes[Start],"")</f>
        <v>0.91666666666666696</v>
      </c>
      <c r="J300" s="61">
        <f t="shared" si="20"/>
        <v>-5</v>
      </c>
      <c r="K300" s="59" t="str">
        <f t="shared" si="21"/>
        <v>OK</v>
      </c>
      <c r="L300" s="62" t="s">
        <v>779</v>
      </c>
      <c r="M300" s="5" t="str">
        <f t="shared" si="22"/>
        <v>Thu</v>
      </c>
      <c r="N300" s="63">
        <f t="shared" si="23"/>
        <v>7.93</v>
      </c>
      <c r="O300" s="5" t="s">
        <v>758</v>
      </c>
      <c r="P300" s="6">
        <v>46304</v>
      </c>
      <c r="Q300" s="5" t="str">
        <f t="shared" si="24"/>
        <v>Current period</v>
      </c>
      <c r="R300" s="5" t="str">
        <f t="array" ref="R300">_xlfn.XLOOKUP(A300,TRIM(SUBSTITUTE('worker file'!$A$2:$A$406,_xlfn.UNICHAR(160)," ")),'worker file'!$D$2:$D$406,"Not found")</f>
        <v>TX</v>
      </c>
    </row>
    <row r="301" spans="1:18" ht="16" x14ac:dyDescent="0.2">
      <c r="A301" s="5" t="s">
        <v>437</v>
      </c>
      <c r="B301" s="6">
        <v>46306</v>
      </c>
      <c r="C301" s="56">
        <v>0.91944444444444395</v>
      </c>
      <c r="D301" s="56">
        <v>0.27361111111111103</v>
      </c>
      <c r="E301" s="57">
        <v>6.8055555555555605E-2</v>
      </c>
      <c r="F301" s="58">
        <v>8.8888888888888906E-2</v>
      </c>
      <c r="G301" s="59" t="str">
        <f t="array" ref="G301">_xlfn.XLOOKUP(A301&amp;"|"&amp;B301,ShiftRoster[Employee ID]&amp;"|"&amp;ShiftRoster[Date],ShiftRoster[Shift Code],_xlfn.XLOOKUP(A301,TRIM(SUBSTITUTE('worker file'!$A$2:$A$406,_xlfn.UNICHAR(160)," ")),'worker file'!$X$2:$X$406,"?"),0,-1)</f>
        <v>NGHT</v>
      </c>
      <c r="H301" s="59" t="str">
        <f>_xlfn.XLOOKUP(G301,ShiftCodes[Code],ShiftCodes[Work Schedule],"Unknown")</f>
        <v>Shift C – Night (Sun–Thu 22:00–06:30)</v>
      </c>
      <c r="I301" s="60">
        <f>_xlfn.XLOOKUP(G301,ShiftCodes[Code],ShiftCodes[Start],"")</f>
        <v>0.91666666666666696</v>
      </c>
      <c r="J301" s="61">
        <f t="shared" si="20"/>
        <v>4</v>
      </c>
      <c r="K301" s="59" t="str">
        <f t="shared" si="21"/>
        <v>OK</v>
      </c>
      <c r="L301" s="62" t="s">
        <v>779</v>
      </c>
      <c r="M301" s="5" t="str">
        <f t="shared" si="22"/>
        <v>Sun</v>
      </c>
      <c r="N301" s="63">
        <f t="shared" si="23"/>
        <v>8</v>
      </c>
      <c r="O301" s="5" t="s">
        <v>758</v>
      </c>
      <c r="P301" s="6">
        <v>46307</v>
      </c>
      <c r="Q301" s="5" t="str">
        <f t="shared" si="24"/>
        <v>Current period</v>
      </c>
      <c r="R301" s="5" t="str">
        <f t="array" ref="R301">_xlfn.XLOOKUP(A301,TRIM(SUBSTITUTE('worker file'!$A$2:$A$406,_xlfn.UNICHAR(160)," ")),'worker file'!$D$2:$D$406,"Not found")</f>
        <v>TX</v>
      </c>
    </row>
    <row r="302" spans="1:18" ht="16" x14ac:dyDescent="0.2">
      <c r="A302" s="5" t="s">
        <v>437</v>
      </c>
      <c r="B302" s="6">
        <v>46307</v>
      </c>
      <c r="C302" s="56">
        <v>0.91736111111111096</v>
      </c>
      <c r="D302" s="56">
        <v>0.26805555555555599</v>
      </c>
      <c r="E302" s="57">
        <v>7.0138888888888903E-2</v>
      </c>
      <c r="F302" s="58">
        <v>9.0972222222222204E-2</v>
      </c>
      <c r="G302" s="59" t="str">
        <f t="array" ref="G302">_xlfn.XLOOKUP(A302&amp;"|"&amp;B302,ShiftRoster[Employee ID]&amp;"|"&amp;ShiftRoster[Date],ShiftRoster[Shift Code],_xlfn.XLOOKUP(A302,TRIM(SUBSTITUTE('worker file'!$A$2:$A$406,_xlfn.UNICHAR(160)," ")),'worker file'!$X$2:$X$406,"?"),0,-1)</f>
        <v>NGHT</v>
      </c>
      <c r="H302" s="59" t="str">
        <f>_xlfn.XLOOKUP(G302,ShiftCodes[Code],ShiftCodes[Work Schedule],"Unknown")</f>
        <v>Shift C – Night (Sun–Thu 22:00–06:30)</v>
      </c>
      <c r="I302" s="60">
        <f>_xlfn.XLOOKUP(G302,ShiftCodes[Code],ShiftCodes[Start],"")</f>
        <v>0.91666666666666696</v>
      </c>
      <c r="J302" s="61">
        <f t="shared" si="20"/>
        <v>1</v>
      </c>
      <c r="K302" s="59" t="str">
        <f t="shared" si="21"/>
        <v>OK</v>
      </c>
      <c r="L302" s="62" t="s">
        <v>779</v>
      </c>
      <c r="M302" s="5" t="str">
        <f t="shared" si="22"/>
        <v>Mon</v>
      </c>
      <c r="N302" s="63">
        <f t="shared" si="23"/>
        <v>7.92</v>
      </c>
      <c r="O302" s="5" t="s">
        <v>758</v>
      </c>
      <c r="P302" s="6">
        <v>46308</v>
      </c>
      <c r="Q302" s="5" t="str">
        <f t="shared" si="24"/>
        <v>Current period</v>
      </c>
      <c r="R302" s="5" t="str">
        <f t="array" ref="R302">_xlfn.XLOOKUP(A302,TRIM(SUBSTITUTE('worker file'!$A$2:$A$406,_xlfn.UNICHAR(160)," ")),'worker file'!$D$2:$D$406,"Not found")</f>
        <v>TX</v>
      </c>
    </row>
    <row r="303" spans="1:18" ht="16" x14ac:dyDescent="0.2">
      <c r="A303" s="5" t="s">
        <v>437</v>
      </c>
      <c r="B303" s="6">
        <v>46308</v>
      </c>
      <c r="C303" s="56">
        <v>0.91319444444444398</v>
      </c>
      <c r="D303" s="56">
        <v>0.242361111111111</v>
      </c>
      <c r="E303" s="57" t="s">
        <v>764</v>
      </c>
      <c r="F303" s="58" t="s">
        <v>764</v>
      </c>
      <c r="G303" s="59" t="str">
        <f t="array" ref="G303">_xlfn.XLOOKUP(A303&amp;"|"&amp;B303,ShiftRoster[Employee ID]&amp;"|"&amp;ShiftRoster[Date],ShiftRoster[Shift Code],_xlfn.XLOOKUP(A303,TRIM(SUBSTITUTE('worker file'!$A$2:$A$406,_xlfn.UNICHAR(160)," ")),'worker file'!$X$2:$X$406,"?"),0,-1)</f>
        <v>NGHT</v>
      </c>
      <c r="H303" s="59" t="str">
        <f>_xlfn.XLOOKUP(G303,ShiftCodes[Code],ShiftCodes[Work Schedule],"Unknown")</f>
        <v>Shift C – Night (Sun–Thu 22:00–06:30)</v>
      </c>
      <c r="I303" s="60">
        <f>_xlfn.XLOOKUP(G303,ShiftCodes[Code],ShiftCodes[Start],"")</f>
        <v>0.91666666666666696</v>
      </c>
      <c r="J303" s="61">
        <f t="shared" si="20"/>
        <v>-5</v>
      </c>
      <c r="K303" s="59" t="str">
        <f t="shared" si="21"/>
        <v>OK</v>
      </c>
      <c r="L303" s="62" t="s">
        <v>786</v>
      </c>
      <c r="M303" s="5" t="str">
        <f t="shared" si="22"/>
        <v>Tue</v>
      </c>
      <c r="N303" s="63">
        <f t="shared" si="23"/>
        <v>7.9</v>
      </c>
      <c r="O303" s="5" t="s">
        <v>758</v>
      </c>
      <c r="P303" s="6">
        <v>46309</v>
      </c>
      <c r="Q303" s="5" t="str">
        <f t="shared" si="24"/>
        <v>Current period</v>
      </c>
      <c r="R303" s="5" t="str">
        <f t="array" ref="R303">_xlfn.XLOOKUP(A303,TRIM(SUBSTITUTE('worker file'!$A$2:$A$406,_xlfn.UNICHAR(160)," ")),'worker file'!$D$2:$D$406,"Not found")</f>
        <v>TX</v>
      </c>
    </row>
    <row r="304" spans="1:18" ht="16" x14ac:dyDescent="0.2">
      <c r="A304" s="5" t="s">
        <v>437</v>
      </c>
      <c r="B304" s="6">
        <v>46309</v>
      </c>
      <c r="C304" s="56">
        <v>0.91805555555555596</v>
      </c>
      <c r="D304" s="56">
        <v>0.26874999999999999</v>
      </c>
      <c r="E304" s="57">
        <v>8.5416666666666696E-2</v>
      </c>
      <c r="F304" s="58">
        <v>0.10625</v>
      </c>
      <c r="G304" s="59" t="str">
        <f t="array" ref="G304">_xlfn.XLOOKUP(A304&amp;"|"&amp;B304,ShiftRoster[Employee ID]&amp;"|"&amp;ShiftRoster[Date],ShiftRoster[Shift Code],_xlfn.XLOOKUP(A304,TRIM(SUBSTITUTE('worker file'!$A$2:$A$406,_xlfn.UNICHAR(160)," ")),'worker file'!$X$2:$X$406,"?"),0,-1)</f>
        <v>NGHT</v>
      </c>
      <c r="H304" s="59" t="str">
        <f>_xlfn.XLOOKUP(G304,ShiftCodes[Code],ShiftCodes[Work Schedule],"Unknown")</f>
        <v>Shift C – Night (Sun–Thu 22:00–06:30)</v>
      </c>
      <c r="I304" s="60">
        <f>_xlfn.XLOOKUP(G304,ShiftCodes[Code],ShiftCodes[Start],"")</f>
        <v>0.91666666666666696</v>
      </c>
      <c r="J304" s="61">
        <f t="shared" si="20"/>
        <v>2</v>
      </c>
      <c r="K304" s="59" t="str">
        <f t="shared" si="21"/>
        <v>OK</v>
      </c>
      <c r="L304" s="62" t="s">
        <v>779</v>
      </c>
      <c r="M304" s="5" t="str">
        <f t="shared" si="22"/>
        <v>Wed</v>
      </c>
      <c r="N304" s="63">
        <f t="shared" si="23"/>
        <v>7.92</v>
      </c>
      <c r="O304" s="5" t="s">
        <v>758</v>
      </c>
      <c r="P304" s="6">
        <v>46310</v>
      </c>
      <c r="Q304" s="5" t="str">
        <f t="shared" si="24"/>
        <v>Current period</v>
      </c>
      <c r="R304" s="5" t="str">
        <f t="array" ref="R304">_xlfn.XLOOKUP(A304,TRIM(SUBSTITUTE('worker file'!$A$2:$A$406,_xlfn.UNICHAR(160)," ")),'worker file'!$D$2:$D$406,"Not found")</f>
        <v>TX</v>
      </c>
    </row>
    <row r="305" spans="1:18" ht="16" x14ac:dyDescent="0.2">
      <c r="A305" s="5" t="s">
        <v>437</v>
      </c>
      <c r="B305" s="6">
        <v>46310</v>
      </c>
      <c r="C305" s="56">
        <v>0.91736111111111096</v>
      </c>
      <c r="D305" s="56">
        <v>0.26944444444444399</v>
      </c>
      <c r="E305" s="57">
        <v>7.7777777777777807E-2</v>
      </c>
      <c r="F305" s="58">
        <v>9.8611111111111094E-2</v>
      </c>
      <c r="G305" s="59" t="str">
        <f t="array" ref="G305">_xlfn.XLOOKUP(A305&amp;"|"&amp;B305,ShiftRoster[Employee ID]&amp;"|"&amp;ShiftRoster[Date],ShiftRoster[Shift Code],_xlfn.XLOOKUP(A305,TRIM(SUBSTITUTE('worker file'!$A$2:$A$406,_xlfn.UNICHAR(160)," ")),'worker file'!$X$2:$X$406,"?"),0,-1)</f>
        <v>NGHT</v>
      </c>
      <c r="H305" s="59" t="str">
        <f>_xlfn.XLOOKUP(G305,ShiftCodes[Code],ShiftCodes[Work Schedule],"Unknown")</f>
        <v>Shift C – Night (Sun–Thu 22:00–06:30)</v>
      </c>
      <c r="I305" s="60">
        <f>_xlfn.XLOOKUP(G305,ShiftCodes[Code],ShiftCodes[Start],"")</f>
        <v>0.91666666666666696</v>
      </c>
      <c r="J305" s="61">
        <f t="shared" si="20"/>
        <v>1</v>
      </c>
      <c r="K305" s="59" t="str">
        <f t="shared" si="21"/>
        <v>OK</v>
      </c>
      <c r="L305" s="62" t="s">
        <v>779</v>
      </c>
      <c r="M305" s="5" t="str">
        <f t="shared" si="22"/>
        <v>Thu</v>
      </c>
      <c r="N305" s="63">
        <f t="shared" si="23"/>
        <v>7.95</v>
      </c>
      <c r="O305" s="5" t="s">
        <v>758</v>
      </c>
      <c r="P305" s="6">
        <v>46311</v>
      </c>
      <c r="Q305" s="5" t="str">
        <f t="shared" si="24"/>
        <v>Current period</v>
      </c>
      <c r="R305" s="5" t="str">
        <f t="array" ref="R305">_xlfn.XLOOKUP(A305,TRIM(SUBSTITUTE('worker file'!$A$2:$A$406,_xlfn.UNICHAR(160)," ")),'worker file'!$D$2:$D$406,"Not found")</f>
        <v>TX</v>
      </c>
    </row>
    <row r="306" spans="1:18" ht="16" x14ac:dyDescent="0.2">
      <c r="A306" s="5" t="s">
        <v>449</v>
      </c>
      <c r="B306" s="6">
        <v>46299</v>
      </c>
      <c r="C306" s="56">
        <v>0.91805555555555596</v>
      </c>
      <c r="D306" s="56">
        <v>0.27222222222222198</v>
      </c>
      <c r="E306" s="57">
        <v>0.10347222222222199</v>
      </c>
      <c r="F306" s="58">
        <v>0.124305555555556</v>
      </c>
      <c r="G306" s="59" t="str">
        <f t="array" ref="G306">_xlfn.XLOOKUP(A306&amp;"|"&amp;B306,ShiftRoster[Employee ID]&amp;"|"&amp;ShiftRoster[Date],ShiftRoster[Shift Code],_xlfn.XLOOKUP(A306,TRIM(SUBSTITUTE('worker file'!$A$2:$A$406,_xlfn.UNICHAR(160)," ")),'worker file'!$X$2:$X$406,"?"),0,-1)</f>
        <v>NGHT</v>
      </c>
      <c r="H306" s="59" t="str">
        <f>_xlfn.XLOOKUP(G306,ShiftCodes[Code],ShiftCodes[Work Schedule],"Unknown")</f>
        <v>Shift C – Night (Sun–Thu 22:00–06:30)</v>
      </c>
      <c r="I306" s="60">
        <f>_xlfn.XLOOKUP(G306,ShiftCodes[Code],ShiftCodes[Start],"")</f>
        <v>0.91666666666666696</v>
      </c>
      <c r="J306" s="61">
        <f t="shared" si="20"/>
        <v>2</v>
      </c>
      <c r="K306" s="59" t="str">
        <f t="shared" si="21"/>
        <v>OK</v>
      </c>
      <c r="L306" s="62" t="s">
        <v>779</v>
      </c>
      <c r="M306" s="5" t="str">
        <f t="shared" si="22"/>
        <v>Sun</v>
      </c>
      <c r="N306" s="63">
        <f t="shared" si="23"/>
        <v>8</v>
      </c>
      <c r="O306" s="5" t="s">
        <v>758</v>
      </c>
      <c r="P306" s="6">
        <v>46300</v>
      </c>
      <c r="Q306" s="5" t="str">
        <f t="shared" si="24"/>
        <v>Current period</v>
      </c>
      <c r="R306" s="5" t="str">
        <f t="array" ref="R306">_xlfn.XLOOKUP(A306,TRIM(SUBSTITUTE('worker file'!$A$2:$A$406,_xlfn.UNICHAR(160)," ")),'worker file'!$D$2:$D$406,"Not found")</f>
        <v>TX</v>
      </c>
    </row>
    <row r="307" spans="1:18" ht="16" x14ac:dyDescent="0.2">
      <c r="A307" s="5" t="s">
        <v>449</v>
      </c>
      <c r="B307" s="6">
        <v>46300</v>
      </c>
      <c r="C307" s="56">
        <v>0.91249999999999998</v>
      </c>
      <c r="D307" s="56">
        <v>0.26250000000000001</v>
      </c>
      <c r="E307" s="57">
        <v>5.9027777777777797E-2</v>
      </c>
      <c r="F307" s="58">
        <v>7.9861111111111105E-2</v>
      </c>
      <c r="G307" s="59" t="str">
        <f t="array" ref="G307">_xlfn.XLOOKUP(A307&amp;"|"&amp;B307,ShiftRoster[Employee ID]&amp;"|"&amp;ShiftRoster[Date],ShiftRoster[Shift Code],_xlfn.XLOOKUP(A307,TRIM(SUBSTITUTE('worker file'!$A$2:$A$406,_xlfn.UNICHAR(160)," ")),'worker file'!$X$2:$X$406,"?"),0,-1)</f>
        <v>NGHT</v>
      </c>
      <c r="H307" s="59" t="str">
        <f>_xlfn.XLOOKUP(G307,ShiftCodes[Code],ShiftCodes[Work Schedule],"Unknown")</f>
        <v>Shift C – Night (Sun–Thu 22:00–06:30)</v>
      </c>
      <c r="I307" s="60">
        <f>_xlfn.XLOOKUP(G307,ShiftCodes[Code],ShiftCodes[Start],"")</f>
        <v>0.91666666666666696</v>
      </c>
      <c r="J307" s="61">
        <f t="shared" si="20"/>
        <v>-6</v>
      </c>
      <c r="K307" s="59" t="str">
        <f t="shared" si="21"/>
        <v>OK</v>
      </c>
      <c r="L307" s="62" t="s">
        <v>779</v>
      </c>
      <c r="M307" s="5" t="str">
        <f t="shared" si="22"/>
        <v>Mon</v>
      </c>
      <c r="N307" s="63">
        <f t="shared" si="23"/>
        <v>7.9</v>
      </c>
      <c r="O307" s="5" t="s">
        <v>758</v>
      </c>
      <c r="P307" s="6">
        <v>46301</v>
      </c>
      <c r="Q307" s="5" t="str">
        <f t="shared" si="24"/>
        <v>Current period</v>
      </c>
      <c r="R307" s="5" t="str">
        <f t="array" ref="R307">_xlfn.XLOOKUP(A307,TRIM(SUBSTITUTE('worker file'!$A$2:$A$406,_xlfn.UNICHAR(160)," ")),'worker file'!$D$2:$D$406,"Not found")</f>
        <v>TX</v>
      </c>
    </row>
    <row r="308" spans="1:18" ht="16" x14ac:dyDescent="0.2">
      <c r="A308" s="5" t="s">
        <v>449</v>
      </c>
      <c r="B308" s="6">
        <v>46301</v>
      </c>
      <c r="C308" s="56">
        <v>0.91597222222222197</v>
      </c>
      <c r="D308" s="56">
        <v>0.265972222222222</v>
      </c>
      <c r="E308" s="57">
        <v>8.3333333333333301E-2</v>
      </c>
      <c r="F308" s="58">
        <v>0.104166666666667</v>
      </c>
      <c r="G308" s="59" t="str">
        <f t="array" ref="G308">_xlfn.XLOOKUP(A308&amp;"|"&amp;B308,ShiftRoster[Employee ID]&amp;"|"&amp;ShiftRoster[Date],ShiftRoster[Shift Code],_xlfn.XLOOKUP(A308,TRIM(SUBSTITUTE('worker file'!$A$2:$A$406,_xlfn.UNICHAR(160)," ")),'worker file'!$X$2:$X$406,"?"),0,-1)</f>
        <v>NGHT</v>
      </c>
      <c r="H308" s="59" t="str">
        <f>_xlfn.XLOOKUP(G308,ShiftCodes[Code],ShiftCodes[Work Schedule],"Unknown")</f>
        <v>Shift C – Night (Sun–Thu 22:00–06:30)</v>
      </c>
      <c r="I308" s="60">
        <f>_xlfn.XLOOKUP(G308,ShiftCodes[Code],ShiftCodes[Start],"")</f>
        <v>0.91666666666666696</v>
      </c>
      <c r="J308" s="61">
        <f t="shared" si="20"/>
        <v>-1</v>
      </c>
      <c r="K308" s="59" t="str">
        <f t="shared" si="21"/>
        <v>OK</v>
      </c>
      <c r="L308" s="62" t="s">
        <v>779</v>
      </c>
      <c r="M308" s="5" t="str">
        <f t="shared" si="22"/>
        <v>Tue</v>
      </c>
      <c r="N308" s="63">
        <f t="shared" si="23"/>
        <v>7.9</v>
      </c>
      <c r="O308" s="5" t="s">
        <v>758</v>
      </c>
      <c r="P308" s="6">
        <v>46302</v>
      </c>
      <c r="Q308" s="5" t="str">
        <f t="shared" si="24"/>
        <v>Current period</v>
      </c>
      <c r="R308" s="5" t="str">
        <f t="array" ref="R308">_xlfn.XLOOKUP(A308,TRIM(SUBSTITUTE('worker file'!$A$2:$A$406,_xlfn.UNICHAR(160)," ")),'worker file'!$D$2:$D$406,"Not found")</f>
        <v>TX</v>
      </c>
    </row>
    <row r="309" spans="1:18" ht="16" x14ac:dyDescent="0.2">
      <c r="A309" s="5" t="s">
        <v>449</v>
      </c>
      <c r="B309" s="6">
        <v>46302</v>
      </c>
      <c r="C309" s="56">
        <v>0.91319444444444398</v>
      </c>
      <c r="D309" s="56">
        <v>0.264583333333333</v>
      </c>
      <c r="E309" s="57">
        <v>8.1250000000000003E-2</v>
      </c>
      <c r="F309" s="58">
        <v>0.102083333333333</v>
      </c>
      <c r="G309" s="59" t="str">
        <f t="array" ref="G309">_xlfn.XLOOKUP(A309&amp;"|"&amp;B309,ShiftRoster[Employee ID]&amp;"|"&amp;ShiftRoster[Date],ShiftRoster[Shift Code],_xlfn.XLOOKUP(A309,TRIM(SUBSTITUTE('worker file'!$A$2:$A$406,_xlfn.UNICHAR(160)," ")),'worker file'!$X$2:$X$406,"?"),0,-1)</f>
        <v>NGHT</v>
      </c>
      <c r="H309" s="59" t="str">
        <f>_xlfn.XLOOKUP(G309,ShiftCodes[Code],ShiftCodes[Work Schedule],"Unknown")</f>
        <v>Shift C – Night (Sun–Thu 22:00–06:30)</v>
      </c>
      <c r="I309" s="60">
        <f>_xlfn.XLOOKUP(G309,ShiftCodes[Code],ShiftCodes[Start],"")</f>
        <v>0.91666666666666696</v>
      </c>
      <c r="J309" s="61">
        <f t="shared" si="20"/>
        <v>-5</v>
      </c>
      <c r="K309" s="59" t="str">
        <f t="shared" si="21"/>
        <v>OK</v>
      </c>
      <c r="L309" s="62" t="s">
        <v>779</v>
      </c>
      <c r="M309" s="5" t="str">
        <f t="shared" si="22"/>
        <v>Wed</v>
      </c>
      <c r="N309" s="63">
        <f t="shared" si="23"/>
        <v>7.93</v>
      </c>
      <c r="O309" s="5" t="s">
        <v>758</v>
      </c>
      <c r="P309" s="6">
        <v>46303</v>
      </c>
      <c r="Q309" s="5" t="str">
        <f t="shared" si="24"/>
        <v>Current period</v>
      </c>
      <c r="R309" s="5" t="str">
        <f t="array" ref="R309">_xlfn.XLOOKUP(A309,TRIM(SUBSTITUTE('worker file'!$A$2:$A$406,_xlfn.UNICHAR(160)," ")),'worker file'!$D$2:$D$406,"Not found")</f>
        <v>TX</v>
      </c>
    </row>
    <row r="310" spans="1:18" ht="16" x14ac:dyDescent="0.2">
      <c r="A310" s="5" t="s">
        <v>449</v>
      </c>
      <c r="B310" s="6">
        <v>46303</v>
      </c>
      <c r="C310" s="56">
        <v>0.91736111111111096</v>
      </c>
      <c r="D310" s="56">
        <v>0.26805555555555599</v>
      </c>
      <c r="E310" s="57">
        <v>9.7222222222222196E-2</v>
      </c>
      <c r="F310" s="58">
        <v>0.118055555555556</v>
      </c>
      <c r="G310" s="59" t="str">
        <f t="array" ref="G310">_xlfn.XLOOKUP(A310&amp;"|"&amp;B310,ShiftRoster[Employee ID]&amp;"|"&amp;ShiftRoster[Date],ShiftRoster[Shift Code],_xlfn.XLOOKUP(A310,TRIM(SUBSTITUTE('worker file'!$A$2:$A$406,_xlfn.UNICHAR(160)," ")),'worker file'!$X$2:$X$406,"?"),0,-1)</f>
        <v>NGHT</v>
      </c>
      <c r="H310" s="59" t="str">
        <f>_xlfn.XLOOKUP(G310,ShiftCodes[Code],ShiftCodes[Work Schedule],"Unknown")</f>
        <v>Shift C – Night (Sun–Thu 22:00–06:30)</v>
      </c>
      <c r="I310" s="60">
        <f>_xlfn.XLOOKUP(G310,ShiftCodes[Code],ShiftCodes[Start],"")</f>
        <v>0.91666666666666696</v>
      </c>
      <c r="J310" s="61">
        <f t="shared" si="20"/>
        <v>1</v>
      </c>
      <c r="K310" s="59" t="str">
        <f t="shared" si="21"/>
        <v>OK</v>
      </c>
      <c r="L310" s="62" t="s">
        <v>779</v>
      </c>
      <c r="M310" s="5" t="str">
        <f t="shared" si="22"/>
        <v>Thu</v>
      </c>
      <c r="N310" s="63">
        <f t="shared" si="23"/>
        <v>7.92</v>
      </c>
      <c r="O310" s="5" t="s">
        <v>758</v>
      </c>
      <c r="P310" s="6">
        <v>46304</v>
      </c>
      <c r="Q310" s="5" t="str">
        <f t="shared" si="24"/>
        <v>Current period</v>
      </c>
      <c r="R310" s="5" t="str">
        <f t="array" ref="R310">_xlfn.XLOOKUP(A310,TRIM(SUBSTITUTE('worker file'!$A$2:$A$406,_xlfn.UNICHAR(160)," ")),'worker file'!$D$2:$D$406,"Not found")</f>
        <v>TX</v>
      </c>
    </row>
    <row r="311" spans="1:18" ht="16" x14ac:dyDescent="0.2">
      <c r="A311" s="5" t="s">
        <v>449</v>
      </c>
      <c r="B311" s="6">
        <v>46306</v>
      </c>
      <c r="C311" s="56">
        <v>0.91944444444444395</v>
      </c>
      <c r="D311" s="56">
        <v>0.27361111111111103</v>
      </c>
      <c r="E311" s="57">
        <v>0.10625</v>
      </c>
      <c r="F311" s="58">
        <v>0.12708333333333299</v>
      </c>
      <c r="G311" s="59" t="str">
        <f t="array" ref="G311">_xlfn.XLOOKUP(A311&amp;"|"&amp;B311,ShiftRoster[Employee ID]&amp;"|"&amp;ShiftRoster[Date],ShiftRoster[Shift Code],_xlfn.XLOOKUP(A311,TRIM(SUBSTITUTE('worker file'!$A$2:$A$406,_xlfn.UNICHAR(160)," ")),'worker file'!$X$2:$X$406,"?"),0,-1)</f>
        <v>NGHT</v>
      </c>
      <c r="H311" s="59" t="str">
        <f>_xlfn.XLOOKUP(G311,ShiftCodes[Code],ShiftCodes[Work Schedule],"Unknown")</f>
        <v>Shift C – Night (Sun–Thu 22:00–06:30)</v>
      </c>
      <c r="I311" s="60">
        <f>_xlfn.XLOOKUP(G311,ShiftCodes[Code],ShiftCodes[Start],"")</f>
        <v>0.91666666666666696</v>
      </c>
      <c r="J311" s="61">
        <f t="shared" si="20"/>
        <v>4</v>
      </c>
      <c r="K311" s="59" t="str">
        <f t="shared" si="21"/>
        <v>OK</v>
      </c>
      <c r="L311" s="62" t="s">
        <v>779</v>
      </c>
      <c r="M311" s="5" t="str">
        <f t="shared" si="22"/>
        <v>Sun</v>
      </c>
      <c r="N311" s="63">
        <f t="shared" si="23"/>
        <v>8</v>
      </c>
      <c r="O311" s="5" t="s">
        <v>758</v>
      </c>
      <c r="P311" s="6">
        <v>46307</v>
      </c>
      <c r="Q311" s="5" t="str">
        <f t="shared" si="24"/>
        <v>Current period</v>
      </c>
      <c r="R311" s="5" t="str">
        <f t="array" ref="R311">_xlfn.XLOOKUP(A311,TRIM(SUBSTITUTE('worker file'!$A$2:$A$406,_xlfn.UNICHAR(160)," ")),'worker file'!$D$2:$D$406,"Not found")</f>
        <v>TX</v>
      </c>
    </row>
    <row r="312" spans="1:18" ht="16" x14ac:dyDescent="0.2">
      <c r="A312" s="5" t="s">
        <v>449</v>
      </c>
      <c r="B312" s="6">
        <v>46307</v>
      </c>
      <c r="C312" s="56">
        <v>0.91527777777777797</v>
      </c>
      <c r="D312" s="56">
        <v>0.26944444444444399</v>
      </c>
      <c r="E312" s="57">
        <v>8.1944444444444403E-2</v>
      </c>
      <c r="F312" s="58">
        <v>0.102777777777778</v>
      </c>
      <c r="G312" s="59" t="str">
        <f t="array" ref="G312">_xlfn.XLOOKUP(A312&amp;"|"&amp;B312,ShiftRoster[Employee ID]&amp;"|"&amp;ShiftRoster[Date],ShiftRoster[Shift Code],_xlfn.XLOOKUP(A312,TRIM(SUBSTITUTE('worker file'!$A$2:$A$406,_xlfn.UNICHAR(160)," ")),'worker file'!$X$2:$X$406,"?"),0,-1)</f>
        <v>NGHT</v>
      </c>
      <c r="H312" s="59" t="str">
        <f>_xlfn.XLOOKUP(G312,ShiftCodes[Code],ShiftCodes[Work Schedule],"Unknown")</f>
        <v>Shift C – Night (Sun–Thu 22:00–06:30)</v>
      </c>
      <c r="I312" s="60">
        <f>_xlfn.XLOOKUP(G312,ShiftCodes[Code],ShiftCodes[Start],"")</f>
        <v>0.91666666666666696</v>
      </c>
      <c r="J312" s="61">
        <f t="shared" si="20"/>
        <v>-2</v>
      </c>
      <c r="K312" s="59" t="str">
        <f t="shared" si="21"/>
        <v>OK</v>
      </c>
      <c r="L312" s="62" t="s">
        <v>779</v>
      </c>
      <c r="M312" s="5" t="str">
        <f t="shared" si="22"/>
        <v>Mon</v>
      </c>
      <c r="N312" s="63">
        <f t="shared" si="23"/>
        <v>8</v>
      </c>
      <c r="O312" s="5" t="s">
        <v>758</v>
      </c>
      <c r="P312" s="6">
        <v>46308</v>
      </c>
      <c r="Q312" s="5" t="str">
        <f t="shared" si="24"/>
        <v>Current period</v>
      </c>
      <c r="R312" s="5" t="str">
        <f t="array" ref="R312">_xlfn.XLOOKUP(A312,TRIM(SUBSTITUTE('worker file'!$A$2:$A$406,_xlfn.UNICHAR(160)," ")),'worker file'!$D$2:$D$406,"Not found")</f>
        <v>TX</v>
      </c>
    </row>
    <row r="313" spans="1:18" ht="16" x14ac:dyDescent="0.2">
      <c r="A313" s="5" t="s">
        <v>449</v>
      </c>
      <c r="B313" s="6">
        <v>46308</v>
      </c>
      <c r="C313" s="56">
        <v>0.91805555555555596</v>
      </c>
      <c r="D313" s="56">
        <v>0.27222222222222198</v>
      </c>
      <c r="E313" s="57">
        <v>9.9305555555555605E-2</v>
      </c>
      <c r="F313" s="58">
        <v>0.120138888888889</v>
      </c>
      <c r="G313" s="59" t="str">
        <f t="array" ref="G313">_xlfn.XLOOKUP(A313&amp;"|"&amp;B313,ShiftRoster[Employee ID]&amp;"|"&amp;ShiftRoster[Date],ShiftRoster[Shift Code],_xlfn.XLOOKUP(A313,TRIM(SUBSTITUTE('worker file'!$A$2:$A$406,_xlfn.UNICHAR(160)," ")),'worker file'!$X$2:$X$406,"?"),0,-1)</f>
        <v>NGHT</v>
      </c>
      <c r="H313" s="59" t="str">
        <f>_xlfn.XLOOKUP(G313,ShiftCodes[Code],ShiftCodes[Work Schedule],"Unknown")</f>
        <v>Shift C – Night (Sun–Thu 22:00–06:30)</v>
      </c>
      <c r="I313" s="60">
        <f>_xlfn.XLOOKUP(G313,ShiftCodes[Code],ShiftCodes[Start],"")</f>
        <v>0.91666666666666696</v>
      </c>
      <c r="J313" s="61">
        <f t="shared" si="20"/>
        <v>2</v>
      </c>
      <c r="K313" s="59" t="str">
        <f t="shared" si="21"/>
        <v>OK</v>
      </c>
      <c r="L313" s="62" t="s">
        <v>779</v>
      </c>
      <c r="M313" s="5" t="str">
        <f t="shared" si="22"/>
        <v>Tue</v>
      </c>
      <c r="N313" s="63">
        <f t="shared" si="23"/>
        <v>8</v>
      </c>
      <c r="O313" s="5" t="s">
        <v>758</v>
      </c>
      <c r="P313" s="6">
        <v>46309</v>
      </c>
      <c r="Q313" s="5" t="str">
        <f t="shared" si="24"/>
        <v>Current period</v>
      </c>
      <c r="R313" s="5" t="str">
        <f t="array" ref="R313">_xlfn.XLOOKUP(A313,TRIM(SUBSTITUTE('worker file'!$A$2:$A$406,_xlfn.UNICHAR(160)," ")),'worker file'!$D$2:$D$406,"Not found")</f>
        <v>TX</v>
      </c>
    </row>
    <row r="314" spans="1:18" ht="16" x14ac:dyDescent="0.2">
      <c r="A314" s="5" t="s">
        <v>449</v>
      </c>
      <c r="B314" s="6">
        <v>46309</v>
      </c>
      <c r="C314" s="56">
        <v>0.91458333333333297</v>
      </c>
      <c r="D314" s="56">
        <v>0.265972222222222</v>
      </c>
      <c r="E314" s="57">
        <v>8.1944444444444403E-2</v>
      </c>
      <c r="F314" s="58">
        <v>0.102777777777778</v>
      </c>
      <c r="G314" s="59" t="str">
        <f t="array" ref="G314">_xlfn.XLOOKUP(A314&amp;"|"&amp;B314,ShiftRoster[Employee ID]&amp;"|"&amp;ShiftRoster[Date],ShiftRoster[Shift Code],_xlfn.XLOOKUP(A314,TRIM(SUBSTITUTE('worker file'!$A$2:$A$406,_xlfn.UNICHAR(160)," ")),'worker file'!$X$2:$X$406,"?"),0,-1)</f>
        <v>NGHT</v>
      </c>
      <c r="H314" s="59" t="str">
        <f>_xlfn.XLOOKUP(G314,ShiftCodes[Code],ShiftCodes[Work Schedule],"Unknown")</f>
        <v>Shift C – Night (Sun–Thu 22:00–06:30)</v>
      </c>
      <c r="I314" s="60">
        <f>_xlfn.XLOOKUP(G314,ShiftCodes[Code],ShiftCodes[Start],"")</f>
        <v>0.91666666666666696</v>
      </c>
      <c r="J314" s="61">
        <f t="shared" si="20"/>
        <v>-3</v>
      </c>
      <c r="K314" s="59" t="str">
        <f t="shared" si="21"/>
        <v>OK</v>
      </c>
      <c r="L314" s="62" t="s">
        <v>779</v>
      </c>
      <c r="M314" s="5" t="str">
        <f t="shared" si="22"/>
        <v>Wed</v>
      </c>
      <c r="N314" s="63">
        <f t="shared" si="23"/>
        <v>7.93</v>
      </c>
      <c r="O314" s="5" t="s">
        <v>758</v>
      </c>
      <c r="P314" s="6">
        <v>46310</v>
      </c>
      <c r="Q314" s="5" t="str">
        <f t="shared" si="24"/>
        <v>Current period</v>
      </c>
      <c r="R314" s="5" t="str">
        <f t="array" ref="R314">_xlfn.XLOOKUP(A314,TRIM(SUBSTITUTE('worker file'!$A$2:$A$406,_xlfn.UNICHAR(160)," ")),'worker file'!$D$2:$D$406,"Not found")</f>
        <v>TX</v>
      </c>
    </row>
    <row r="315" spans="1:18" ht="16" x14ac:dyDescent="0.2">
      <c r="A315" s="5" t="s">
        <v>449</v>
      </c>
      <c r="B315" s="6">
        <v>46310</v>
      </c>
      <c r="C315" s="56">
        <v>0.91736111111111096</v>
      </c>
      <c r="D315" s="56">
        <v>0.26944444444444399</v>
      </c>
      <c r="E315" s="57">
        <v>8.9583333333333307E-2</v>
      </c>
      <c r="F315" s="58">
        <v>0.110416666666667</v>
      </c>
      <c r="G315" s="59" t="str">
        <f t="array" ref="G315">_xlfn.XLOOKUP(A315&amp;"|"&amp;B315,ShiftRoster[Employee ID]&amp;"|"&amp;ShiftRoster[Date],ShiftRoster[Shift Code],_xlfn.XLOOKUP(A315,TRIM(SUBSTITUTE('worker file'!$A$2:$A$406,_xlfn.UNICHAR(160)," ")),'worker file'!$X$2:$X$406,"?"),0,-1)</f>
        <v>NGHT</v>
      </c>
      <c r="H315" s="59" t="str">
        <f>_xlfn.XLOOKUP(G315,ShiftCodes[Code],ShiftCodes[Work Schedule],"Unknown")</f>
        <v>Shift C – Night (Sun–Thu 22:00–06:30)</v>
      </c>
      <c r="I315" s="60">
        <f>_xlfn.XLOOKUP(G315,ShiftCodes[Code],ShiftCodes[Start],"")</f>
        <v>0.91666666666666696</v>
      </c>
      <c r="J315" s="61">
        <f t="shared" si="20"/>
        <v>1</v>
      </c>
      <c r="K315" s="59" t="str">
        <f t="shared" si="21"/>
        <v>OK</v>
      </c>
      <c r="L315" s="62" t="s">
        <v>779</v>
      </c>
      <c r="M315" s="5" t="str">
        <f t="shared" si="22"/>
        <v>Thu</v>
      </c>
      <c r="N315" s="63">
        <f t="shared" si="23"/>
        <v>7.95</v>
      </c>
      <c r="O315" s="5" t="s">
        <v>758</v>
      </c>
      <c r="P315" s="6">
        <v>46311</v>
      </c>
      <c r="Q315" s="5" t="str">
        <f t="shared" si="24"/>
        <v>Current period</v>
      </c>
      <c r="R315" s="5" t="str">
        <f t="array" ref="R315">_xlfn.XLOOKUP(A315,TRIM(SUBSTITUTE('worker file'!$A$2:$A$406,_xlfn.UNICHAR(160)," ")),'worker file'!$D$2:$D$406,"Not found")</f>
        <v>TX</v>
      </c>
    </row>
    <row r="316" spans="1:18" ht="16" x14ac:dyDescent="0.2">
      <c r="A316" s="5" t="s">
        <v>452</v>
      </c>
      <c r="B316" s="6">
        <v>46300</v>
      </c>
      <c r="C316" s="56">
        <v>0.58125000000000004</v>
      </c>
      <c r="D316" s="56">
        <v>0.93194444444444502</v>
      </c>
      <c r="E316" s="57">
        <v>0.75624999999999998</v>
      </c>
      <c r="F316" s="58">
        <v>0.77708333333333302</v>
      </c>
      <c r="G316" s="59" t="str">
        <f t="array" ref="G316">_xlfn.XLOOKUP(A316&amp;"|"&amp;B316,ShiftRoster[Employee ID]&amp;"|"&amp;ShiftRoster[Date],ShiftRoster[Shift Code],_xlfn.XLOOKUP(A316,TRIM(SUBSTITUTE('worker file'!$A$2:$A$406,_xlfn.UNICHAR(160)," ")),'worker file'!$X$2:$X$406,"?"),0,-1)</f>
        <v>SWNG</v>
      </c>
      <c r="H316" s="59" t="str">
        <f>_xlfn.XLOOKUP(G316,ShiftCodes[Code],ShiftCodes[Work Schedule],"Unknown")</f>
        <v>Shift B – Swing (Mon–Fri 14:00–22:30)</v>
      </c>
      <c r="I316" s="60">
        <f>_xlfn.XLOOKUP(G316,ShiftCodes[Code],ShiftCodes[Start],"")</f>
        <v>0.58333333333333304</v>
      </c>
      <c r="J316" s="61">
        <f t="shared" si="20"/>
        <v>-3</v>
      </c>
      <c r="K316" s="59" t="str">
        <f t="shared" si="21"/>
        <v>OK</v>
      </c>
      <c r="L316" s="62"/>
      <c r="M316" s="5" t="str">
        <f t="shared" si="22"/>
        <v>Mon</v>
      </c>
      <c r="N316" s="63">
        <f t="shared" si="23"/>
        <v>7.92</v>
      </c>
      <c r="O316" s="5" t="s">
        <v>758</v>
      </c>
      <c r="P316" s="6">
        <v>46300</v>
      </c>
      <c r="Q316" s="5" t="str">
        <f t="shared" si="24"/>
        <v>Current period</v>
      </c>
      <c r="R316" s="5" t="str">
        <f t="array" ref="R316">_xlfn.XLOOKUP(A316,TRIM(SUBSTITUTE('worker file'!$A$2:$A$406,_xlfn.UNICHAR(160)," ")),'worker file'!$D$2:$D$406,"Not found")</f>
        <v>TX</v>
      </c>
    </row>
    <row r="317" spans="1:18" ht="16" x14ac:dyDescent="0.2">
      <c r="A317" s="5" t="s">
        <v>452</v>
      </c>
      <c r="B317" s="6">
        <v>46301</v>
      </c>
      <c r="C317" s="56">
        <v>0.58472222222222203</v>
      </c>
      <c r="D317" s="56">
        <v>0.93611111111111101</v>
      </c>
      <c r="E317" s="57">
        <v>0.73750000000000004</v>
      </c>
      <c r="F317" s="58">
        <v>0.75833333333333297</v>
      </c>
      <c r="G317" s="59" t="str">
        <f t="array" ref="G317">_xlfn.XLOOKUP(A317&amp;"|"&amp;B317,ShiftRoster[Employee ID]&amp;"|"&amp;ShiftRoster[Date],ShiftRoster[Shift Code],_xlfn.XLOOKUP(A317,TRIM(SUBSTITUTE('worker file'!$A$2:$A$406,_xlfn.UNICHAR(160)," ")),'worker file'!$X$2:$X$406,"?"),0,-1)</f>
        <v>SWNG</v>
      </c>
      <c r="H317" s="59" t="str">
        <f>_xlfn.XLOOKUP(G317,ShiftCodes[Code],ShiftCodes[Work Schedule],"Unknown")</f>
        <v>Shift B – Swing (Mon–Fri 14:00–22:30)</v>
      </c>
      <c r="I317" s="60">
        <f>_xlfn.XLOOKUP(G317,ShiftCodes[Code],ShiftCodes[Start],"")</f>
        <v>0.58333333333333304</v>
      </c>
      <c r="J317" s="61">
        <f t="shared" si="20"/>
        <v>2</v>
      </c>
      <c r="K317" s="59" t="str">
        <f t="shared" si="21"/>
        <v>OK</v>
      </c>
      <c r="L317" s="62"/>
      <c r="M317" s="5" t="str">
        <f t="shared" si="22"/>
        <v>Tue</v>
      </c>
      <c r="N317" s="63">
        <f t="shared" si="23"/>
        <v>7.93</v>
      </c>
      <c r="O317" s="5" t="s">
        <v>758</v>
      </c>
      <c r="P317" s="6">
        <v>46301</v>
      </c>
      <c r="Q317" s="5" t="str">
        <f t="shared" si="24"/>
        <v>Current period</v>
      </c>
      <c r="R317" s="5" t="str">
        <f t="array" ref="R317">_xlfn.XLOOKUP(A317,TRIM(SUBSTITUTE('worker file'!$A$2:$A$406,_xlfn.UNICHAR(160)," ")),'worker file'!$D$2:$D$406,"Not found")</f>
        <v>TX</v>
      </c>
    </row>
    <row r="318" spans="1:18" ht="16" x14ac:dyDescent="0.2">
      <c r="A318" s="5" t="s">
        <v>452</v>
      </c>
      <c r="B318" s="6">
        <v>46302</v>
      </c>
      <c r="C318" s="56">
        <v>0.58472222222222203</v>
      </c>
      <c r="D318" s="56">
        <v>0.93888888888888899</v>
      </c>
      <c r="E318" s="57">
        <v>0.75833333333333297</v>
      </c>
      <c r="F318" s="58">
        <v>0.77916666666666701</v>
      </c>
      <c r="G318" s="59" t="str">
        <f t="array" ref="G318">_xlfn.XLOOKUP(A318&amp;"|"&amp;B318,ShiftRoster[Employee ID]&amp;"|"&amp;ShiftRoster[Date],ShiftRoster[Shift Code],_xlfn.XLOOKUP(A318,TRIM(SUBSTITUTE('worker file'!$A$2:$A$406,_xlfn.UNICHAR(160)," ")),'worker file'!$X$2:$X$406,"?"),0,-1)</f>
        <v>SWNG</v>
      </c>
      <c r="H318" s="59" t="str">
        <f>_xlfn.XLOOKUP(G318,ShiftCodes[Code],ShiftCodes[Work Schedule],"Unknown")</f>
        <v>Shift B – Swing (Mon–Fri 14:00–22:30)</v>
      </c>
      <c r="I318" s="60">
        <f>_xlfn.XLOOKUP(G318,ShiftCodes[Code],ShiftCodes[Start],"")</f>
        <v>0.58333333333333304</v>
      </c>
      <c r="J318" s="61">
        <f t="shared" si="20"/>
        <v>2</v>
      </c>
      <c r="K318" s="59" t="str">
        <f t="shared" si="21"/>
        <v>OK</v>
      </c>
      <c r="L318" s="62"/>
      <c r="M318" s="5" t="str">
        <f t="shared" si="22"/>
        <v>Wed</v>
      </c>
      <c r="N318" s="63">
        <f t="shared" si="23"/>
        <v>8</v>
      </c>
      <c r="O318" s="5" t="s">
        <v>758</v>
      </c>
      <c r="P318" s="6">
        <v>46302</v>
      </c>
      <c r="Q318" s="5" t="str">
        <f t="shared" si="24"/>
        <v>Current period</v>
      </c>
      <c r="R318" s="5" t="str">
        <f t="array" ref="R318">_xlfn.XLOOKUP(A318,TRIM(SUBSTITUTE('worker file'!$A$2:$A$406,_xlfn.UNICHAR(160)," ")),'worker file'!$D$2:$D$406,"Not found")</f>
        <v>TX</v>
      </c>
    </row>
    <row r="319" spans="1:18" ht="16" x14ac:dyDescent="0.2">
      <c r="A319" s="5" t="s">
        <v>452</v>
      </c>
      <c r="B319" s="6">
        <v>46303</v>
      </c>
      <c r="C319" s="56">
        <v>0.58194444444444504</v>
      </c>
      <c r="D319" s="56">
        <v>0.93125000000000002</v>
      </c>
      <c r="E319" s="57">
        <v>0.76111111111111096</v>
      </c>
      <c r="F319" s="58">
        <v>0.781944444444444</v>
      </c>
      <c r="G319" s="59" t="str">
        <f t="array" ref="G319">_xlfn.XLOOKUP(A319&amp;"|"&amp;B319,ShiftRoster[Employee ID]&amp;"|"&amp;ShiftRoster[Date],ShiftRoster[Shift Code],_xlfn.XLOOKUP(A319,TRIM(SUBSTITUTE('worker file'!$A$2:$A$406,_xlfn.UNICHAR(160)," ")),'worker file'!$X$2:$X$406,"?"),0,-1)</f>
        <v>SWNG</v>
      </c>
      <c r="H319" s="59" t="str">
        <f>_xlfn.XLOOKUP(G319,ShiftCodes[Code],ShiftCodes[Work Schedule],"Unknown")</f>
        <v>Shift B – Swing (Mon–Fri 14:00–22:30)</v>
      </c>
      <c r="I319" s="60">
        <f>_xlfn.XLOOKUP(G319,ShiftCodes[Code],ShiftCodes[Start],"")</f>
        <v>0.58333333333333304</v>
      </c>
      <c r="J319" s="61">
        <f t="shared" si="20"/>
        <v>-2</v>
      </c>
      <c r="K319" s="59" t="str">
        <f t="shared" si="21"/>
        <v>OK</v>
      </c>
      <c r="L319" s="62"/>
      <c r="M319" s="5" t="str">
        <f t="shared" si="22"/>
        <v>Thu</v>
      </c>
      <c r="N319" s="63">
        <f t="shared" si="23"/>
        <v>7.88</v>
      </c>
      <c r="O319" s="5" t="s">
        <v>758</v>
      </c>
      <c r="P319" s="6">
        <v>46303</v>
      </c>
      <c r="Q319" s="5" t="str">
        <f t="shared" si="24"/>
        <v>Current period</v>
      </c>
      <c r="R319" s="5" t="str">
        <f t="array" ref="R319">_xlfn.XLOOKUP(A319,TRIM(SUBSTITUTE('worker file'!$A$2:$A$406,_xlfn.UNICHAR(160)," ")),'worker file'!$D$2:$D$406,"Not found")</f>
        <v>TX</v>
      </c>
    </row>
    <row r="320" spans="1:18" ht="16" x14ac:dyDescent="0.2">
      <c r="A320" s="5" t="s">
        <v>452</v>
      </c>
      <c r="B320" s="6">
        <v>46304</v>
      </c>
      <c r="C320" s="56">
        <v>0.58402777777777803</v>
      </c>
      <c r="D320" s="56">
        <v>0.93263888888888902</v>
      </c>
      <c r="E320" s="57">
        <v>0.73611111111111105</v>
      </c>
      <c r="F320" s="58">
        <v>0.75694444444444398</v>
      </c>
      <c r="G320" s="59" t="str">
        <f t="array" ref="G320">_xlfn.XLOOKUP(A320&amp;"|"&amp;B320,ShiftRoster[Employee ID]&amp;"|"&amp;ShiftRoster[Date],ShiftRoster[Shift Code],_xlfn.XLOOKUP(A320,TRIM(SUBSTITUTE('worker file'!$A$2:$A$406,_xlfn.UNICHAR(160)," ")),'worker file'!$X$2:$X$406,"?"),0,-1)</f>
        <v>SWNG</v>
      </c>
      <c r="H320" s="59" t="str">
        <f>_xlfn.XLOOKUP(G320,ShiftCodes[Code],ShiftCodes[Work Schedule],"Unknown")</f>
        <v>Shift B – Swing (Mon–Fri 14:00–22:30)</v>
      </c>
      <c r="I320" s="60">
        <f>_xlfn.XLOOKUP(G320,ShiftCodes[Code],ShiftCodes[Start],"")</f>
        <v>0.58333333333333304</v>
      </c>
      <c r="J320" s="61">
        <f t="shared" si="20"/>
        <v>1</v>
      </c>
      <c r="K320" s="59" t="str">
        <f t="shared" si="21"/>
        <v>OK</v>
      </c>
      <c r="L320" s="62"/>
      <c r="M320" s="5" t="str">
        <f t="shared" si="22"/>
        <v>Fri</v>
      </c>
      <c r="N320" s="63">
        <f t="shared" si="23"/>
        <v>7.87</v>
      </c>
      <c r="O320" s="5" t="s">
        <v>758</v>
      </c>
      <c r="P320" s="6">
        <v>46304</v>
      </c>
      <c r="Q320" s="5" t="str">
        <f t="shared" si="24"/>
        <v>Current period</v>
      </c>
      <c r="R320" s="5" t="str">
        <f t="array" ref="R320">_xlfn.XLOOKUP(A320,TRIM(SUBSTITUTE('worker file'!$A$2:$A$406,_xlfn.UNICHAR(160)," ")),'worker file'!$D$2:$D$406,"Not found")</f>
        <v>TX</v>
      </c>
    </row>
    <row r="321" spans="1:18" ht="16" x14ac:dyDescent="0.2">
      <c r="A321" s="5" t="s">
        <v>452</v>
      </c>
      <c r="B321" s="6">
        <v>46307</v>
      </c>
      <c r="C321" s="56">
        <v>0.58263888888888904</v>
      </c>
      <c r="D321" s="56">
        <v>0.93472222222222201</v>
      </c>
      <c r="E321" s="57">
        <v>0.73750000000000004</v>
      </c>
      <c r="F321" s="58">
        <v>0.75833333333333297</v>
      </c>
      <c r="G321" s="59" t="str">
        <f t="array" ref="G321">_xlfn.XLOOKUP(A321&amp;"|"&amp;B321,ShiftRoster[Employee ID]&amp;"|"&amp;ShiftRoster[Date],ShiftRoster[Shift Code],_xlfn.XLOOKUP(A321,TRIM(SUBSTITUTE('worker file'!$A$2:$A$406,_xlfn.UNICHAR(160)," ")),'worker file'!$X$2:$X$406,"?"),0,-1)</f>
        <v>SWNG</v>
      </c>
      <c r="H321" s="59" t="str">
        <f>_xlfn.XLOOKUP(G321,ShiftCodes[Code],ShiftCodes[Work Schedule],"Unknown")</f>
        <v>Shift B – Swing (Mon–Fri 14:00–22:30)</v>
      </c>
      <c r="I321" s="60">
        <f>_xlfn.XLOOKUP(G321,ShiftCodes[Code],ShiftCodes[Start],"")</f>
        <v>0.58333333333333304</v>
      </c>
      <c r="J321" s="61">
        <f t="shared" si="20"/>
        <v>-1</v>
      </c>
      <c r="K321" s="59" t="str">
        <f t="shared" si="21"/>
        <v>OK</v>
      </c>
      <c r="L321" s="62"/>
      <c r="M321" s="5" t="str">
        <f t="shared" si="22"/>
        <v>Mon</v>
      </c>
      <c r="N321" s="63">
        <f t="shared" si="23"/>
        <v>7.95</v>
      </c>
      <c r="O321" s="5" t="s">
        <v>758</v>
      </c>
      <c r="P321" s="6">
        <v>46307</v>
      </c>
      <c r="Q321" s="5" t="str">
        <f t="shared" si="24"/>
        <v>Current period</v>
      </c>
      <c r="R321" s="5" t="str">
        <f t="array" ref="R321">_xlfn.XLOOKUP(A321,TRIM(SUBSTITUTE('worker file'!$A$2:$A$406,_xlfn.UNICHAR(160)," ")),'worker file'!$D$2:$D$406,"Not found")</f>
        <v>TX</v>
      </c>
    </row>
    <row r="322" spans="1:18" ht="16" x14ac:dyDescent="0.2">
      <c r="A322" s="5" t="s">
        <v>452</v>
      </c>
      <c r="B322" s="6">
        <v>46308</v>
      </c>
      <c r="C322" s="56">
        <v>0.58472222222222203</v>
      </c>
      <c r="D322" s="56">
        <v>0.93888888888888899</v>
      </c>
      <c r="E322" s="57">
        <v>0.75347222222222199</v>
      </c>
      <c r="F322" s="58">
        <v>0.77430555555555602</v>
      </c>
      <c r="G322" s="59" t="str">
        <f t="array" ref="G322">_xlfn.XLOOKUP(A322&amp;"|"&amp;B322,ShiftRoster[Employee ID]&amp;"|"&amp;ShiftRoster[Date],ShiftRoster[Shift Code],_xlfn.XLOOKUP(A322,TRIM(SUBSTITUTE('worker file'!$A$2:$A$406,_xlfn.UNICHAR(160)," ")),'worker file'!$X$2:$X$406,"?"),0,-1)</f>
        <v>SWNG</v>
      </c>
      <c r="H322" s="59" t="str">
        <f>_xlfn.XLOOKUP(G322,ShiftCodes[Code],ShiftCodes[Work Schedule],"Unknown")</f>
        <v>Shift B – Swing (Mon–Fri 14:00–22:30)</v>
      </c>
      <c r="I322" s="60">
        <f>_xlfn.XLOOKUP(G322,ShiftCodes[Code],ShiftCodes[Start],"")</f>
        <v>0.58333333333333304</v>
      </c>
      <c r="J322" s="61">
        <f t="shared" ref="J322:J346" si="25">IF(OR(C322="",I322=""),"",ROUND((MOD(C322-I322+0.5,1)-0.5)*1440,0))</f>
        <v>2</v>
      </c>
      <c r="K322" s="59" t="str">
        <f t="shared" ref="K322:K346" si="26">IF(J322="","",IF(ABS(J322)&gt;$U$3,"Off-schedule","OK"))</f>
        <v>OK</v>
      </c>
      <c r="L322" s="62"/>
      <c r="M322" s="5" t="str">
        <f t="shared" ref="M322:M346" si="27">TEXT(B322,"ddd")</f>
        <v>Tue</v>
      </c>
      <c r="N322" s="63">
        <f t="shared" ref="N322:N346" si="28">IF(OR(C322="",D322=""),"",ROUND((MOD(D322-C322,1)-IF(ISNUMBER(E322),MOD(F322-E322,1),0))*24,2))</f>
        <v>8</v>
      </c>
      <c r="O322" s="5" t="s">
        <v>758</v>
      </c>
      <c r="P322" s="6">
        <v>46308</v>
      </c>
      <c r="Q322" s="5" t="str">
        <f t="shared" ref="Q322:Q346" si="29">IF(B322&lt;$U$1,"Prior period",IF(B322&gt;$U$2,"Future period","Current period"))</f>
        <v>Current period</v>
      </c>
      <c r="R322" s="5" t="str">
        <f t="array" ref="R322">_xlfn.XLOOKUP(A322,TRIM(SUBSTITUTE('worker file'!$A$2:$A$406,_xlfn.UNICHAR(160)," ")),'worker file'!$D$2:$D$406,"Not found")</f>
        <v>TX</v>
      </c>
    </row>
    <row r="323" spans="1:18" ht="16" x14ac:dyDescent="0.2">
      <c r="A323" s="5" t="s">
        <v>452</v>
      </c>
      <c r="B323" s="6">
        <v>46309</v>
      </c>
      <c r="C323" s="56">
        <v>0.58263888888888904</v>
      </c>
      <c r="D323" s="56">
        <v>0.93541666666666701</v>
      </c>
      <c r="E323" s="57">
        <v>0.75347222222222199</v>
      </c>
      <c r="F323" s="58">
        <v>0.77430555555555602</v>
      </c>
      <c r="G323" s="59" t="str">
        <f t="array" ref="G323">_xlfn.XLOOKUP(A323&amp;"|"&amp;B323,ShiftRoster[Employee ID]&amp;"|"&amp;ShiftRoster[Date],ShiftRoster[Shift Code],_xlfn.XLOOKUP(A323,TRIM(SUBSTITUTE('worker file'!$A$2:$A$406,_xlfn.UNICHAR(160)," ")),'worker file'!$X$2:$X$406,"?"),0,-1)</f>
        <v>SWNG</v>
      </c>
      <c r="H323" s="59" t="str">
        <f>_xlfn.XLOOKUP(G323,ShiftCodes[Code],ShiftCodes[Work Schedule],"Unknown")</f>
        <v>Shift B – Swing (Mon–Fri 14:00–22:30)</v>
      </c>
      <c r="I323" s="60">
        <f>_xlfn.XLOOKUP(G323,ShiftCodes[Code],ShiftCodes[Start],"")</f>
        <v>0.58333333333333304</v>
      </c>
      <c r="J323" s="61">
        <f t="shared" si="25"/>
        <v>-1</v>
      </c>
      <c r="K323" s="59" t="str">
        <f t="shared" si="26"/>
        <v>OK</v>
      </c>
      <c r="L323" s="62"/>
      <c r="M323" s="5" t="str">
        <f t="shared" si="27"/>
        <v>Wed</v>
      </c>
      <c r="N323" s="63">
        <f t="shared" si="28"/>
        <v>7.97</v>
      </c>
      <c r="O323" s="5" t="s">
        <v>758</v>
      </c>
      <c r="P323" s="6">
        <v>46309</v>
      </c>
      <c r="Q323" s="5" t="str">
        <f t="shared" si="29"/>
        <v>Current period</v>
      </c>
      <c r="R323" s="5" t="str">
        <f t="array" ref="R323">_xlfn.XLOOKUP(A323,TRIM(SUBSTITUTE('worker file'!$A$2:$A$406,_xlfn.UNICHAR(160)," ")),'worker file'!$D$2:$D$406,"Not found")</f>
        <v>TX</v>
      </c>
    </row>
    <row r="324" spans="1:18" ht="16" x14ac:dyDescent="0.2">
      <c r="A324" s="5" t="s">
        <v>452</v>
      </c>
      <c r="B324" s="6">
        <v>46310</v>
      </c>
      <c r="C324" s="56">
        <v>0.58125000000000004</v>
      </c>
      <c r="D324" s="56">
        <v>0.93402777777777801</v>
      </c>
      <c r="E324" s="57">
        <v>0.73124999999999996</v>
      </c>
      <c r="F324" s="58">
        <v>0.75208333333333299</v>
      </c>
      <c r="G324" s="59" t="str">
        <f t="array" ref="G324">_xlfn.XLOOKUP(A324&amp;"|"&amp;B324,ShiftRoster[Employee ID]&amp;"|"&amp;ShiftRoster[Date],ShiftRoster[Shift Code],_xlfn.XLOOKUP(A324,TRIM(SUBSTITUTE('worker file'!$A$2:$A$406,_xlfn.UNICHAR(160)," ")),'worker file'!$X$2:$X$406,"?"),0,-1)</f>
        <v>SWNG</v>
      </c>
      <c r="H324" s="59" t="str">
        <f>_xlfn.XLOOKUP(G324,ShiftCodes[Code],ShiftCodes[Work Schedule],"Unknown")</f>
        <v>Shift B – Swing (Mon–Fri 14:00–22:30)</v>
      </c>
      <c r="I324" s="60">
        <f>_xlfn.XLOOKUP(G324,ShiftCodes[Code],ShiftCodes[Start],"")</f>
        <v>0.58333333333333304</v>
      </c>
      <c r="J324" s="61">
        <f t="shared" si="25"/>
        <v>-3</v>
      </c>
      <c r="K324" s="59" t="str">
        <f t="shared" si="26"/>
        <v>OK</v>
      </c>
      <c r="L324" s="62"/>
      <c r="M324" s="5" t="str">
        <f t="shared" si="27"/>
        <v>Thu</v>
      </c>
      <c r="N324" s="63">
        <f t="shared" si="28"/>
        <v>7.97</v>
      </c>
      <c r="O324" s="5" t="s">
        <v>758</v>
      </c>
      <c r="P324" s="6">
        <v>46310</v>
      </c>
      <c r="Q324" s="5" t="str">
        <f t="shared" si="29"/>
        <v>Current period</v>
      </c>
      <c r="R324" s="5" t="str">
        <f t="array" ref="R324">_xlfn.XLOOKUP(A324,TRIM(SUBSTITUTE('worker file'!$A$2:$A$406,_xlfn.UNICHAR(160)," ")),'worker file'!$D$2:$D$406,"Not found")</f>
        <v>TX</v>
      </c>
    </row>
    <row r="325" spans="1:18" ht="16" x14ac:dyDescent="0.2">
      <c r="A325" s="5" t="s">
        <v>452</v>
      </c>
      <c r="B325" s="6">
        <v>46311</v>
      </c>
      <c r="C325" s="56">
        <v>0.58541666666666703</v>
      </c>
      <c r="D325" s="56">
        <v>0.93888888888888899</v>
      </c>
      <c r="E325" s="57">
        <v>0.73541666666666705</v>
      </c>
      <c r="F325" s="58">
        <v>0.75624999999999998</v>
      </c>
      <c r="G325" s="59" t="str">
        <f t="array" ref="G325">_xlfn.XLOOKUP(A325&amp;"|"&amp;B325,ShiftRoster[Employee ID]&amp;"|"&amp;ShiftRoster[Date],ShiftRoster[Shift Code],_xlfn.XLOOKUP(A325,TRIM(SUBSTITUTE('worker file'!$A$2:$A$406,_xlfn.UNICHAR(160)," ")),'worker file'!$X$2:$X$406,"?"),0,-1)</f>
        <v>SWNG</v>
      </c>
      <c r="H325" s="59" t="str">
        <f>_xlfn.XLOOKUP(G325,ShiftCodes[Code],ShiftCodes[Work Schedule],"Unknown")</f>
        <v>Shift B – Swing (Mon–Fri 14:00–22:30)</v>
      </c>
      <c r="I325" s="60">
        <f>_xlfn.XLOOKUP(G325,ShiftCodes[Code],ShiftCodes[Start],"")</f>
        <v>0.58333333333333304</v>
      </c>
      <c r="J325" s="61">
        <f t="shared" si="25"/>
        <v>3</v>
      </c>
      <c r="K325" s="59" t="str">
        <f t="shared" si="26"/>
        <v>OK</v>
      </c>
      <c r="L325" s="62"/>
      <c r="M325" s="5" t="str">
        <f t="shared" si="27"/>
        <v>Fri</v>
      </c>
      <c r="N325" s="63">
        <f t="shared" si="28"/>
        <v>7.98</v>
      </c>
      <c r="O325" s="5" t="s">
        <v>758</v>
      </c>
      <c r="P325" s="6">
        <v>46311</v>
      </c>
      <c r="Q325" s="5" t="str">
        <f t="shared" si="29"/>
        <v>Current period</v>
      </c>
      <c r="R325" s="5" t="str">
        <f t="array" ref="R325">_xlfn.XLOOKUP(A325,TRIM(SUBSTITUTE('worker file'!$A$2:$A$406,_xlfn.UNICHAR(160)," ")),'worker file'!$D$2:$D$406,"Not found")</f>
        <v>TX</v>
      </c>
    </row>
    <row r="326" spans="1:18" ht="16" x14ac:dyDescent="0.2">
      <c r="A326" s="5" t="s">
        <v>463</v>
      </c>
      <c r="B326" s="6">
        <v>46300</v>
      </c>
      <c r="C326" s="56">
        <v>0.25208333333333299</v>
      </c>
      <c r="D326" s="56">
        <v>0.60138888888888897</v>
      </c>
      <c r="E326" s="57">
        <v>0.43194444444444402</v>
      </c>
      <c r="F326" s="58">
        <v>0.452777777777778</v>
      </c>
      <c r="G326" s="59" t="str">
        <f t="array" ref="G326">_xlfn.XLOOKUP(A326&amp;"|"&amp;B326,ShiftRoster[Employee ID]&amp;"|"&amp;ShiftRoster[Date],ShiftRoster[Shift Code],_xlfn.XLOOKUP(A326,TRIM(SUBSTITUTE('worker file'!$A$2:$A$406,_xlfn.UNICHAR(160)," ")),'worker file'!$X$2:$X$406,"?"),0,-1)</f>
        <v>DAY</v>
      </c>
      <c r="H326" s="59" t="str">
        <f>_xlfn.XLOOKUP(G326,ShiftCodes[Code],ShiftCodes[Work Schedule],"Unknown")</f>
        <v>Shift A – Day (Mon–Fri 06:00–14:30)</v>
      </c>
      <c r="I326" s="60">
        <f>_xlfn.XLOOKUP(G326,ShiftCodes[Code],ShiftCodes[Start],"")</f>
        <v>0.25</v>
      </c>
      <c r="J326" s="61">
        <f t="shared" si="25"/>
        <v>3</v>
      </c>
      <c r="K326" s="59" t="str">
        <f t="shared" si="26"/>
        <v>OK</v>
      </c>
      <c r="L326" s="62"/>
      <c r="M326" s="5" t="str">
        <f t="shared" si="27"/>
        <v>Mon</v>
      </c>
      <c r="N326" s="63">
        <f t="shared" si="28"/>
        <v>7.88</v>
      </c>
      <c r="O326" s="5" t="s">
        <v>758</v>
      </c>
      <c r="P326" s="6">
        <v>46300</v>
      </c>
      <c r="Q326" s="5" t="str">
        <f t="shared" si="29"/>
        <v>Current period</v>
      </c>
      <c r="R326" s="5" t="str">
        <f t="array" ref="R326">_xlfn.XLOOKUP(A326,TRIM(SUBSTITUTE('worker file'!$A$2:$A$406,_xlfn.UNICHAR(160)," ")),'worker file'!$D$2:$D$406,"Not found")</f>
        <v>TX</v>
      </c>
    </row>
    <row r="327" spans="1:18" ht="16" x14ac:dyDescent="0.2">
      <c r="A327" s="5" t="s">
        <v>463</v>
      </c>
      <c r="B327" s="6">
        <v>46301</v>
      </c>
      <c r="C327" s="56">
        <v>0.25208333333333299</v>
      </c>
      <c r="D327" s="56">
        <v>0.60624999999999996</v>
      </c>
      <c r="E327" s="57">
        <v>0.4375</v>
      </c>
      <c r="F327" s="58">
        <v>0.45833333333333298</v>
      </c>
      <c r="G327" s="59" t="str">
        <f t="array" ref="G327">_xlfn.XLOOKUP(A327&amp;"|"&amp;B327,ShiftRoster[Employee ID]&amp;"|"&amp;ShiftRoster[Date],ShiftRoster[Shift Code],_xlfn.XLOOKUP(A327,TRIM(SUBSTITUTE('worker file'!$A$2:$A$406,_xlfn.UNICHAR(160)," ")),'worker file'!$X$2:$X$406,"?"),0,-1)</f>
        <v>DAY</v>
      </c>
      <c r="H327" s="59" t="str">
        <f>_xlfn.XLOOKUP(G327,ShiftCodes[Code],ShiftCodes[Work Schedule],"Unknown")</f>
        <v>Shift A – Day (Mon–Fri 06:00–14:30)</v>
      </c>
      <c r="I327" s="60">
        <f>_xlfn.XLOOKUP(G327,ShiftCodes[Code],ShiftCodes[Start],"")</f>
        <v>0.25</v>
      </c>
      <c r="J327" s="61">
        <f t="shared" si="25"/>
        <v>3</v>
      </c>
      <c r="K327" s="59" t="str">
        <f t="shared" si="26"/>
        <v>OK</v>
      </c>
      <c r="L327" s="62"/>
      <c r="M327" s="5" t="str">
        <f t="shared" si="27"/>
        <v>Tue</v>
      </c>
      <c r="N327" s="63">
        <f t="shared" si="28"/>
        <v>8</v>
      </c>
      <c r="O327" s="5" t="s">
        <v>758</v>
      </c>
      <c r="P327" s="6">
        <v>46301</v>
      </c>
      <c r="Q327" s="5" t="str">
        <f t="shared" si="29"/>
        <v>Current period</v>
      </c>
      <c r="R327" s="5" t="str">
        <f t="array" ref="R327">_xlfn.XLOOKUP(A327,TRIM(SUBSTITUTE('worker file'!$A$2:$A$406,_xlfn.UNICHAR(160)," ")),'worker file'!$D$2:$D$406,"Not found")</f>
        <v>TX</v>
      </c>
    </row>
    <row r="328" spans="1:18" ht="16" x14ac:dyDescent="0.2">
      <c r="A328" s="5" t="s">
        <v>463</v>
      </c>
      <c r="B328" s="6">
        <v>46302</v>
      </c>
      <c r="C328" s="56">
        <v>0.24583333333333299</v>
      </c>
      <c r="D328" s="56">
        <v>0.59791666666666698</v>
      </c>
      <c r="E328" s="57">
        <v>0.41180555555555598</v>
      </c>
      <c r="F328" s="58">
        <v>0.43263888888888902</v>
      </c>
      <c r="G328" s="59" t="str">
        <f t="array" ref="G328">_xlfn.XLOOKUP(A328&amp;"|"&amp;B328,ShiftRoster[Employee ID]&amp;"|"&amp;ShiftRoster[Date],ShiftRoster[Shift Code],_xlfn.XLOOKUP(A328,TRIM(SUBSTITUTE('worker file'!$A$2:$A$406,_xlfn.UNICHAR(160)," ")),'worker file'!$X$2:$X$406,"?"),0,-1)</f>
        <v>DAY</v>
      </c>
      <c r="H328" s="59" t="str">
        <f>_xlfn.XLOOKUP(G328,ShiftCodes[Code],ShiftCodes[Work Schedule],"Unknown")</f>
        <v>Shift A – Day (Mon–Fri 06:00–14:30)</v>
      </c>
      <c r="I328" s="60">
        <f>_xlfn.XLOOKUP(G328,ShiftCodes[Code],ShiftCodes[Start],"")</f>
        <v>0.25</v>
      </c>
      <c r="J328" s="61">
        <f t="shared" si="25"/>
        <v>-6</v>
      </c>
      <c r="K328" s="59" t="str">
        <f t="shared" si="26"/>
        <v>OK</v>
      </c>
      <c r="L328" s="62"/>
      <c r="M328" s="5" t="str">
        <f t="shared" si="27"/>
        <v>Wed</v>
      </c>
      <c r="N328" s="63">
        <f t="shared" si="28"/>
        <v>7.95</v>
      </c>
      <c r="O328" s="5" t="s">
        <v>758</v>
      </c>
      <c r="P328" s="6">
        <v>46302</v>
      </c>
      <c r="Q328" s="5" t="str">
        <f t="shared" si="29"/>
        <v>Current period</v>
      </c>
      <c r="R328" s="5" t="str">
        <f t="array" ref="R328">_xlfn.XLOOKUP(A328,TRIM(SUBSTITUTE('worker file'!$A$2:$A$406,_xlfn.UNICHAR(160)," ")),'worker file'!$D$2:$D$406,"Not found")</f>
        <v>TX</v>
      </c>
    </row>
    <row r="329" spans="1:18" ht="16" x14ac:dyDescent="0.2">
      <c r="A329" s="5" t="s">
        <v>463</v>
      </c>
      <c r="B329" s="6">
        <v>46303</v>
      </c>
      <c r="C329" s="56">
        <v>0.24652777777777801</v>
      </c>
      <c r="D329" s="56">
        <v>0.59583333333333299</v>
      </c>
      <c r="E329" s="57">
        <v>0.39791666666666697</v>
      </c>
      <c r="F329" s="58">
        <v>0.41875000000000001</v>
      </c>
      <c r="G329" s="59" t="str">
        <f t="array" ref="G329">_xlfn.XLOOKUP(A329&amp;"|"&amp;B329,ShiftRoster[Employee ID]&amp;"|"&amp;ShiftRoster[Date],ShiftRoster[Shift Code],_xlfn.XLOOKUP(A329,TRIM(SUBSTITUTE('worker file'!$A$2:$A$406,_xlfn.UNICHAR(160)," ")),'worker file'!$X$2:$X$406,"?"),0,-1)</f>
        <v>DAY</v>
      </c>
      <c r="H329" s="59" t="str">
        <f>_xlfn.XLOOKUP(G329,ShiftCodes[Code],ShiftCodes[Work Schedule],"Unknown")</f>
        <v>Shift A – Day (Mon–Fri 06:00–14:30)</v>
      </c>
      <c r="I329" s="60">
        <f>_xlfn.XLOOKUP(G329,ShiftCodes[Code],ShiftCodes[Start],"")</f>
        <v>0.25</v>
      </c>
      <c r="J329" s="61">
        <f t="shared" si="25"/>
        <v>-5</v>
      </c>
      <c r="K329" s="59" t="str">
        <f t="shared" si="26"/>
        <v>OK</v>
      </c>
      <c r="L329" s="62"/>
      <c r="M329" s="5" t="str">
        <f t="shared" si="27"/>
        <v>Thu</v>
      </c>
      <c r="N329" s="63">
        <f t="shared" si="28"/>
        <v>7.88</v>
      </c>
      <c r="O329" s="5" t="s">
        <v>758</v>
      </c>
      <c r="P329" s="6">
        <v>46303</v>
      </c>
      <c r="Q329" s="5" t="str">
        <f t="shared" si="29"/>
        <v>Current period</v>
      </c>
      <c r="R329" s="5" t="str">
        <f t="array" ref="R329">_xlfn.XLOOKUP(A329,TRIM(SUBSTITUTE('worker file'!$A$2:$A$406,_xlfn.UNICHAR(160)," ")),'worker file'!$D$2:$D$406,"Not found")</f>
        <v>TX</v>
      </c>
    </row>
    <row r="330" spans="1:18" ht="16" x14ac:dyDescent="0.2">
      <c r="A330" s="5" t="s">
        <v>463</v>
      </c>
      <c r="B330" s="6">
        <v>46304</v>
      </c>
      <c r="C330" s="56">
        <v>0.250694444444444</v>
      </c>
      <c r="D330" s="56">
        <v>0.60416666666666696</v>
      </c>
      <c r="E330" s="57">
        <v>0.40347222222222201</v>
      </c>
      <c r="F330" s="58">
        <v>0.42430555555555599</v>
      </c>
      <c r="G330" s="59" t="str">
        <f t="array" ref="G330">_xlfn.XLOOKUP(A330&amp;"|"&amp;B330,ShiftRoster[Employee ID]&amp;"|"&amp;ShiftRoster[Date],ShiftRoster[Shift Code],_xlfn.XLOOKUP(A330,TRIM(SUBSTITUTE('worker file'!$A$2:$A$406,_xlfn.UNICHAR(160)," ")),'worker file'!$X$2:$X$406,"?"),0,-1)</f>
        <v>DAY</v>
      </c>
      <c r="H330" s="59" t="str">
        <f>_xlfn.XLOOKUP(G330,ShiftCodes[Code],ShiftCodes[Work Schedule],"Unknown")</f>
        <v>Shift A – Day (Mon–Fri 06:00–14:30)</v>
      </c>
      <c r="I330" s="60">
        <f>_xlfn.XLOOKUP(G330,ShiftCodes[Code],ShiftCodes[Start],"")</f>
        <v>0.25</v>
      </c>
      <c r="J330" s="61">
        <f t="shared" si="25"/>
        <v>1</v>
      </c>
      <c r="K330" s="59" t="str">
        <f t="shared" si="26"/>
        <v>OK</v>
      </c>
      <c r="L330" s="62"/>
      <c r="M330" s="5" t="str">
        <f t="shared" si="27"/>
        <v>Fri</v>
      </c>
      <c r="N330" s="63">
        <f t="shared" si="28"/>
        <v>7.98</v>
      </c>
      <c r="O330" s="5" t="s">
        <v>758</v>
      </c>
      <c r="P330" s="6">
        <v>46304</v>
      </c>
      <c r="Q330" s="5" t="str">
        <f t="shared" si="29"/>
        <v>Current period</v>
      </c>
      <c r="R330" s="5" t="str">
        <f t="array" ref="R330">_xlfn.XLOOKUP(A330,TRIM(SUBSTITUTE('worker file'!$A$2:$A$406,_xlfn.UNICHAR(160)," ")),'worker file'!$D$2:$D$406,"Not found")</f>
        <v>TX</v>
      </c>
    </row>
    <row r="331" spans="1:18" ht="16" x14ac:dyDescent="0.2">
      <c r="A331" s="5" t="s">
        <v>463</v>
      </c>
      <c r="B331" s="6">
        <v>46307</v>
      </c>
      <c r="C331" s="56">
        <v>0.24791666666666701</v>
      </c>
      <c r="D331" s="56">
        <v>0.59930555555555598</v>
      </c>
      <c r="E331" s="57">
        <v>0.41805555555555601</v>
      </c>
      <c r="F331" s="58">
        <v>0.43888888888888899</v>
      </c>
      <c r="G331" s="59" t="str">
        <f t="array" ref="G331">_xlfn.XLOOKUP(A331&amp;"|"&amp;B331,ShiftRoster[Employee ID]&amp;"|"&amp;ShiftRoster[Date],ShiftRoster[Shift Code],_xlfn.XLOOKUP(A331,TRIM(SUBSTITUTE('worker file'!$A$2:$A$406,_xlfn.UNICHAR(160)," ")),'worker file'!$X$2:$X$406,"?"),0,-1)</f>
        <v>DAY</v>
      </c>
      <c r="H331" s="59" t="str">
        <f>_xlfn.XLOOKUP(G331,ShiftCodes[Code],ShiftCodes[Work Schedule],"Unknown")</f>
        <v>Shift A – Day (Mon–Fri 06:00–14:30)</v>
      </c>
      <c r="I331" s="60">
        <f>_xlfn.XLOOKUP(G331,ShiftCodes[Code],ShiftCodes[Start],"")</f>
        <v>0.25</v>
      </c>
      <c r="J331" s="61">
        <f t="shared" si="25"/>
        <v>-3</v>
      </c>
      <c r="K331" s="59" t="str">
        <f t="shared" si="26"/>
        <v>OK</v>
      </c>
      <c r="L331" s="62"/>
      <c r="M331" s="5" t="str">
        <f t="shared" si="27"/>
        <v>Mon</v>
      </c>
      <c r="N331" s="63">
        <f t="shared" si="28"/>
        <v>7.93</v>
      </c>
      <c r="O331" s="5" t="s">
        <v>758</v>
      </c>
      <c r="P331" s="6">
        <v>46307</v>
      </c>
      <c r="Q331" s="5" t="str">
        <f t="shared" si="29"/>
        <v>Current period</v>
      </c>
      <c r="R331" s="5" t="str">
        <f t="array" ref="R331">_xlfn.XLOOKUP(A331,TRIM(SUBSTITUTE('worker file'!$A$2:$A$406,_xlfn.UNICHAR(160)," ")),'worker file'!$D$2:$D$406,"Not found")</f>
        <v>TX</v>
      </c>
    </row>
    <row r="332" spans="1:18" ht="16" x14ac:dyDescent="0.2">
      <c r="A332" s="5" t="s">
        <v>463</v>
      </c>
      <c r="B332" s="6">
        <v>46308</v>
      </c>
      <c r="C332" s="56">
        <v>0.25208333333333299</v>
      </c>
      <c r="D332" s="56">
        <v>0.60624999999999996</v>
      </c>
      <c r="E332" s="57">
        <v>0.39861111111111103</v>
      </c>
      <c r="F332" s="58">
        <v>0.41944444444444401</v>
      </c>
      <c r="G332" s="59" t="str">
        <f t="array" ref="G332">_xlfn.XLOOKUP(A332&amp;"|"&amp;B332,ShiftRoster[Employee ID]&amp;"|"&amp;ShiftRoster[Date],ShiftRoster[Shift Code],_xlfn.XLOOKUP(A332,TRIM(SUBSTITUTE('worker file'!$A$2:$A$406,_xlfn.UNICHAR(160)," ")),'worker file'!$X$2:$X$406,"?"),0,-1)</f>
        <v>DAY</v>
      </c>
      <c r="H332" s="59" t="str">
        <f>_xlfn.XLOOKUP(G332,ShiftCodes[Code],ShiftCodes[Work Schedule],"Unknown")</f>
        <v>Shift A – Day (Mon–Fri 06:00–14:30)</v>
      </c>
      <c r="I332" s="60">
        <f>_xlfn.XLOOKUP(G332,ShiftCodes[Code],ShiftCodes[Start],"")</f>
        <v>0.25</v>
      </c>
      <c r="J332" s="61">
        <f t="shared" si="25"/>
        <v>3</v>
      </c>
      <c r="K332" s="59" t="str">
        <f t="shared" si="26"/>
        <v>OK</v>
      </c>
      <c r="L332" s="62"/>
      <c r="M332" s="5" t="str">
        <f t="shared" si="27"/>
        <v>Tue</v>
      </c>
      <c r="N332" s="63">
        <f t="shared" si="28"/>
        <v>8</v>
      </c>
      <c r="O332" s="5" t="s">
        <v>758</v>
      </c>
      <c r="P332" s="6">
        <v>46308</v>
      </c>
      <c r="Q332" s="5" t="str">
        <f t="shared" si="29"/>
        <v>Current period</v>
      </c>
      <c r="R332" s="5" t="str">
        <f t="array" ref="R332">_xlfn.XLOOKUP(A332,TRIM(SUBSTITUTE('worker file'!$A$2:$A$406,_xlfn.UNICHAR(160)," ")),'worker file'!$D$2:$D$406,"Not found")</f>
        <v>TX</v>
      </c>
    </row>
    <row r="333" spans="1:18" ht="16" x14ac:dyDescent="0.2">
      <c r="A333" s="5" t="s">
        <v>463</v>
      </c>
      <c r="B333" s="6">
        <v>46309</v>
      </c>
      <c r="C333" s="56">
        <v>0.24583333333333299</v>
      </c>
      <c r="D333" s="56">
        <v>0.59791666666666698</v>
      </c>
      <c r="E333" s="57">
        <v>0.39861111111111103</v>
      </c>
      <c r="F333" s="58">
        <v>0.41944444444444401</v>
      </c>
      <c r="G333" s="59" t="str">
        <f t="array" ref="G333">_xlfn.XLOOKUP(A333&amp;"|"&amp;B333,ShiftRoster[Employee ID]&amp;"|"&amp;ShiftRoster[Date],ShiftRoster[Shift Code],_xlfn.XLOOKUP(A333,TRIM(SUBSTITUTE('worker file'!$A$2:$A$406,_xlfn.UNICHAR(160)," ")),'worker file'!$X$2:$X$406,"?"),0,-1)</f>
        <v>DAY</v>
      </c>
      <c r="H333" s="59" t="str">
        <f>_xlfn.XLOOKUP(G333,ShiftCodes[Code],ShiftCodes[Work Schedule],"Unknown")</f>
        <v>Shift A – Day (Mon–Fri 06:00–14:30)</v>
      </c>
      <c r="I333" s="60">
        <f>_xlfn.XLOOKUP(G333,ShiftCodes[Code],ShiftCodes[Start],"")</f>
        <v>0.25</v>
      </c>
      <c r="J333" s="61">
        <f t="shared" si="25"/>
        <v>-6</v>
      </c>
      <c r="K333" s="59" t="str">
        <f t="shared" si="26"/>
        <v>OK</v>
      </c>
      <c r="L333" s="62"/>
      <c r="M333" s="5" t="str">
        <f t="shared" si="27"/>
        <v>Wed</v>
      </c>
      <c r="N333" s="63">
        <f t="shared" si="28"/>
        <v>7.95</v>
      </c>
      <c r="O333" s="5" t="s">
        <v>758</v>
      </c>
      <c r="P333" s="6">
        <v>46309</v>
      </c>
      <c r="Q333" s="5" t="str">
        <f t="shared" si="29"/>
        <v>Current period</v>
      </c>
      <c r="R333" s="5" t="str">
        <f t="array" ref="R333">_xlfn.XLOOKUP(A333,TRIM(SUBSTITUTE('worker file'!$A$2:$A$406,_xlfn.UNICHAR(160)," ")),'worker file'!$D$2:$D$406,"Not found")</f>
        <v>TX</v>
      </c>
    </row>
    <row r="334" spans="1:18" ht="16" x14ac:dyDescent="0.2">
      <c r="A334" s="5" t="s">
        <v>463</v>
      </c>
      <c r="B334" s="6">
        <v>46310</v>
      </c>
      <c r="C334" s="56">
        <v>0.249305555555556</v>
      </c>
      <c r="D334" s="56">
        <v>0.59791666666666698</v>
      </c>
      <c r="E334" s="57">
        <v>0.406944444444444</v>
      </c>
      <c r="F334" s="58">
        <v>0.42777777777777798</v>
      </c>
      <c r="G334" s="59" t="str">
        <f t="array" ref="G334">_xlfn.XLOOKUP(A334&amp;"|"&amp;B334,ShiftRoster[Employee ID]&amp;"|"&amp;ShiftRoster[Date],ShiftRoster[Shift Code],_xlfn.XLOOKUP(A334,TRIM(SUBSTITUTE('worker file'!$A$2:$A$406,_xlfn.UNICHAR(160)," ")),'worker file'!$X$2:$X$406,"?"),0,-1)</f>
        <v>DAY</v>
      </c>
      <c r="H334" s="59" t="str">
        <f>_xlfn.XLOOKUP(G334,ShiftCodes[Code],ShiftCodes[Work Schedule],"Unknown")</f>
        <v>Shift A – Day (Mon–Fri 06:00–14:30)</v>
      </c>
      <c r="I334" s="60">
        <f>_xlfn.XLOOKUP(G334,ShiftCodes[Code],ShiftCodes[Start],"")</f>
        <v>0.25</v>
      </c>
      <c r="J334" s="61">
        <f t="shared" si="25"/>
        <v>-1</v>
      </c>
      <c r="K334" s="59" t="str">
        <f t="shared" si="26"/>
        <v>OK</v>
      </c>
      <c r="L334" s="62"/>
      <c r="M334" s="5" t="str">
        <f t="shared" si="27"/>
        <v>Thu</v>
      </c>
      <c r="N334" s="63">
        <f t="shared" si="28"/>
        <v>7.87</v>
      </c>
      <c r="O334" s="5" t="s">
        <v>758</v>
      </c>
      <c r="P334" s="6">
        <v>46310</v>
      </c>
      <c r="Q334" s="5" t="str">
        <f t="shared" si="29"/>
        <v>Current period</v>
      </c>
      <c r="R334" s="5" t="str">
        <f t="array" ref="R334">_xlfn.XLOOKUP(A334,TRIM(SUBSTITUTE('worker file'!$A$2:$A$406,_xlfn.UNICHAR(160)," ")),'worker file'!$D$2:$D$406,"Not found")</f>
        <v>TX</v>
      </c>
    </row>
    <row r="335" spans="1:18" ht="16" x14ac:dyDescent="0.2">
      <c r="A335" s="5" t="s">
        <v>463</v>
      </c>
      <c r="B335" s="6">
        <v>46311</v>
      </c>
      <c r="C335" s="56">
        <v>0.24722222222222201</v>
      </c>
      <c r="D335" s="56">
        <v>0.57708333333333295</v>
      </c>
      <c r="E335" s="57" t="s">
        <v>764</v>
      </c>
      <c r="F335" s="58" t="s">
        <v>764</v>
      </c>
      <c r="G335" s="59" t="str">
        <f t="array" ref="G335">_xlfn.XLOOKUP(A335&amp;"|"&amp;B335,ShiftRoster[Employee ID]&amp;"|"&amp;ShiftRoster[Date],ShiftRoster[Shift Code],_xlfn.XLOOKUP(A335,TRIM(SUBSTITUTE('worker file'!$A$2:$A$406,_xlfn.UNICHAR(160)," ")),'worker file'!$X$2:$X$406,"?"),0,-1)</f>
        <v>DAY</v>
      </c>
      <c r="H335" s="59" t="str">
        <f>_xlfn.XLOOKUP(G335,ShiftCodes[Code],ShiftCodes[Work Schedule],"Unknown")</f>
        <v>Shift A – Day (Mon–Fri 06:00–14:30)</v>
      </c>
      <c r="I335" s="60">
        <f>_xlfn.XLOOKUP(G335,ShiftCodes[Code],ShiftCodes[Start],"")</f>
        <v>0.25</v>
      </c>
      <c r="J335" s="61">
        <f t="shared" si="25"/>
        <v>-4</v>
      </c>
      <c r="K335" s="59" t="str">
        <f t="shared" si="26"/>
        <v>OK</v>
      </c>
      <c r="L335" s="62" t="s">
        <v>765</v>
      </c>
      <c r="M335" s="5" t="str">
        <f t="shared" si="27"/>
        <v>Fri</v>
      </c>
      <c r="N335" s="63">
        <f t="shared" si="28"/>
        <v>7.92</v>
      </c>
      <c r="O335" s="5" t="s">
        <v>758</v>
      </c>
      <c r="P335" s="6">
        <v>46311</v>
      </c>
      <c r="Q335" s="5" t="str">
        <f t="shared" si="29"/>
        <v>Current period</v>
      </c>
      <c r="R335" s="5" t="str">
        <f t="array" ref="R335">_xlfn.XLOOKUP(A335,TRIM(SUBSTITUTE('worker file'!$A$2:$A$406,_xlfn.UNICHAR(160)," ")),'worker file'!$D$2:$D$406,"Not found")</f>
        <v>TX</v>
      </c>
    </row>
    <row r="336" spans="1:18" ht="16" x14ac:dyDescent="0.2">
      <c r="A336" s="5" t="s">
        <v>476</v>
      </c>
      <c r="B336" s="6">
        <v>46302</v>
      </c>
      <c r="C336" s="56">
        <v>0.58263888888888904</v>
      </c>
      <c r="D336" s="56">
        <v>0.94027777777777799</v>
      </c>
      <c r="E336" s="57">
        <v>0.74722222222222201</v>
      </c>
      <c r="F336" s="58">
        <v>0.76805555555555505</v>
      </c>
      <c r="G336" s="59" t="str">
        <f t="array" ref="G336">_xlfn.XLOOKUP(A336&amp;"|"&amp;B336,ShiftRoster[Employee ID]&amp;"|"&amp;ShiftRoster[Date],ShiftRoster[Shift Code],_xlfn.XLOOKUP(A336,TRIM(SUBSTITUTE('worker file'!$A$2:$A$406,_xlfn.UNICHAR(160)," ")),'worker file'!$X$2:$X$406,"?"),0,-1)</f>
        <v>SWNG</v>
      </c>
      <c r="H336" s="59" t="str">
        <f>_xlfn.XLOOKUP(G336,ShiftCodes[Code],ShiftCodes[Work Schedule],"Unknown")</f>
        <v>Shift B – Swing (Mon–Fri 14:00–22:30)</v>
      </c>
      <c r="I336" s="60">
        <f>_xlfn.XLOOKUP(G336,ShiftCodes[Code],ShiftCodes[Start],"")</f>
        <v>0.58333333333333304</v>
      </c>
      <c r="J336" s="61">
        <f t="shared" si="25"/>
        <v>-1</v>
      </c>
      <c r="K336" s="59" t="str">
        <f t="shared" si="26"/>
        <v>OK</v>
      </c>
      <c r="L336" s="62"/>
      <c r="M336" s="5" t="str">
        <f t="shared" si="27"/>
        <v>Wed</v>
      </c>
      <c r="N336" s="63">
        <f t="shared" si="28"/>
        <v>8.08</v>
      </c>
      <c r="O336" s="5" t="s">
        <v>758</v>
      </c>
      <c r="P336" s="6">
        <v>46302</v>
      </c>
      <c r="Q336" s="5" t="str">
        <f t="shared" si="29"/>
        <v>Current period</v>
      </c>
      <c r="R336" s="5" t="str">
        <f t="array" ref="R336">_xlfn.XLOOKUP(A336,TRIM(SUBSTITUTE('worker file'!$A$2:$A$406,_xlfn.UNICHAR(160)," ")),'worker file'!$D$2:$D$406,"Not found")</f>
        <v>TX</v>
      </c>
    </row>
    <row r="337" spans="1:18" ht="16" x14ac:dyDescent="0.2">
      <c r="A337" s="5" t="s">
        <v>476</v>
      </c>
      <c r="B337" s="6">
        <v>46303</v>
      </c>
      <c r="C337" s="56">
        <v>0.58125000000000004</v>
      </c>
      <c r="D337" s="56">
        <v>0.9375</v>
      </c>
      <c r="E337" s="57">
        <v>0.74861111111111101</v>
      </c>
      <c r="F337" s="58">
        <v>0.76944444444444404</v>
      </c>
      <c r="G337" s="59" t="str">
        <f t="array" ref="G337">_xlfn.XLOOKUP(A337&amp;"|"&amp;B337,ShiftRoster[Employee ID]&amp;"|"&amp;ShiftRoster[Date],ShiftRoster[Shift Code],_xlfn.XLOOKUP(A337,TRIM(SUBSTITUTE('worker file'!$A$2:$A$406,_xlfn.UNICHAR(160)," ")),'worker file'!$X$2:$X$406,"?"),0,-1)</f>
        <v>SWNG</v>
      </c>
      <c r="H337" s="59" t="str">
        <f>_xlfn.XLOOKUP(G337,ShiftCodes[Code],ShiftCodes[Work Schedule],"Unknown")</f>
        <v>Shift B – Swing (Mon–Fri 14:00–22:30)</v>
      </c>
      <c r="I337" s="60">
        <f>_xlfn.XLOOKUP(G337,ShiftCodes[Code],ShiftCodes[Start],"")</f>
        <v>0.58333333333333304</v>
      </c>
      <c r="J337" s="61">
        <f t="shared" si="25"/>
        <v>-3</v>
      </c>
      <c r="K337" s="59" t="str">
        <f t="shared" si="26"/>
        <v>OK</v>
      </c>
      <c r="L337" s="62"/>
      <c r="M337" s="5" t="str">
        <f t="shared" si="27"/>
        <v>Thu</v>
      </c>
      <c r="N337" s="63">
        <f t="shared" si="28"/>
        <v>8.0500000000000007</v>
      </c>
      <c r="O337" s="5" t="s">
        <v>758</v>
      </c>
      <c r="P337" s="6">
        <v>46303</v>
      </c>
      <c r="Q337" s="5" t="str">
        <f t="shared" si="29"/>
        <v>Current period</v>
      </c>
      <c r="R337" s="5" t="str">
        <f t="array" ref="R337">_xlfn.XLOOKUP(A337,TRIM(SUBSTITUTE('worker file'!$A$2:$A$406,_xlfn.UNICHAR(160)," ")),'worker file'!$D$2:$D$406,"Not found")</f>
        <v>TX</v>
      </c>
    </row>
    <row r="338" spans="1:18" ht="16" x14ac:dyDescent="0.2">
      <c r="A338" s="5" t="s">
        <v>476</v>
      </c>
      <c r="B338" s="6">
        <v>46304</v>
      </c>
      <c r="C338" s="56">
        <v>0.57986111111111105</v>
      </c>
      <c r="D338" s="56">
        <v>0.93472222222222201</v>
      </c>
      <c r="E338" s="57">
        <v>0.74375000000000002</v>
      </c>
      <c r="F338" s="58">
        <v>0.76458333333333295</v>
      </c>
      <c r="G338" s="59" t="str">
        <f t="array" ref="G338">_xlfn.XLOOKUP(A338&amp;"|"&amp;B338,ShiftRoster[Employee ID]&amp;"|"&amp;ShiftRoster[Date],ShiftRoster[Shift Code],_xlfn.XLOOKUP(A338,TRIM(SUBSTITUTE('worker file'!$A$2:$A$406,_xlfn.UNICHAR(160)," ")),'worker file'!$X$2:$X$406,"?"),0,-1)</f>
        <v>SWNG</v>
      </c>
      <c r="H338" s="59" t="str">
        <f>_xlfn.XLOOKUP(G338,ShiftCodes[Code],ShiftCodes[Work Schedule],"Unknown")</f>
        <v>Shift B – Swing (Mon–Fri 14:00–22:30)</v>
      </c>
      <c r="I338" s="60">
        <f>_xlfn.XLOOKUP(G338,ShiftCodes[Code],ShiftCodes[Start],"")</f>
        <v>0.58333333333333304</v>
      </c>
      <c r="J338" s="61">
        <f t="shared" si="25"/>
        <v>-5</v>
      </c>
      <c r="K338" s="59" t="str">
        <f t="shared" si="26"/>
        <v>OK</v>
      </c>
      <c r="L338" s="62"/>
      <c r="M338" s="5" t="str">
        <f t="shared" si="27"/>
        <v>Fri</v>
      </c>
      <c r="N338" s="63">
        <f t="shared" si="28"/>
        <v>8.02</v>
      </c>
      <c r="O338" s="5" t="s">
        <v>758</v>
      </c>
      <c r="P338" s="6">
        <v>46304</v>
      </c>
      <c r="Q338" s="5" t="str">
        <f t="shared" si="29"/>
        <v>Current period</v>
      </c>
      <c r="R338" s="5" t="str">
        <f t="array" ref="R338">_xlfn.XLOOKUP(A338,TRIM(SUBSTITUTE('worker file'!$A$2:$A$406,_xlfn.UNICHAR(160)," ")),'worker file'!$D$2:$D$406,"Not found")</f>
        <v>TX</v>
      </c>
    </row>
    <row r="339" spans="1:18" ht="16" x14ac:dyDescent="0.2">
      <c r="A339" s="5" t="s">
        <v>476</v>
      </c>
      <c r="B339" s="6">
        <v>46307</v>
      </c>
      <c r="C339" s="56">
        <v>0.58333333333333304</v>
      </c>
      <c r="D339" s="56">
        <v>0.93402777777777801</v>
      </c>
      <c r="E339" s="57">
        <v>0.749305555555555</v>
      </c>
      <c r="F339" s="58">
        <v>0.77013888888888904</v>
      </c>
      <c r="G339" s="59" t="str">
        <f t="array" ref="G339">_xlfn.XLOOKUP(A339&amp;"|"&amp;B339,ShiftRoster[Employee ID]&amp;"|"&amp;ShiftRoster[Date],ShiftRoster[Shift Code],_xlfn.XLOOKUP(A339,TRIM(SUBSTITUTE('worker file'!$A$2:$A$406,_xlfn.UNICHAR(160)," ")),'worker file'!$X$2:$X$406,"?"),0,-1)</f>
        <v>SWNG</v>
      </c>
      <c r="H339" s="59" t="str">
        <f>_xlfn.XLOOKUP(G339,ShiftCodes[Code],ShiftCodes[Work Schedule],"Unknown")</f>
        <v>Shift B – Swing (Mon–Fri 14:00–22:30)</v>
      </c>
      <c r="I339" s="60">
        <f>_xlfn.XLOOKUP(G339,ShiftCodes[Code],ShiftCodes[Start],"")</f>
        <v>0.58333333333333304</v>
      </c>
      <c r="J339" s="61">
        <f t="shared" si="25"/>
        <v>0</v>
      </c>
      <c r="K339" s="59" t="str">
        <f t="shared" si="26"/>
        <v>OK</v>
      </c>
      <c r="L339" s="62"/>
      <c r="M339" s="5" t="str">
        <f t="shared" si="27"/>
        <v>Mon</v>
      </c>
      <c r="N339" s="63">
        <f t="shared" si="28"/>
        <v>7.92</v>
      </c>
      <c r="O339" s="5" t="s">
        <v>758</v>
      </c>
      <c r="P339" s="6">
        <v>46307</v>
      </c>
      <c r="Q339" s="5" t="str">
        <f t="shared" si="29"/>
        <v>Current period</v>
      </c>
      <c r="R339" s="5" t="str">
        <f t="array" ref="R339">_xlfn.XLOOKUP(A339,TRIM(SUBSTITUTE('worker file'!$A$2:$A$406,_xlfn.UNICHAR(160)," ")),'worker file'!$D$2:$D$406,"Not found")</f>
        <v>TX</v>
      </c>
    </row>
    <row r="340" spans="1:18" ht="16" x14ac:dyDescent="0.2">
      <c r="A340" s="5" t="s">
        <v>476</v>
      </c>
      <c r="B340" s="6">
        <v>46308</v>
      </c>
      <c r="C340" s="56">
        <v>0.58194444444444404</v>
      </c>
      <c r="D340" s="56">
        <v>0.93888888888888899</v>
      </c>
      <c r="E340" s="57">
        <v>0.750694444444444</v>
      </c>
      <c r="F340" s="58">
        <v>0.77152777777777803</v>
      </c>
      <c r="G340" s="59" t="str">
        <f t="array" ref="G340">_xlfn.XLOOKUP(A340&amp;"|"&amp;B340,ShiftRoster[Employee ID]&amp;"|"&amp;ShiftRoster[Date],ShiftRoster[Shift Code],_xlfn.XLOOKUP(A340,TRIM(SUBSTITUTE('worker file'!$A$2:$A$406,_xlfn.UNICHAR(160)," ")),'worker file'!$X$2:$X$406,"?"),0,-1)</f>
        <v>SWNG</v>
      </c>
      <c r="H340" s="59" t="str">
        <f>_xlfn.XLOOKUP(G340,ShiftCodes[Code],ShiftCodes[Work Schedule],"Unknown")</f>
        <v>Shift B – Swing (Mon–Fri 14:00–22:30)</v>
      </c>
      <c r="I340" s="60">
        <f>_xlfn.XLOOKUP(G340,ShiftCodes[Code],ShiftCodes[Start],"")</f>
        <v>0.58333333333333304</v>
      </c>
      <c r="J340" s="61">
        <f t="shared" si="25"/>
        <v>-2</v>
      </c>
      <c r="K340" s="59" t="str">
        <f t="shared" si="26"/>
        <v>OK</v>
      </c>
      <c r="L340" s="62"/>
      <c r="M340" s="5" t="str">
        <f t="shared" si="27"/>
        <v>Tue</v>
      </c>
      <c r="N340" s="63">
        <f t="shared" si="28"/>
        <v>8.07</v>
      </c>
      <c r="O340" s="5" t="s">
        <v>758</v>
      </c>
      <c r="P340" s="6">
        <v>46308</v>
      </c>
      <c r="Q340" s="5" t="str">
        <f t="shared" si="29"/>
        <v>Current period</v>
      </c>
      <c r="R340" s="5" t="str">
        <f t="array" ref="R340">_xlfn.XLOOKUP(A340,TRIM(SUBSTITUTE('worker file'!$A$2:$A$406,_xlfn.UNICHAR(160)," ")),'worker file'!$D$2:$D$406,"Not found")</f>
        <v>TX</v>
      </c>
    </row>
    <row r="341" spans="1:18" ht="16" x14ac:dyDescent="0.2">
      <c r="A341" s="5" t="s">
        <v>476</v>
      </c>
      <c r="B341" s="6">
        <v>46309</v>
      </c>
      <c r="C341" s="56">
        <v>0.58055555555555505</v>
      </c>
      <c r="D341" s="56">
        <v>0.93611111111111101</v>
      </c>
      <c r="E341" s="57">
        <v>0.74583333333333302</v>
      </c>
      <c r="F341" s="58">
        <v>0.76666666666666605</v>
      </c>
      <c r="G341" s="59" t="str">
        <f t="array" ref="G341">_xlfn.XLOOKUP(A341&amp;"|"&amp;B341,ShiftRoster[Employee ID]&amp;"|"&amp;ShiftRoster[Date],ShiftRoster[Shift Code],_xlfn.XLOOKUP(A341,TRIM(SUBSTITUTE('worker file'!$A$2:$A$406,_xlfn.UNICHAR(160)," ")),'worker file'!$X$2:$X$406,"?"),0,-1)</f>
        <v>SWNG</v>
      </c>
      <c r="H341" s="59" t="str">
        <f>_xlfn.XLOOKUP(G341,ShiftCodes[Code],ShiftCodes[Work Schedule],"Unknown")</f>
        <v>Shift B – Swing (Mon–Fri 14:00–22:30)</v>
      </c>
      <c r="I341" s="60">
        <f>_xlfn.XLOOKUP(G341,ShiftCodes[Code],ShiftCodes[Start],"")</f>
        <v>0.58333333333333304</v>
      </c>
      <c r="J341" s="61">
        <f t="shared" si="25"/>
        <v>-4</v>
      </c>
      <c r="K341" s="59" t="str">
        <f t="shared" si="26"/>
        <v>OK</v>
      </c>
      <c r="L341" s="62"/>
      <c r="M341" s="5" t="str">
        <f t="shared" si="27"/>
        <v>Wed</v>
      </c>
      <c r="N341" s="63">
        <f t="shared" si="28"/>
        <v>8.0299999999999994</v>
      </c>
      <c r="O341" s="5" t="s">
        <v>758</v>
      </c>
      <c r="P341" s="6">
        <v>46309</v>
      </c>
      <c r="Q341" s="5" t="str">
        <f t="shared" si="29"/>
        <v>Current period</v>
      </c>
      <c r="R341" s="5" t="str">
        <f t="array" ref="R341">_xlfn.XLOOKUP(A341,TRIM(SUBSTITUTE('worker file'!$A$2:$A$406,_xlfn.UNICHAR(160)," ")),'worker file'!$D$2:$D$406,"Not found")</f>
        <v>TX</v>
      </c>
    </row>
    <row r="342" spans="1:18" ht="16" x14ac:dyDescent="0.2">
      <c r="A342" s="5" t="s">
        <v>476</v>
      </c>
      <c r="B342" s="6">
        <v>46310</v>
      </c>
      <c r="C342" s="56">
        <v>0.58055555555555505</v>
      </c>
      <c r="D342" s="56">
        <v>0.93611111111111101</v>
      </c>
      <c r="E342" s="57">
        <v>0.74444444444444402</v>
      </c>
      <c r="F342" s="58">
        <v>0.76527777777777795</v>
      </c>
      <c r="G342" s="59" t="str">
        <f t="array" ref="G342">_xlfn.XLOOKUP(A342&amp;"|"&amp;B342,ShiftRoster[Employee ID]&amp;"|"&amp;ShiftRoster[Date],ShiftRoster[Shift Code],_xlfn.XLOOKUP(A342,TRIM(SUBSTITUTE('worker file'!$A$2:$A$406,_xlfn.UNICHAR(160)," ")),'worker file'!$X$2:$X$406,"?"),0,-1)</f>
        <v>SWNG</v>
      </c>
      <c r="H342" s="59" t="str">
        <f>_xlfn.XLOOKUP(G342,ShiftCodes[Code],ShiftCodes[Work Schedule],"Unknown")</f>
        <v>Shift B – Swing (Mon–Fri 14:00–22:30)</v>
      </c>
      <c r="I342" s="60">
        <f>_xlfn.XLOOKUP(G342,ShiftCodes[Code],ShiftCodes[Start],"")</f>
        <v>0.58333333333333304</v>
      </c>
      <c r="J342" s="61">
        <f t="shared" si="25"/>
        <v>-4</v>
      </c>
      <c r="K342" s="59" t="str">
        <f t="shared" si="26"/>
        <v>OK</v>
      </c>
      <c r="L342" s="62"/>
      <c r="M342" s="5" t="str">
        <f t="shared" si="27"/>
        <v>Thu</v>
      </c>
      <c r="N342" s="63">
        <f t="shared" si="28"/>
        <v>8.0299999999999994</v>
      </c>
      <c r="O342" s="5" t="s">
        <v>758</v>
      </c>
      <c r="P342" s="6">
        <v>46310</v>
      </c>
      <c r="Q342" s="5" t="str">
        <f t="shared" si="29"/>
        <v>Current period</v>
      </c>
      <c r="R342" s="5" t="str">
        <f t="array" ref="R342">_xlfn.XLOOKUP(A342,TRIM(SUBSTITUTE('worker file'!$A$2:$A$406,_xlfn.UNICHAR(160)," ")),'worker file'!$D$2:$D$406,"Not found")</f>
        <v>TX</v>
      </c>
    </row>
    <row r="343" spans="1:18" ht="16" x14ac:dyDescent="0.2">
      <c r="A343" s="5" t="s">
        <v>476</v>
      </c>
      <c r="B343" s="6">
        <v>46311</v>
      </c>
      <c r="C343" s="56">
        <v>0.58680555555555503</v>
      </c>
      <c r="D343" s="56">
        <v>0.94097222222222199</v>
      </c>
      <c r="E343" s="57">
        <v>0.75347222222222199</v>
      </c>
      <c r="F343" s="58">
        <v>0.77430555555555503</v>
      </c>
      <c r="G343" s="59" t="str">
        <f t="array" ref="G343">_xlfn.XLOOKUP(A343&amp;"|"&amp;B343,ShiftRoster[Employee ID]&amp;"|"&amp;ShiftRoster[Date],ShiftRoster[Shift Code],_xlfn.XLOOKUP(A343,TRIM(SUBSTITUTE('worker file'!$A$2:$A$406,_xlfn.UNICHAR(160)," ")),'worker file'!$X$2:$X$406,"?"),0,-1)</f>
        <v>SWNG</v>
      </c>
      <c r="H343" s="59" t="str">
        <f>_xlfn.XLOOKUP(G343,ShiftCodes[Code],ShiftCodes[Work Schedule],"Unknown")</f>
        <v>Shift B – Swing (Mon–Fri 14:00–22:30)</v>
      </c>
      <c r="I343" s="60">
        <f>_xlfn.XLOOKUP(G343,ShiftCodes[Code],ShiftCodes[Start],"")</f>
        <v>0.58333333333333304</v>
      </c>
      <c r="J343" s="61">
        <f t="shared" si="25"/>
        <v>5</v>
      </c>
      <c r="K343" s="59" t="str">
        <f t="shared" si="26"/>
        <v>OK</v>
      </c>
      <c r="L343" s="62"/>
      <c r="M343" s="5" t="str">
        <f t="shared" si="27"/>
        <v>Fri</v>
      </c>
      <c r="N343" s="63">
        <f t="shared" si="28"/>
        <v>8</v>
      </c>
      <c r="O343" s="5" t="s">
        <v>758</v>
      </c>
      <c r="P343" s="6">
        <v>46311</v>
      </c>
      <c r="Q343" s="5" t="str">
        <f t="shared" si="29"/>
        <v>Current period</v>
      </c>
      <c r="R343" s="5" t="str">
        <f t="array" ref="R343">_xlfn.XLOOKUP(A343,TRIM(SUBSTITUTE('worker file'!$A$2:$A$406,_xlfn.UNICHAR(160)," ")),'worker file'!$D$2:$D$406,"Not found")</f>
        <v>TX</v>
      </c>
    </row>
    <row r="344" spans="1:18" ht="16" x14ac:dyDescent="0.2">
      <c r="A344" s="5" t="s">
        <v>478</v>
      </c>
      <c r="B344" s="6">
        <v>46309</v>
      </c>
      <c r="C344" s="56">
        <v>0.24722222222222201</v>
      </c>
      <c r="D344" s="56">
        <v>0.60277777777777797</v>
      </c>
      <c r="E344" s="57">
        <v>0.41597222222222202</v>
      </c>
      <c r="F344" s="58">
        <v>0.436805555555556</v>
      </c>
      <c r="G344" s="59" t="str">
        <f t="array" ref="G344">_xlfn.XLOOKUP(A344&amp;"|"&amp;B344,ShiftRoster[Employee ID]&amp;"|"&amp;ShiftRoster[Date],ShiftRoster[Shift Code],_xlfn.XLOOKUP(A344,TRIM(SUBSTITUTE('worker file'!$A$2:$A$406,_xlfn.UNICHAR(160)," ")),'worker file'!$X$2:$X$406,"?"),0,-1)</f>
        <v>DAY</v>
      </c>
      <c r="H344" s="59" t="str">
        <f>_xlfn.XLOOKUP(G344,ShiftCodes[Code],ShiftCodes[Work Schedule],"Unknown")</f>
        <v>Shift A – Day (Mon–Fri 06:00–14:30)</v>
      </c>
      <c r="I344" s="60">
        <f>_xlfn.XLOOKUP(G344,ShiftCodes[Code],ShiftCodes[Start],"")</f>
        <v>0.25</v>
      </c>
      <c r="J344" s="61">
        <f t="shared" si="25"/>
        <v>-4</v>
      </c>
      <c r="K344" s="59" t="str">
        <f t="shared" si="26"/>
        <v>OK</v>
      </c>
      <c r="L344" s="62"/>
      <c r="M344" s="5" t="str">
        <f t="shared" si="27"/>
        <v>Wed</v>
      </c>
      <c r="N344" s="63">
        <f t="shared" si="28"/>
        <v>8.0299999999999994</v>
      </c>
      <c r="O344" s="5" t="s">
        <v>758</v>
      </c>
      <c r="P344" s="6">
        <v>46309</v>
      </c>
      <c r="Q344" s="5" t="str">
        <f t="shared" si="29"/>
        <v>Current period</v>
      </c>
      <c r="R344" s="5" t="str">
        <f t="array" ref="R344">_xlfn.XLOOKUP(A344,TRIM(SUBSTITUTE('worker file'!$A$2:$A$406,_xlfn.UNICHAR(160)," ")),'worker file'!$D$2:$D$406,"Not found")</f>
        <v>TX</v>
      </c>
    </row>
    <row r="345" spans="1:18" ht="16" x14ac:dyDescent="0.2">
      <c r="A345" s="5" t="s">
        <v>478</v>
      </c>
      <c r="B345" s="6">
        <v>46310</v>
      </c>
      <c r="C345" s="56">
        <v>0.24722222222222201</v>
      </c>
      <c r="D345" s="56">
        <v>0.60277777777777797</v>
      </c>
      <c r="E345" s="57">
        <v>0.41458333333333303</v>
      </c>
      <c r="F345" s="58">
        <v>0.43541666666666701</v>
      </c>
      <c r="G345" s="59" t="str">
        <f t="array" ref="G345">_xlfn.XLOOKUP(A345&amp;"|"&amp;B345,ShiftRoster[Employee ID]&amp;"|"&amp;ShiftRoster[Date],ShiftRoster[Shift Code],_xlfn.XLOOKUP(A345,TRIM(SUBSTITUTE('worker file'!$A$2:$A$406,_xlfn.UNICHAR(160)," ")),'worker file'!$X$2:$X$406,"?"),0,-1)</f>
        <v>DAY</v>
      </c>
      <c r="H345" s="59" t="str">
        <f>_xlfn.XLOOKUP(G345,ShiftCodes[Code],ShiftCodes[Work Schedule],"Unknown")</f>
        <v>Shift A – Day (Mon–Fri 06:00–14:30)</v>
      </c>
      <c r="I345" s="60">
        <f>_xlfn.XLOOKUP(G345,ShiftCodes[Code],ShiftCodes[Start],"")</f>
        <v>0.25</v>
      </c>
      <c r="J345" s="61">
        <f t="shared" si="25"/>
        <v>-4</v>
      </c>
      <c r="K345" s="59" t="str">
        <f t="shared" si="26"/>
        <v>OK</v>
      </c>
      <c r="L345" s="62"/>
      <c r="M345" s="5" t="str">
        <f t="shared" si="27"/>
        <v>Thu</v>
      </c>
      <c r="N345" s="63">
        <f t="shared" si="28"/>
        <v>8.0299999999999994</v>
      </c>
      <c r="O345" s="5" t="s">
        <v>758</v>
      </c>
      <c r="P345" s="6">
        <v>46310</v>
      </c>
      <c r="Q345" s="5" t="str">
        <f t="shared" si="29"/>
        <v>Current period</v>
      </c>
      <c r="R345" s="5" t="str">
        <f t="array" ref="R345">_xlfn.XLOOKUP(A345,TRIM(SUBSTITUTE('worker file'!$A$2:$A$406,_xlfn.UNICHAR(160)," ")),'worker file'!$D$2:$D$406,"Not found")</f>
        <v>TX</v>
      </c>
    </row>
    <row r="346" spans="1:18" ht="16" x14ac:dyDescent="0.2">
      <c r="A346" s="5" t="s">
        <v>478</v>
      </c>
      <c r="B346" s="6">
        <v>46311</v>
      </c>
      <c r="C346" s="56">
        <v>0.25347222222222199</v>
      </c>
      <c r="D346" s="56">
        <v>0.60763888888888895</v>
      </c>
      <c r="E346" s="57">
        <v>0.41736111111111102</v>
      </c>
      <c r="F346" s="58">
        <v>0.438194444444444</v>
      </c>
      <c r="G346" s="59" t="str">
        <f t="array" ref="G346">_xlfn.XLOOKUP(A346&amp;"|"&amp;B346,ShiftRoster[Employee ID]&amp;"|"&amp;ShiftRoster[Date],ShiftRoster[Shift Code],_xlfn.XLOOKUP(A346,TRIM(SUBSTITUTE('worker file'!$A$2:$A$406,_xlfn.UNICHAR(160)," ")),'worker file'!$X$2:$X$406,"?"),0,-1)</f>
        <v>DAY</v>
      </c>
      <c r="H346" s="59" t="str">
        <f>_xlfn.XLOOKUP(G346,ShiftCodes[Code],ShiftCodes[Work Schedule],"Unknown")</f>
        <v>Shift A – Day (Mon–Fri 06:00–14:30)</v>
      </c>
      <c r="I346" s="60">
        <f>_xlfn.XLOOKUP(G346,ShiftCodes[Code],ShiftCodes[Start],"")</f>
        <v>0.25</v>
      </c>
      <c r="J346" s="61">
        <f t="shared" si="25"/>
        <v>5</v>
      </c>
      <c r="K346" s="59" t="str">
        <f t="shared" si="26"/>
        <v>OK</v>
      </c>
      <c r="L346" s="62"/>
      <c r="M346" s="5" t="str">
        <f t="shared" si="27"/>
        <v>Fri</v>
      </c>
      <c r="N346" s="63">
        <f t="shared" si="28"/>
        <v>8</v>
      </c>
      <c r="O346" s="5" t="s">
        <v>758</v>
      </c>
      <c r="P346" s="6">
        <v>46311</v>
      </c>
      <c r="Q346" s="5" t="str">
        <f t="shared" si="29"/>
        <v>Current period</v>
      </c>
      <c r="R346" s="5" t="str">
        <f t="array" ref="R346">_xlfn.XLOOKUP(A346,TRIM(SUBSTITUTE('worker file'!$A$2:$A$406,_xlfn.UNICHAR(160)," ")),'worker file'!$D$2:$D$406,"Not found")</f>
        <v>TX</v>
      </c>
    </row>
  </sheetData>
  <autoFilter ref="A1:R335" xr:uid="{00000000-0009-0000-0000-000004000000}"/>
  <conditionalFormatting sqref="K2:K346">
    <cfRule type="containsText" dxfId="0" priority="2" operator="containsText" text="Off-schedule">
      <formula>NOT(ISERROR(SEARCH("Off-schedule",K2)))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>
      <selection activeCell="E13" sqref="E13"/>
    </sheetView>
  </sheetViews>
  <sheetFormatPr baseColWidth="10" defaultColWidth="10.5" defaultRowHeight="15" x14ac:dyDescent="0.2"/>
  <sheetData>
    <row r="1" spans="1:6" ht="16" x14ac:dyDescent="0.2">
      <c r="A1" s="1" t="s">
        <v>11</v>
      </c>
      <c r="B1" s="68" t="s">
        <v>4</v>
      </c>
      <c r="C1" s="68" t="s">
        <v>617</v>
      </c>
      <c r="D1" s="68" t="s">
        <v>787</v>
      </c>
      <c r="E1" s="68" t="s">
        <v>788</v>
      </c>
      <c r="F1" s="68" t="s">
        <v>789</v>
      </c>
    </row>
    <row r="2" spans="1:6" ht="16" x14ac:dyDescent="0.2">
      <c r="A2" s="5" t="s">
        <v>34</v>
      </c>
      <c r="B2" t="s">
        <v>29</v>
      </c>
      <c r="C2" t="s">
        <v>790</v>
      </c>
      <c r="D2" s="69">
        <v>46311</v>
      </c>
      <c r="E2" s="69">
        <v>46326</v>
      </c>
      <c r="F2" s="69">
        <v>46322</v>
      </c>
    </row>
    <row r="3" spans="1:6" ht="16" x14ac:dyDescent="0.2">
      <c r="A3" s="19" t="s">
        <v>56</v>
      </c>
      <c r="B3" t="s">
        <v>52</v>
      </c>
      <c r="C3" t="s">
        <v>791</v>
      </c>
      <c r="D3" s="69">
        <v>46296</v>
      </c>
      <c r="E3" s="69">
        <v>46326</v>
      </c>
      <c r="F3" s="69">
        <v>46320</v>
      </c>
    </row>
    <row r="4" spans="1:6" ht="16" x14ac:dyDescent="0.2">
      <c r="A4" s="19" t="s">
        <v>65</v>
      </c>
      <c r="B4" t="s">
        <v>28</v>
      </c>
      <c r="C4" t="s">
        <v>791</v>
      </c>
      <c r="D4" s="69">
        <v>46296</v>
      </c>
      <c r="E4" s="69">
        <v>46326</v>
      </c>
      <c r="F4" s="69">
        <v>46320</v>
      </c>
    </row>
    <row r="5" spans="1:6" ht="16" x14ac:dyDescent="0.2">
      <c r="A5" s="19" t="s">
        <v>73</v>
      </c>
      <c r="B5" t="s">
        <v>70</v>
      </c>
      <c r="C5" t="s">
        <v>791</v>
      </c>
      <c r="D5" s="69">
        <v>46296</v>
      </c>
      <c r="E5" s="69">
        <v>46326</v>
      </c>
      <c r="F5" s="69">
        <v>46320</v>
      </c>
    </row>
    <row r="6" spans="1:6" ht="16" x14ac:dyDescent="0.2">
      <c r="A6" s="19" t="s">
        <v>80</v>
      </c>
      <c r="B6" t="s">
        <v>29</v>
      </c>
      <c r="C6" t="s">
        <v>792</v>
      </c>
      <c r="D6" s="69">
        <v>46299</v>
      </c>
      <c r="E6" s="69">
        <v>46312</v>
      </c>
      <c r="F6" s="69">
        <v>46318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zoomScaleNormal="100" workbookViewId="0">
      <pane ySplit="1" topLeftCell="A2" activePane="bottomLeft" state="frozen"/>
      <selection pane="bottomLeft" activeCell="B3" sqref="B3"/>
    </sheetView>
  </sheetViews>
  <sheetFormatPr baseColWidth="10" defaultColWidth="10.5" defaultRowHeight="15" x14ac:dyDescent="0.2"/>
  <cols>
    <col min="1" max="1" width="116" customWidth="1"/>
    <col min="2" max="2" width="14.1640625" customWidth="1"/>
    <col min="3" max="3" width="40.83203125" customWidth="1"/>
    <col min="4" max="4" width="12.6640625" customWidth="1"/>
    <col min="5" max="5" width="8.33203125" customWidth="1"/>
    <col min="6" max="6" width="7.33203125" customWidth="1"/>
    <col min="7" max="7" width="13.5" customWidth="1"/>
    <col min="8" max="8" width="14.1640625" customWidth="1"/>
    <col min="9" max="9" width="20.5" customWidth="1"/>
    <col min="10" max="10" width="19.83203125" customWidth="1"/>
  </cols>
  <sheetData>
    <row r="1" spans="1:10" ht="16" x14ac:dyDescent="0.2">
      <c r="A1" s="20" t="s">
        <v>610</v>
      </c>
      <c r="B1" s="20" t="s">
        <v>793</v>
      </c>
      <c r="C1" s="20" t="s">
        <v>750</v>
      </c>
      <c r="D1" s="20" t="s">
        <v>794</v>
      </c>
      <c r="E1" s="20" t="s">
        <v>795</v>
      </c>
      <c r="F1" s="20" t="s">
        <v>796</v>
      </c>
      <c r="G1" s="20" t="s">
        <v>797</v>
      </c>
      <c r="H1" s="20" t="s">
        <v>798</v>
      </c>
      <c r="I1" s="20" t="s">
        <v>799</v>
      </c>
      <c r="J1" s="20" t="s">
        <v>800</v>
      </c>
    </row>
    <row r="2" spans="1:10" ht="16" x14ac:dyDescent="0.2">
      <c r="A2" s="64" t="s">
        <v>39</v>
      </c>
      <c r="B2" s="64" t="s">
        <v>801</v>
      </c>
      <c r="C2" s="64" t="s">
        <v>802</v>
      </c>
      <c r="D2" s="64" t="s">
        <v>803</v>
      </c>
      <c r="E2" s="70">
        <v>0.375</v>
      </c>
      <c r="F2" s="70">
        <v>0.72916666666666696</v>
      </c>
      <c r="G2" s="64">
        <v>30</v>
      </c>
      <c r="H2" s="71">
        <f t="shared" ref="H2:H7" si="0">ROUND(MOD(F2-E2,1)*24-G2/60,2)</f>
        <v>8</v>
      </c>
      <c r="I2" s="20" t="str">
        <f t="shared" ref="I2:I7" si="1">IF(F2&lt;E2,"Y","N")</f>
        <v>N</v>
      </c>
      <c r="J2" s="72">
        <v>0</v>
      </c>
    </row>
    <row r="3" spans="1:10" ht="16" x14ac:dyDescent="0.2">
      <c r="A3" s="64" t="s">
        <v>81</v>
      </c>
      <c r="B3" s="64" t="s">
        <v>652</v>
      </c>
      <c r="C3" s="64" t="s">
        <v>804</v>
      </c>
      <c r="D3" s="64" t="s">
        <v>803</v>
      </c>
      <c r="E3" s="70">
        <v>0.25</v>
      </c>
      <c r="F3" s="70">
        <v>0.60416666666666696</v>
      </c>
      <c r="G3" s="64">
        <v>30</v>
      </c>
      <c r="H3" s="71">
        <f t="shared" si="0"/>
        <v>8</v>
      </c>
      <c r="I3" s="20" t="str">
        <f t="shared" si="1"/>
        <v>N</v>
      </c>
      <c r="J3" s="72">
        <v>0</v>
      </c>
    </row>
    <row r="4" spans="1:10" ht="16" x14ac:dyDescent="0.2">
      <c r="A4" s="64" t="s">
        <v>85</v>
      </c>
      <c r="B4" s="64" t="s">
        <v>805</v>
      </c>
      <c r="C4" s="64" t="s">
        <v>806</v>
      </c>
      <c r="D4" s="64" t="s">
        <v>803</v>
      </c>
      <c r="E4" s="70">
        <v>0.58333333333333304</v>
      </c>
      <c r="F4" s="70">
        <v>0.9375</v>
      </c>
      <c r="G4" s="64">
        <v>30</v>
      </c>
      <c r="H4" s="71">
        <f t="shared" si="0"/>
        <v>8</v>
      </c>
      <c r="I4" s="20" t="str">
        <f t="shared" si="1"/>
        <v>N</v>
      </c>
      <c r="J4" s="72">
        <v>1.5</v>
      </c>
    </row>
    <row r="5" spans="1:10" ht="16" x14ac:dyDescent="0.2">
      <c r="A5" s="64" t="s">
        <v>239</v>
      </c>
      <c r="B5" s="64" t="s">
        <v>807</v>
      </c>
      <c r="C5" s="64" t="s">
        <v>808</v>
      </c>
      <c r="D5" s="64" t="s">
        <v>809</v>
      </c>
      <c r="E5" s="70">
        <v>0.91666666666666696</v>
      </c>
      <c r="F5" s="70">
        <v>0.27083333333333298</v>
      </c>
      <c r="G5" s="64">
        <v>30</v>
      </c>
      <c r="H5" s="71">
        <f t="shared" si="0"/>
        <v>8</v>
      </c>
      <c r="I5" s="20" t="str">
        <f t="shared" si="1"/>
        <v>Y</v>
      </c>
      <c r="J5" s="72">
        <v>2.5</v>
      </c>
    </row>
    <row r="6" spans="1:10" ht="16" x14ac:dyDescent="0.2">
      <c r="A6" s="64" t="s">
        <v>151</v>
      </c>
      <c r="B6" s="64" t="s">
        <v>810</v>
      </c>
      <c r="C6" s="64" t="s">
        <v>811</v>
      </c>
      <c r="D6" s="64" t="s">
        <v>812</v>
      </c>
      <c r="E6" s="70">
        <v>0.25</v>
      </c>
      <c r="F6" s="70">
        <v>0.77083333333333304</v>
      </c>
      <c r="G6" s="64">
        <v>30</v>
      </c>
      <c r="H6" s="71">
        <f t="shared" si="0"/>
        <v>12</v>
      </c>
      <c r="I6" s="20" t="str">
        <f t="shared" si="1"/>
        <v>N</v>
      </c>
      <c r="J6" s="72">
        <v>1</v>
      </c>
    </row>
    <row r="7" spans="1:10" ht="16" x14ac:dyDescent="0.2">
      <c r="A7" s="64" t="s">
        <v>141</v>
      </c>
      <c r="B7" s="64" t="s">
        <v>813</v>
      </c>
      <c r="C7" s="64" t="s">
        <v>814</v>
      </c>
      <c r="D7" s="64" t="s">
        <v>815</v>
      </c>
      <c r="E7" s="70">
        <v>0.25</v>
      </c>
      <c r="F7" s="70">
        <v>0.60416666666666696</v>
      </c>
      <c r="G7" s="64">
        <v>30</v>
      </c>
      <c r="H7" s="71">
        <f t="shared" si="0"/>
        <v>8</v>
      </c>
      <c r="I7" s="20" t="str">
        <f t="shared" si="1"/>
        <v>N</v>
      </c>
      <c r="J7" s="72">
        <v>0</v>
      </c>
    </row>
    <row r="9" spans="1:10" x14ac:dyDescent="0.2">
      <c r="A9" s="73" t="s">
        <v>816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zoomScaleNormal="100" workbookViewId="0">
      <pane ySplit="1" topLeftCell="A2" activePane="bottomLeft" state="frozen"/>
      <selection pane="bottomLeft" activeCell="N310" sqref="N310"/>
    </sheetView>
  </sheetViews>
  <sheetFormatPr baseColWidth="10" defaultColWidth="10.5" defaultRowHeight="15" x14ac:dyDescent="0.2"/>
  <cols>
    <col min="1" max="1" width="15.6640625" customWidth="1"/>
    <col min="2" max="2" width="17" customWidth="1"/>
    <col min="3" max="3" width="13.5" customWidth="1"/>
    <col min="5" max="5" width="34.6640625" customWidth="1"/>
    <col min="6" max="6" width="19.83203125" customWidth="1"/>
    <col min="7" max="7" width="14.83203125" customWidth="1"/>
  </cols>
  <sheetData>
    <row r="1" spans="1:9" ht="16" x14ac:dyDescent="0.2">
      <c r="A1" s="20" t="s">
        <v>637</v>
      </c>
      <c r="B1" s="20" t="s">
        <v>817</v>
      </c>
      <c r="C1" s="20" t="s">
        <v>749</v>
      </c>
      <c r="D1" s="20" t="s">
        <v>818</v>
      </c>
      <c r="E1" s="20" t="s">
        <v>819</v>
      </c>
      <c r="F1" s="20" t="s">
        <v>820</v>
      </c>
      <c r="G1" s="20" t="s">
        <v>821</v>
      </c>
      <c r="I1" s="74" t="s">
        <v>822</v>
      </c>
    </row>
    <row r="2" spans="1:9" ht="16" x14ac:dyDescent="0.2">
      <c r="A2" s="64" t="s">
        <v>129</v>
      </c>
      <c r="B2" s="23">
        <v>46299</v>
      </c>
      <c r="C2" s="64" t="s">
        <v>81</v>
      </c>
      <c r="D2" s="64" t="s">
        <v>823</v>
      </c>
      <c r="E2" s="64" t="s">
        <v>824</v>
      </c>
      <c r="F2" s="23">
        <v>46293</v>
      </c>
      <c r="G2" s="64" t="s">
        <v>128</v>
      </c>
      <c r="I2" s="75" t="s">
        <v>825</v>
      </c>
    </row>
    <row r="3" spans="1:9" ht="16" x14ac:dyDescent="0.2">
      <c r="A3" s="64" t="s">
        <v>129</v>
      </c>
      <c r="B3" s="23">
        <v>46305</v>
      </c>
      <c r="C3" s="64" t="s">
        <v>81</v>
      </c>
      <c r="D3" s="64" t="s">
        <v>823</v>
      </c>
      <c r="E3" s="64" t="s">
        <v>826</v>
      </c>
      <c r="F3" s="23">
        <v>46293</v>
      </c>
      <c r="G3" s="64" t="s">
        <v>128</v>
      </c>
      <c r="I3" s="75" t="s">
        <v>827</v>
      </c>
    </row>
    <row r="4" spans="1:9" ht="16" x14ac:dyDescent="0.2">
      <c r="A4" s="64" t="s">
        <v>351</v>
      </c>
      <c r="B4" s="23">
        <v>46308</v>
      </c>
      <c r="C4" s="64" t="s">
        <v>85</v>
      </c>
      <c r="D4" s="64" t="s">
        <v>823</v>
      </c>
      <c r="E4" s="64" t="s">
        <v>828</v>
      </c>
      <c r="F4" s="23">
        <v>46301</v>
      </c>
      <c r="G4" s="64" t="s">
        <v>161</v>
      </c>
    </row>
    <row r="5" spans="1:9" ht="16" x14ac:dyDescent="0.2">
      <c r="A5" s="64" t="s">
        <v>157</v>
      </c>
      <c r="B5" s="23">
        <v>46305</v>
      </c>
      <c r="C5" s="64" t="s">
        <v>81</v>
      </c>
      <c r="D5" s="64" t="s">
        <v>829</v>
      </c>
      <c r="E5" s="64" t="s">
        <v>830</v>
      </c>
      <c r="F5" s="23">
        <v>46303</v>
      </c>
      <c r="G5" s="64" t="s">
        <v>128</v>
      </c>
    </row>
    <row r="6" spans="1:9" ht="16" x14ac:dyDescent="0.2">
      <c r="A6" s="64" t="s">
        <v>270</v>
      </c>
      <c r="B6" s="23">
        <v>46311</v>
      </c>
      <c r="C6" s="64" t="s">
        <v>239</v>
      </c>
      <c r="D6" s="64" t="s">
        <v>823</v>
      </c>
      <c r="E6" s="64" t="s">
        <v>831</v>
      </c>
      <c r="F6" s="23">
        <v>46304</v>
      </c>
      <c r="G6" s="64" t="s">
        <v>202</v>
      </c>
    </row>
    <row r="7" spans="1:9" ht="16" x14ac:dyDescent="0.2">
      <c r="A7" s="64" t="s">
        <v>270</v>
      </c>
      <c r="B7" s="23">
        <v>46312</v>
      </c>
      <c r="C7" s="64" t="s">
        <v>239</v>
      </c>
      <c r="D7" s="64" t="s">
        <v>823</v>
      </c>
      <c r="E7" s="64" t="s">
        <v>832</v>
      </c>
      <c r="F7" s="23">
        <v>46304</v>
      </c>
      <c r="G7" s="64" t="s">
        <v>202</v>
      </c>
    </row>
    <row r="8" spans="1:9" ht="16" x14ac:dyDescent="0.2">
      <c r="A8" s="64" t="s">
        <v>351</v>
      </c>
      <c r="B8" s="23">
        <v>46308</v>
      </c>
      <c r="C8" s="64" t="s">
        <v>81</v>
      </c>
      <c r="D8" s="64" t="s">
        <v>829</v>
      </c>
      <c r="E8" s="64" t="s">
        <v>833</v>
      </c>
      <c r="F8" s="23">
        <v>46305</v>
      </c>
      <c r="G8" s="64" t="s">
        <v>161</v>
      </c>
    </row>
    <row r="9" spans="1:9" ht="16" x14ac:dyDescent="0.2">
      <c r="A9" s="64" t="s">
        <v>131</v>
      </c>
      <c r="B9" s="23">
        <v>46309</v>
      </c>
      <c r="C9" s="64" t="s">
        <v>81</v>
      </c>
      <c r="D9" s="64" t="s">
        <v>834</v>
      </c>
      <c r="E9" s="64" t="s">
        <v>835</v>
      </c>
      <c r="F9" s="23">
        <v>46307</v>
      </c>
      <c r="G9" s="64" t="s">
        <v>128</v>
      </c>
    </row>
    <row r="10" spans="1:9" ht="16" x14ac:dyDescent="0.2">
      <c r="A10" s="64" t="s">
        <v>137</v>
      </c>
      <c r="B10" s="23">
        <v>46309</v>
      </c>
      <c r="C10" s="64" t="s">
        <v>85</v>
      </c>
      <c r="D10" s="64" t="s">
        <v>834</v>
      </c>
      <c r="E10" s="64" t="s">
        <v>836</v>
      </c>
      <c r="F10" s="23">
        <v>46307</v>
      </c>
      <c r="G10" s="64" t="s">
        <v>128</v>
      </c>
    </row>
    <row r="11" spans="1:9" ht="16" x14ac:dyDescent="0.2">
      <c r="A11" s="64" t="s">
        <v>120</v>
      </c>
      <c r="B11" s="23">
        <v>46312</v>
      </c>
      <c r="C11" s="64" t="s">
        <v>85</v>
      </c>
      <c r="D11" s="64" t="s">
        <v>829</v>
      </c>
      <c r="E11" s="64" t="s">
        <v>826</v>
      </c>
      <c r="F11" s="23">
        <v>46310</v>
      </c>
      <c r="G11" s="64" t="s">
        <v>118</v>
      </c>
    </row>
    <row r="12" spans="1:9" ht="16" x14ac:dyDescent="0.2">
      <c r="A12" s="64" t="s">
        <v>131</v>
      </c>
      <c r="B12" s="23">
        <v>46309</v>
      </c>
      <c r="C12" s="64" t="s">
        <v>85</v>
      </c>
      <c r="D12" s="64" t="s">
        <v>829</v>
      </c>
      <c r="E12" s="64" t="s">
        <v>837</v>
      </c>
      <c r="F12" s="23">
        <v>46312</v>
      </c>
      <c r="G12" s="64"/>
    </row>
    <row r="13" spans="1:9" ht="16" x14ac:dyDescent="0.2">
      <c r="A13" s="64" t="s">
        <v>137</v>
      </c>
      <c r="B13" s="23">
        <v>46309</v>
      </c>
      <c r="C13" s="64" t="s">
        <v>81</v>
      </c>
      <c r="D13" s="64" t="s">
        <v>829</v>
      </c>
      <c r="E13" s="64" t="s">
        <v>838</v>
      </c>
      <c r="F13" s="23">
        <v>46312</v>
      </c>
      <c r="G13" s="64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'Shift Codes'!$A$2:$A$7</xm:f>
          </x14:formula1>
          <x14:formula2>
            <xm:f>0</xm:f>
          </x14:formula2>
          <xm:sqref>C2:C502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worker file</vt:lpstr>
      <vt:lpstr>absence balance</vt:lpstr>
      <vt:lpstr>Payroll inputs</vt:lpstr>
      <vt:lpstr>employee events</vt:lpstr>
      <vt:lpstr>timesheet data</vt:lpstr>
      <vt:lpstr>pay group &amp; schedule</vt:lpstr>
      <vt:lpstr>Shift Codes</vt:lpstr>
      <vt:lpstr>Shift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Mika Katiyar</cp:lastModifiedBy>
  <cp:revision>1</cp:revision>
  <dcterms:created xsi:type="dcterms:W3CDTF">2026-10-02T14:14:45Z</dcterms:created>
  <dcterms:modified xsi:type="dcterms:W3CDTF">2026-10-20T00:16:03Z</dcterms:modified>
  <dc:language>en-US</dc:language>
</cp:coreProperties>
</file>